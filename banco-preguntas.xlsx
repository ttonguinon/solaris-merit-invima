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 sheetId="1" state="visible" r:id="rId1"/>
    <sheet xmlns:r="http://schemas.openxmlformats.org/officeDocument/2006/relationships" name="Instrucciones" sheetId="2" state="visible" r:id="rId2"/>
    <sheet xmlns:r="http://schemas.openxmlformats.org/officeDocument/2006/relationships" name="Funcionales" sheetId="3" state="visible" r:id="rId3"/>
    <sheet xmlns:r="http://schemas.openxmlformats.org/officeDocument/2006/relationships" name="Comportamentales" sheetId="4" state="visible" r:id="rId4"/>
    <sheet xmlns:r="http://schemas.openxmlformats.org/officeDocument/2006/relationships" name="Resumen" sheetId="5" state="visible" r:id="rId5"/>
  </sheets>
  <definedNames>
    <definedName name="_xlnm._FilterDatabase" localSheetId="2" hidden="1">'Funcionales'!$A$1:$O$421</definedName>
    <definedName name="_xlnm._FilterDatabase" localSheetId="3" hidden="1">'Comportamentales'!$A$1:$J$81</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sz val="10"/>
    </font>
    <font>
      <name val="Arial"/>
      <charset val="1"/>
      <family val="0"/>
      <sz val="10"/>
    </font>
    <font>
      <name val="Arial"/>
      <charset val="1"/>
      <family val="0"/>
      <b val="1"/>
      <sz val="12"/>
    </font>
    <font>
      <name val="Arial"/>
      <charset val="1"/>
      <family val="0"/>
      <b val="1"/>
      <color rgb="FFFFFFFF"/>
      <sz val="10"/>
    </font>
    <font>
      <name val="Arial"/>
      <b val="1"/>
      <color rgb="00FFFFFF"/>
      <sz val="13"/>
    </font>
    <font>
      <name val="Arial"/>
      <b val="1"/>
      <sz val="10"/>
    </font>
    <font>
      <name val="Arial"/>
      <sz val="10"/>
    </font>
  </fonts>
  <fills count="5">
    <fill>
      <patternFill/>
    </fill>
    <fill>
      <patternFill patternType="gray125"/>
    </fill>
    <fill>
      <patternFill patternType="solid">
        <fgColor rgb="FF0E1E40"/>
        <bgColor rgb="FF14213D"/>
      </patternFill>
    </fill>
    <fill>
      <patternFill patternType="solid">
        <fgColor rgb="FF14213D"/>
        <bgColor rgb="FF0E1E40"/>
      </patternFill>
    </fill>
    <fill>
      <patternFill patternType="solid">
        <fgColor rgb="000E1E4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left"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8" fillId="3" borderId="0" applyAlignment="1" pivotButton="0" quotePrefix="0" xfId="0">
      <alignment horizontal="general" vertical="center" wrapText="1"/>
    </xf>
    <xf numFmtId="0" fontId="8" fillId="3" borderId="0" applyAlignment="1" pivotButton="0" quotePrefix="0" xfId="0">
      <alignment horizontal="general" vertical="bottom"/>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9" fillId="4" borderId="0" pivotButton="0" quotePrefix="0" xfId="0"/>
    <xf numFmtId="0" fontId="10" fillId="0" borderId="0" pivotButton="0" quotePrefix="0" xfId="0"/>
    <xf numFmtId="0" fontId="11" fillId="0" borderId="0" applyAlignment="1" pivotButton="0" quotePrefix="0" xfId="0">
      <alignment horizontal="left"/>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8" fillId="3" borderId="0" applyAlignment="1" pivotButton="0" quotePrefix="0" xfId="0">
      <alignment horizontal="general" vertical="center" wrapText="1"/>
    </xf>
    <xf numFmtId="0" fontId="8" fillId="3" borderId="0" applyAlignment="1" pivotButton="0" quotePrefix="0" xfId="0">
      <alignment horizontal="general" vertical="bottom"/>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4213D"/>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E1E40"/>
      <rgbColor rgb="FF339966"/>
      <rgbColor rgb="FF003300"/>
      <rgbColor rgb="FF333300"/>
      <rgbColor rgb="FF993300"/>
      <rgbColor rgb="FF993366"/>
      <rgbColor rgb="FF333399"/>
      <rgbColor rgb="FF1421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style="12" min="1" max="1"/>
    <col width="72" customWidth="1" style="12" min="2" max="2"/>
  </cols>
  <sheetData>
    <row r="1">
      <c r="A1" s="13" t="inlineStr">
        <is>
          <t>BANCO DE PREGUNTAS · SOLARIS MERIT</t>
        </is>
      </c>
      <c r="B1" t="inlineStr"/>
    </row>
    <row r="2">
      <c r="A2" s="14" t="inlineStr">
        <is>
          <t>Versión</t>
        </is>
      </c>
      <c r="B2" s="15" t="inlineStr">
        <is>
          <t>2026.09.26-f</t>
        </is>
      </c>
    </row>
    <row r="3">
      <c r="A3" s="14" t="inlineStr">
        <is>
          <t>Fecha</t>
        </is>
      </c>
      <c r="B3" s="15" t="inlineStr">
        <is>
          <t>2026-09-26</t>
        </is>
      </c>
    </row>
    <row r="4">
      <c r="A4" s="14" t="inlineStr">
        <is>
          <t>Huella de contenido</t>
        </is>
      </c>
      <c r="B4" s="15" t="inlineStr">
        <is>
          <t>1638ba9686</t>
        </is>
      </c>
    </row>
    <row r="5">
      <c r="A5" s="14" t="inlineStr">
        <is>
          <t>Cómo se calcula la huella</t>
        </is>
      </c>
      <c r="B5" s="15" t="inlineStr">
        <is>
          <t>md5 de id + a + b + c + respuesta de todas las funcionales, 10 caracteres</t>
        </is>
      </c>
    </row>
    <row r="6">
      <c r="A6" s="14" t="inlineStr">
        <is>
          <t>Funcionales activas (simulacros)</t>
        </is>
      </c>
      <c r="B6" s="15" t="n">
        <v>654</v>
      </c>
    </row>
    <row r="7">
      <c r="A7" s="14" t="inlineStr">
        <is>
          <t>Funcionales de repaso</t>
        </is>
      </c>
      <c r="B7" s="15" t="n">
        <v>14</v>
      </c>
    </row>
    <row r="8">
      <c r="A8" s="14" t="inlineStr">
        <is>
          <t>Funcionales inactivas</t>
        </is>
      </c>
      <c r="B8" s="15" t="n">
        <v>23</v>
      </c>
    </row>
    <row r="9">
      <c r="A9" s="14" t="inlineStr">
        <is>
          <t>Comportamentales activas</t>
        </is>
      </c>
      <c r="B9" s="15" t="n">
        <v>143</v>
      </c>
    </row>
    <row r="10">
      <c r="A10" s="14" t="inlineStr">
        <is>
          <t>Ventaja media de longitud de la correcta</t>
        </is>
      </c>
      <c r="B10" s="15" t="n">
        <v>-2.5</v>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A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0" customWidth="1" style="16" min="1" max="1"/>
  </cols>
  <sheetData>
    <row r="1" ht="15" customHeight="1" s="12">
      <c r="A1" s="17" t="inlineStr">
        <is>
          <t>Banco de preguntas · Simulador CNSC nivel profesional (Invima y Fondo Nacional de Estupefacientes)</t>
        </is>
      </c>
    </row>
    <row r="2" ht="15" customHeight="1" s="12">
      <c r="A2" s="18" t="n"/>
    </row>
    <row r="3" ht="15" customHeight="1" s="12">
      <c r="A3" s="18" t="inlineStr">
        <is>
          <t>Contenido: 420 preguntas funcionales en 140 casos y 80 situaciones comportamentales. Versión: septiembre de 2026.</t>
        </is>
      </c>
    </row>
    <row r="4" ht="15" customHeight="1" s="12">
      <c r="A4" s="18" t="n"/>
    </row>
    <row r="5" ht="15" customHeight="1" s="12">
      <c r="A5" s="19" t="inlineStr">
        <is>
          <t>Cómo se usa</t>
        </is>
      </c>
    </row>
    <row r="6" ht="15" customHeight="1" s="12">
      <c r="A6" s="18" t="inlineStr">
        <is>
          <t>1. La app lee este archivo desde el repositorio de GitHub. Cualquier cambio que subas aquí se refleja en el próximo simulacro.</t>
        </is>
      </c>
    </row>
    <row r="7" ht="15" customHeight="1" s="12">
      <c r="A7" s="18" t="inlineStr">
        <is>
          <t>2. No cambies el nombre del archivo (banco-preguntas.xlsx), ni el nombre de las hojas, ni los encabezados de la fila 1.</t>
        </is>
      </c>
    </row>
    <row r="8" ht="15" customHeight="1" s="12">
      <c r="A8" s="18" t="inlineStr">
        <is>
          <t>3. Hoja Funcionales: cada fila es un enunciado. Un caso tiene tres enunciados que comparten caso_id, caso y texto_caso.</t>
        </is>
      </c>
    </row>
    <row r="9" ht="15" customHeight="1" s="12">
      <c r="A9" s="18" t="inlineStr">
        <is>
          <t>4. concurso: comun (sale en ambos), invima o fne. respuesta: A, B o C. activa: SI o NO (NO la oculta sin borrarla).</t>
        </is>
      </c>
    </row>
    <row r="10" ht="15" customHeight="1" s="12">
      <c r="A10" s="18" t="inlineStr">
        <is>
          <t>5. La columna porque_no explica por qué las otras dos opciones no sirven; la app la muestra cuando el aspirante falla o pide la respuesta.</t>
        </is>
      </c>
    </row>
    <row r="11" ht="15" customHeight="1" s="12">
      <c r="A11" s="18" t="inlineStr">
        <is>
          <t>6. Hoja Comportamentales: puntos_a, puntos_b y puntos_c van de 1 (baja) a 3 (actuación esperada). Debe haber exactamente un 3.</t>
        </is>
      </c>
    </row>
    <row r="12" ht="15" customHeight="1" s="12">
      <c r="A12" s="18" t="inlineStr">
        <is>
          <t>7. Para agregar un caso nuevo, usa un caso_id nuevo (por ejemplo C200) y tres filas con id C200-1, C200-2 y C200-3.</t>
        </is>
      </c>
    </row>
    <row r="13" ht="15" customHeight="1" s="12">
      <c r="A13" s="18" t="inlineStr">
        <is>
          <t>8. Cada simulacro toma casos al azar repartidos entre ejes; el tamaño se elige en la app.</t>
        </is>
      </c>
    </row>
    <row r="14" ht="15" customHeight="1" s="12">
      <c r="A14" s="18" t="n"/>
    </row>
    <row r="15" ht="15" customHeight="1" s="12">
      <c r="A15" s="18" t="inlineStr">
        <is>
          <t>Normas verificadas en su texto vigente (normograma del Invima, Secretaría del Senado y FAO-Faolex) para: Ley 9 de 1979, Ley 1437 de 2011, Ley 1122 de 2007,</t>
        </is>
      </c>
    </row>
    <row r="16" ht="15" customHeight="1" s="12">
      <c r="A16" s="18" t="inlineStr">
        <is>
          <t>Decreto 2078 de 2012, Decreto 677 de 1995 (modificado por el Decreto 1474 de 2023), Decreto 334 de 2022, Decreto 4725 de 2005, Resolución 4816 de 2008,</t>
        </is>
      </c>
    </row>
    <row r="17" ht="15" customHeight="1" s="12">
      <c r="A17" s="18" t="inlineStr">
        <is>
          <t>Decreto 3249 de 2006, Resolución 2674 de 2013, Resolución 810 de 2021, Resolución 5109 de 2005, Decreto 1500 de 2007, Decreto 2478 de 2018,</t>
        </is>
      </c>
    </row>
    <row r="18" ht="15" customHeight="1" s="12">
      <c r="A18" s="18" t="inlineStr">
        <is>
          <t>Decreto 1686 de 2012, Resolución 1478 de 2006, Resolución 315 de 2020 y Decreto 4107 de 2011.</t>
        </is>
      </c>
    </row>
    <row r="19" ht="15" customHeight="1" s="12">
      <c r="A19" s="18" t="n"/>
    </row>
    <row r="20" ht="15" customHeight="1" s="12">
      <c r="A20" s="18" t="inlineStr">
        <is>
          <t>Aviso: preguntas de práctica elaboradas a partir de la normativa citada en la columna fuente. No son preguntas oficiales de la CNSC.</t>
        </is>
      </c>
    </row>
    <row r="21" ht="15" customHeight="1" s="12">
      <c r="A21" s="18" t="inlineStr">
        <is>
          <t>Las normas cambian: verifica la vigencia antes de usar una pregunta como referencia y desactiva (activa = NO) las que queden desactualizadas.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R21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6" min="1" max="1"/>
    <col width="9" customWidth="1" style="16" min="2" max="2"/>
    <col width="26" customWidth="1" style="16" min="3" max="3"/>
    <col width="8" customWidth="1" style="16" min="4" max="4"/>
    <col width="24" customWidth="1" style="16" min="5" max="5"/>
    <col width="50" customWidth="1" style="16" min="6" max="6"/>
    <col width="45" customWidth="1" style="16" min="7" max="7"/>
    <col width="35" customWidth="1" style="16" min="8" max="10"/>
    <col width="10" customWidth="1" style="16" min="11" max="11"/>
    <col width="45" customWidth="1" style="16" min="12" max="13"/>
    <col width="28" customWidth="1" style="16" min="14" max="14"/>
    <col width="8" customWidth="1" style="16" min="15" max="15"/>
    <col width="12" customWidth="1" style="16" min="16" max="16"/>
    <col width="11" customWidth="1" style="16" min="17" max="17"/>
    <col width="13" customWidth="1" style="16" min="18" max="18"/>
  </cols>
  <sheetData>
    <row r="1" ht="23.25" customHeight="1" s="12">
      <c r="A1" s="20" t="inlineStr">
        <is>
          <t>id</t>
        </is>
      </c>
      <c r="B1" s="20" t="inlineStr">
        <is>
          <t>concurso</t>
        </is>
      </c>
      <c r="C1" s="20" t="inlineStr">
        <is>
          <t>eje</t>
        </is>
      </c>
      <c r="D1" s="20" t="inlineStr">
        <is>
          <t>caso_id</t>
        </is>
      </c>
      <c r="E1" s="20" t="inlineStr">
        <is>
          <t>caso</t>
        </is>
      </c>
      <c r="F1" s="20" t="inlineStr">
        <is>
          <t>texto_caso</t>
        </is>
      </c>
      <c r="G1" s="20" t="inlineStr">
        <is>
          <t>enunciado</t>
        </is>
      </c>
      <c r="H1" s="20" t="inlineStr">
        <is>
          <t>a</t>
        </is>
      </c>
      <c r="I1" s="20" t="inlineStr">
        <is>
          <t>b</t>
        </is>
      </c>
      <c r="J1" s="20" t="inlineStr">
        <is>
          <t>c</t>
        </is>
      </c>
      <c r="K1" s="20" t="inlineStr">
        <is>
          <t>respuesta</t>
        </is>
      </c>
      <c r="L1" s="20" t="inlineStr">
        <is>
          <t>explicacion</t>
        </is>
      </c>
      <c r="M1" s="20" t="inlineStr">
        <is>
          <t>porque_no</t>
        </is>
      </c>
      <c r="N1" s="20" t="inlineStr">
        <is>
          <t>fuente</t>
        </is>
      </c>
      <c r="O1" s="20" t="inlineStr">
        <is>
          <t>activa</t>
        </is>
      </c>
      <c r="P1" s="21" t="inlineStr">
        <is>
          <t>dificultad</t>
        </is>
      </c>
      <c r="Q1" s="21" t="inlineStr">
        <is>
          <t>tipo_v2</t>
        </is>
      </c>
      <c r="R1" s="21" t="inlineStr">
        <is>
          <t>componente</t>
        </is>
      </c>
    </row>
    <row r="2" ht="45.75" customHeight="1" s="12">
      <c r="A2" s="22" t="inlineStr">
        <is>
          <t>F001-1</t>
        </is>
      </c>
      <c r="B2" s="22" t="inlineStr">
        <is>
          <t>comun</t>
        </is>
      </c>
      <c r="C2" s="22" t="inlineStr">
        <is>
          <t>Atención al ciudadano y derecho de petición</t>
        </is>
      </c>
      <c r="D2" s="22" t="inlineStr">
        <is>
          <t>C001</t>
        </is>
      </c>
      <c r="E2" s="22" t="inlineStr">
        <is>
          <t>Copia de un concepto y una consulta</t>
        </is>
      </c>
      <c r="F2" s="22" t="inlineStr">
        <is>
          <t>Un ciudadano radica un escrito con dos pedidos: copia del concepto técnico que sustentó una medida sanitaria y una explicación de cómo se interpreta la norma de rotulado. El expediente tiene 400 folios y el técnico que lo firmó está de vacaciones.</t>
        </is>
      </c>
      <c r="G2" s="22" t="inlineStr">
        <is>
          <t>Para la solicitud de copia del concepto técnico, el término de respuesta que usted debe observar es de</t>
        </is>
      </c>
      <c r="H2" s="22" t="inlineStr">
        <is>
          <t>Treinta (30) días hábiles</t>
        </is>
      </c>
      <c r="I2" s="22" t="inlineStr">
        <is>
          <t>Diez (10) días hábiles, por tratarse de una solicitud de documentos</t>
        </is>
      </c>
      <c r="J2" s="22" t="inlineStr">
        <is>
          <t>Quince (15) días hábiles, por ser el término general de las peticiones</t>
        </is>
      </c>
      <c r="K2" s="22" t="inlineStr">
        <is>
          <t>B</t>
        </is>
      </c>
      <c r="L2" s="22" t="inlineStr">
        <is>
          <t>Diez (10) días para peticiones de documentos e información. El término general es de quince (15) días y el de consultas, treinta (30). Ley 1755 de 2015, artículo 14 (que sustituyó el artículo 14 de la Ley 1437 de 2011).</t>
        </is>
      </c>
      <c r="M2" s="22" t="inlineStr">
        <is>
          <t>Los 15 días son el término general de las peticiones, no el de documentos; los 30 días corresponden a las consultas, y la complejidad técnica no amplía el plazo por sí sola.</t>
        </is>
      </c>
      <c r="N2" s="22" t="inlineStr">
        <is>
          <t>Ley 1755 de 2015, art. 14; Ley 1437 de 2011, art. 14</t>
        </is>
      </c>
      <c r="O2" s="22" t="inlineStr">
        <is>
          <t>SI</t>
        </is>
      </c>
      <c r="P2" s="16" t="inlineStr">
        <is>
          <t>Media</t>
        </is>
      </c>
      <c r="Q2" s="16" t="inlineStr">
        <is>
          <t>v2</t>
        </is>
      </c>
      <c r="R2" s="16" t="inlineStr">
        <is>
          <t>Básico</t>
        </is>
      </c>
    </row>
    <row r="3" ht="45.75" customHeight="1" s="12">
      <c r="A3" s="22" t="inlineStr">
        <is>
          <t>F001-2</t>
        </is>
      </c>
      <c r="B3" s="22" t="inlineStr">
        <is>
          <t>comun</t>
        </is>
      </c>
      <c r="C3" s="22" t="inlineStr">
        <is>
          <t>Atención al ciudadano y derecho de petición</t>
        </is>
      </c>
      <c r="D3" s="22" t="inlineStr">
        <is>
          <t>C001</t>
        </is>
      </c>
      <c r="E3" s="22" t="inlineStr">
        <is>
          <t>Copia de un concepto y una consulta</t>
        </is>
      </c>
      <c r="F3" s="22" t="inlineStr">
        <is>
          <t>Un ciudadano radica un escrito con dos pedidos: copia del concepto técnico que sustentó una medida sanitaria y una explicación de cómo se interpreta la norma de rotulado. El expediente tiene 400 folios y el técnico que lo firmó está de vacaciones.</t>
        </is>
      </c>
      <c r="G3" s="22" t="inlineStr">
        <is>
          <t>Para la parte del escrito que pide explicar cómo se interpreta la norma, lo procedente es</t>
        </is>
      </c>
      <c r="H3" s="22" t="inlineStr">
        <is>
          <t>Responderla en los mismos diez (10) días de la copia, porque vienen en un solo escrito</t>
        </is>
      </c>
      <c r="I3" s="22" t="inlineStr">
        <is>
          <t>Resolverla dentro de los treinta (30) días siguientes a su recepción, por ser una consulta</t>
        </is>
      </c>
      <c r="J3" s="22" t="inlineStr">
        <is>
          <t>Abstenerse de responder, porque la interpretación de normas es exclusiva de los jueces</t>
        </is>
      </c>
      <c r="K3" s="22" t="inlineStr">
        <is>
          <t>B</t>
        </is>
      </c>
      <c r="L3" s="22" t="inlineStr">
        <is>
          <t>Treinta (30) días para las consultas sobre materias a cargo de la autoridad. Ley 1755 de 2015, artículo 14, numeral 3.</t>
        </is>
      </c>
      <c r="M3" s="22" t="inlineStr">
        <is>
          <t>Aplicar los 10 días confunde la consulta con la solicitud de documentos; abstenerse desconoce que la ley obliga a la autoridad a resolver consultas sobre materias a su cargo.</t>
        </is>
      </c>
      <c r="N3" s="22" t="inlineStr">
        <is>
          <t>Ley 1755 de 2015, art. 14, num. 3</t>
        </is>
      </c>
      <c r="O3" s="22" t="inlineStr">
        <is>
          <t>SI</t>
        </is>
      </c>
      <c r="P3" s="16" t="inlineStr">
        <is>
          <t>Media</t>
        </is>
      </c>
      <c r="Q3" s="16" t="inlineStr">
        <is>
          <t>v2</t>
        </is>
      </c>
      <c r="R3" s="16" t="inlineStr">
        <is>
          <t>Básico</t>
        </is>
      </c>
    </row>
    <row r="4" ht="45.75" customHeight="1" s="12">
      <c r="A4" s="22" t="inlineStr">
        <is>
          <t>F001-3</t>
        </is>
      </c>
      <c r="B4" s="22" t="inlineStr">
        <is>
          <t>comun</t>
        </is>
      </c>
      <c r="C4" s="22" t="inlineStr">
        <is>
          <t>Atención al ciudadano y derecho de petición</t>
        </is>
      </c>
      <c r="D4" s="22" t="inlineStr">
        <is>
          <t>C001</t>
        </is>
      </c>
      <c r="E4" s="22" t="inlineStr">
        <is>
          <t>Copia de un concepto y una consulta</t>
        </is>
      </c>
      <c r="F4" s="22" t="inlineStr">
        <is>
          <t>Un ciudadano radica un escrito con dos pedidos: copia del concepto técnico que sustentó una medida sanitaria y una explicación de cómo se interpreta la norma de rotulado. El expediente tiene 400 folios y el técnico que lo firmó está de vacaciones.</t>
        </is>
      </c>
      <c r="G4" s="22" t="inlineStr">
        <is>
          <t>Si por la complejidad del caso no puede responder dentro del término, usted debe</t>
        </is>
      </c>
      <c r="H4" s="22" t="inlineStr">
        <is>
          <t>Trasladar la petición a otra dependencia y reiniciar allí el término</t>
        </is>
      </c>
      <c r="I4" s="22" t="inlineStr">
        <is>
          <t>Informar al peticionario antes del vencimiento, con el motivo y la fecha</t>
        </is>
      </c>
      <c r="J4" s="22" t="inlineStr">
        <is>
          <t>Responder cuando tenga completa la información, dejando constancia</t>
        </is>
      </c>
      <c r="K4" s="22" t="inlineStr">
        <is>
          <t>B</t>
        </is>
      </c>
      <c r="L4" s="22" t="inlineStr">
        <is>
          <t>Antes de vencerse el término hay que informar al peticionario los motivos de la demora y la fecha en que se responderá. Ley 1755 de 2015, artículo 14, parágrafo.</t>
        </is>
      </c>
      <c r="M4" s="22" t="inlineStr">
        <is>
          <t>Trasladar a otra dependencia no reinicia el término, porque este corre desde la radicación; responder cuando esté lista la información deja vencer el plazo sin aviso previo.</t>
        </is>
      </c>
      <c r="N4" s="22" t="inlineStr">
        <is>
          <t>Ley 1755 de 2015, art. 14, parágrafo</t>
        </is>
      </c>
      <c r="O4" s="22" t="inlineStr">
        <is>
          <t>SI</t>
        </is>
      </c>
      <c r="P4" s="16" t="inlineStr">
        <is>
          <t>Media</t>
        </is>
      </c>
      <c r="Q4" s="16" t="inlineStr">
        <is>
          <t>repaso</t>
        </is>
      </c>
      <c r="R4" s="16" t="inlineStr">
        <is>
          <t>Básico</t>
        </is>
      </c>
    </row>
    <row r="5" ht="34.5" customHeight="1" s="12">
      <c r="A5" s="22" t="inlineStr">
        <is>
          <t>F002-1</t>
        </is>
      </c>
      <c r="B5" s="22" t="inlineStr">
        <is>
          <t>comun</t>
        </is>
      </c>
      <c r="C5" s="22" t="inlineStr">
        <is>
          <t>Atención al ciudadano y derecho de petición</t>
        </is>
      </c>
      <c r="D5" s="22" t="inlineStr">
        <is>
          <t>C002</t>
        </is>
      </c>
      <c r="E5" s="22" t="inlineStr">
        <is>
          <t>Queja anónima sobre otra entidad</t>
        </is>
      </c>
      <c r="F5" s="22" t="inlineStr">
        <is>
          <t>Llega al correo del grupo una queja anónima, confusa, sobre un establecimiento que además vigila otra entidad. Un compañero sostiene que lo anónimo se archiva. El Consejo de Estado ha admitido que una queja anónima puede dar lugar a actuación cuando aporta elementos verificables.</t>
        </is>
      </c>
      <c r="G5" s="22" t="inlineStr">
        <is>
          <t>Sobre el carácter anónimo de la petición, es correcto afirmar que</t>
        </is>
      </c>
      <c r="H5" s="22" t="inlineStr">
        <is>
          <t>Debe archivarse de plano</t>
        </is>
      </c>
      <c r="I5" s="22" t="inlineStr">
        <is>
          <t>Puede tramitarse, porque hay elementos suficientes para actuar</t>
        </is>
      </c>
      <c r="J5" s="22" t="inlineStr">
        <is>
          <t>Puede tramitarse si el peticionario se identifica en los cinco días</t>
        </is>
      </c>
      <c r="K5" s="22" t="inlineStr">
        <is>
          <t>B</t>
        </is>
      </c>
      <c r="L5" s="22" t="inlineStr">
        <is>
          <t>La petición sin identificación se tramita: el anonimato no es causal de rechazo. Ley 1755 de 2015, artículo 16.</t>
        </is>
      </c>
      <c r="M5" s="22" t="inlineStr">
        <is>
          <t>Archivar de plano desconoce que la ley no exige identificación para dar trámite; condicionarla a que se identifique en cinco días agrega un requisito que la norma no prevé.</t>
        </is>
      </c>
      <c r="N5" s="22" t="inlineStr">
        <is>
          <t>Ley 1755 de 2015, art. 16</t>
        </is>
      </c>
      <c r="O5" s="22" t="inlineStr">
        <is>
          <t>SI</t>
        </is>
      </c>
      <c r="P5" s="16" t="inlineStr">
        <is>
          <t>Media</t>
        </is>
      </c>
      <c r="Q5" s="16" t="inlineStr">
        <is>
          <t>v2</t>
        </is>
      </c>
      <c r="R5" s="16" t="inlineStr">
        <is>
          <t>Básico</t>
        </is>
      </c>
    </row>
    <row r="6" ht="45.75" customHeight="1" s="12">
      <c r="A6" s="22" t="inlineStr">
        <is>
          <t>F002-2</t>
        </is>
      </c>
      <c r="B6" s="22" t="inlineStr">
        <is>
          <t>comun</t>
        </is>
      </c>
      <c r="C6" s="22" t="inlineStr">
        <is>
          <t>Atención al ciudadano y derecho de petición</t>
        </is>
      </c>
      <c r="D6" s="22" t="inlineStr">
        <is>
          <t>C002</t>
        </is>
      </c>
      <c r="E6" s="22" t="inlineStr">
        <is>
          <t>Queja anónima sobre otra entidad</t>
        </is>
      </c>
      <c r="F6" s="22" t="inlineStr">
        <is>
          <t>Llega al correo del grupo una queja anónima, confusa, sobre un establecimiento que además vigila otra entidad. Un compañero sostiene que lo anónimo se archiva. El Consejo de Estado ha admitido que una queja anónima puede dar lugar a actuación cuando aporta elementos verificables.</t>
        </is>
      </c>
      <c r="G6" s="22" t="inlineStr">
        <is>
          <t>Como el asunto es de otra entidad, usted debe</t>
        </is>
      </c>
      <c r="H6" s="22" t="inlineStr">
        <is>
          <t>Remitirla a la autoridad competente dentro de los cinco (5) días</t>
        </is>
      </c>
      <c r="I6" s="22" t="inlineStr">
        <is>
          <t>Devolverla al peticionario para que la radique donde corresponde</t>
        </is>
      </c>
      <c r="J6" s="22" t="inlineStr">
        <is>
          <t>Resolverla de fondo, porque ya fue radicada en su propia entidad</t>
        </is>
      </c>
      <c r="K6" s="22" t="inlineStr">
        <is>
          <t>A</t>
        </is>
      </c>
      <c r="L6" s="22" t="inlineStr">
        <is>
          <t>Cinco (5) días para remitir la petición a la autoridad competente, informando al interesado. Ley 1755 de 2015, artículo 21.</t>
        </is>
      </c>
      <c r="M6" s="22" t="inlineStr">
        <is>
          <t>Devolverla al peticionario traslada al ciudadano una carga que es de la administración; resolverla de fondo sin competencia vicia la actuación y puede anularse.</t>
        </is>
      </c>
      <c r="N6" s="22" t="inlineStr">
        <is>
          <t>Ley 1755 de 2015, art. 21</t>
        </is>
      </c>
      <c r="O6" s="22" t="inlineStr">
        <is>
          <t>SI</t>
        </is>
      </c>
      <c r="P6" s="16" t="inlineStr">
        <is>
          <t>Media</t>
        </is>
      </c>
      <c r="Q6" s="16" t="inlineStr">
        <is>
          <t>v2</t>
        </is>
      </c>
      <c r="R6" s="16" t="inlineStr">
        <is>
          <t>Básico</t>
        </is>
      </c>
    </row>
    <row r="7" ht="45.75" customHeight="1" s="12">
      <c r="A7" s="22" t="inlineStr">
        <is>
          <t>F002-3</t>
        </is>
      </c>
      <c r="B7" s="22" t="inlineStr">
        <is>
          <t>comun</t>
        </is>
      </c>
      <c r="C7" s="22" t="inlineStr">
        <is>
          <t>Atención al ciudadano y derecho de petición</t>
        </is>
      </c>
      <c r="D7" s="22" t="inlineStr">
        <is>
          <t>C002</t>
        </is>
      </c>
      <c r="E7" s="22" t="inlineStr">
        <is>
          <t>Queja anónima sobre otra entidad</t>
        </is>
      </c>
      <c r="F7" s="22" t="inlineStr">
        <is>
          <t>Llega al correo del grupo una queja anónima, confusa, sobre un establecimiento que además vigila otra entidad. Un compañero sostiene que lo anónimo se archiva. El Consejo de Estado ha admitido que una queja anónima puede dar lugar a actuación cuando aporta elementos verificables.</t>
        </is>
      </c>
      <c r="G7" s="22" t="inlineStr">
        <is>
          <t>Para aclarar la petición confusa, la actuación correcta es</t>
        </is>
      </c>
      <c r="H7" s="22" t="inlineStr">
        <is>
          <t>Requerir al peticionario para que la complete dentro de un mes</t>
        </is>
      </c>
      <c r="I7" s="22" t="inlineStr">
        <is>
          <t>Interpretarla según el contexto y resolver lo que usted entienda</t>
        </is>
      </c>
      <c r="J7" s="22" t="inlineStr">
        <is>
          <t>Rechazarla de plano</t>
        </is>
      </c>
      <c r="K7" s="22" t="inlineStr">
        <is>
          <t>A</t>
        </is>
      </c>
      <c r="L7" s="22" t="inlineStr">
        <is>
          <t>Un (1) mes tiene el peticionario para completar la petición; vencido, se entiende desistida y se archiva. Ley 1755 de 2015, artículo 17.</t>
        </is>
      </c>
      <c r="M7" s="22" t="inlineStr">
        <is>
          <t>Interpretar libremente la petición sustituye la voluntad del peticionario; rechazarla de plano omite el requerimiento previo que la ley ordena antes del desistimiento.</t>
        </is>
      </c>
      <c r="N7" s="22" t="inlineStr">
        <is>
          <t>Ley 1755 de 2015, art. 17</t>
        </is>
      </c>
      <c r="O7" s="22" t="inlineStr">
        <is>
          <t>SI</t>
        </is>
      </c>
      <c r="P7" s="16" t="inlineStr">
        <is>
          <t>Media</t>
        </is>
      </c>
      <c r="Q7" s="16" t="inlineStr">
        <is>
          <t>v2</t>
        </is>
      </c>
      <c r="R7" s="16" t="inlineStr">
        <is>
          <t>Básico</t>
        </is>
      </c>
    </row>
    <row r="8" ht="34.5" customHeight="1" s="12">
      <c r="A8" s="22" t="inlineStr">
        <is>
          <t>F003-1</t>
        </is>
      </c>
      <c r="B8" s="22" t="inlineStr">
        <is>
          <t>comun</t>
        </is>
      </c>
      <c r="C8" s="22" t="inlineStr">
        <is>
          <t>Transparencia y acceso a la información pública</t>
        </is>
      </c>
      <c r="D8" s="22" t="inlineStr">
        <is>
          <t>C003</t>
        </is>
      </c>
      <c r="E8" s="22" t="inlineStr">
        <is>
          <t>Periodista que pide un expediente</t>
        </is>
      </c>
      <c r="F8" s="22" t="inlineStr">
        <is>
          <t>Un periodista pide copia completa de un expediente sancionatorio en curso, que incluye datos de trabajadores de la empresa investigada. La entidad niega parte de la información y él anuncia que insistirá.</t>
        </is>
      </c>
      <c r="G8" s="22" t="inlineStr">
        <is>
          <t>Si la entidad decide no entregar parte de la información por estar reservada, debe</t>
        </is>
      </c>
      <c r="H8" s="22" t="inlineStr">
        <is>
          <t>Negar mediante acto motivado que cite las normas de reserva</t>
        </is>
      </c>
      <c r="I8" s="22" t="inlineStr">
        <is>
          <t>Negar de forma verbal</t>
        </is>
      </c>
      <c r="J8" s="22" t="inlineStr">
        <is>
          <t>Omitir esa parte, conforme al criterio del área que la produjo</t>
        </is>
      </c>
      <c r="K8" s="22" t="inlineStr">
        <is>
          <t>A</t>
        </is>
      </c>
      <c r="L8" s="22" t="inlineStr">
        <is>
          <t>La negativa por reserva debe ser motivada e indicar en forma precisa las normas que la sustentan (art. 25 CPACA).</t>
        </is>
      </c>
      <c r="M8" s="22" t="inlineStr">
        <is>
          <t>Negar de forma verbal impide al ciudadano conocer y controvertir los motivos; omitir la parte reservada oculta su existencia y deja al peticionario sin qué insistir.</t>
        </is>
      </c>
      <c r="N8" s="22" t="inlineStr">
        <is>
          <t>Ley 1712 de 2014; Ley 1437 de 2011, arts. 25 y 26</t>
        </is>
      </c>
      <c r="O8" s="22" t="inlineStr">
        <is>
          <t>SI</t>
        </is>
      </c>
      <c r="P8" s="16" t="inlineStr">
        <is>
          <t>Media</t>
        </is>
      </c>
      <c r="Q8" s="16" t="inlineStr">
        <is>
          <t>v2</t>
        </is>
      </c>
      <c r="R8" s="16" t="inlineStr">
        <is>
          <t>Básico</t>
        </is>
      </c>
    </row>
    <row r="9" ht="34.5" customHeight="1" s="12">
      <c r="A9" s="22" t="inlineStr">
        <is>
          <t>F003-2</t>
        </is>
      </c>
      <c r="B9" s="22" t="inlineStr">
        <is>
          <t>comun</t>
        </is>
      </c>
      <c r="C9" s="22" t="inlineStr">
        <is>
          <t>Transparencia y acceso a la información pública</t>
        </is>
      </c>
      <c r="D9" s="22" t="inlineStr">
        <is>
          <t>C003</t>
        </is>
      </c>
      <c r="E9" s="22" t="inlineStr">
        <is>
          <t>Periodista que pide un expediente</t>
        </is>
      </c>
      <c r="F9" s="22" t="inlineStr">
        <is>
          <t>Un periodista pide copia completa de un expediente sancionatorio en curso, que incluye datos de trabajadores de la empresa investigada. La entidad niega parte de la información y él anuncia que insistirá.</t>
        </is>
      </c>
      <c r="G9" s="22" t="inlineStr">
        <is>
          <t>Para los datos personales de los trabajadores, la mejor práctica es</t>
        </is>
      </c>
      <c r="H9" s="22" t="inlineStr">
        <is>
          <t>Entregar el documento completo, por tratarse de información pública</t>
        </is>
      </c>
      <c r="I9" s="22" t="inlineStr">
        <is>
          <t>Negar el documento completo, por contener datos de los trabajadores</t>
        </is>
      </c>
      <c r="J9" s="22" t="inlineStr">
        <is>
          <t>Entregar el documento con los datos personales protegidos o anonimizados</t>
        </is>
      </c>
      <c r="K9" s="22" t="inlineStr">
        <is>
          <t>C</t>
        </is>
      </c>
      <c r="L9" s="22" t="inlineStr">
        <is>
          <t>La Ley 1712 de 2014 permite la divulgación parcial: se protege lo exceptuado y se entrega lo demás.</t>
        </is>
      </c>
      <c r="M9" s="22" t="inlineStr">
        <is>
          <t>Entregar todo desprotege datos personales de terceros; negar el documento completo desconoce que la ley permite la divulgación parcial de lo que no está exceptuado.</t>
        </is>
      </c>
      <c r="N9" s="22" t="inlineStr">
        <is>
          <t>Ley 1712 de 2014; Ley 1437 de 2011, arts. 25 y 26</t>
        </is>
      </c>
      <c r="O9" s="22" t="inlineStr">
        <is>
          <t>SI</t>
        </is>
      </c>
      <c r="P9" s="16" t="inlineStr">
        <is>
          <t>Media</t>
        </is>
      </c>
      <c r="Q9" s="16" t="inlineStr">
        <is>
          <t>v2</t>
        </is>
      </c>
      <c r="R9" s="16" t="inlineStr">
        <is>
          <t>Básico</t>
        </is>
      </c>
    </row>
    <row r="10" ht="34.5" customHeight="1" s="12">
      <c r="A10" s="22" t="inlineStr">
        <is>
          <t>F003-3</t>
        </is>
      </c>
      <c r="B10" s="22" t="inlineStr">
        <is>
          <t>comun</t>
        </is>
      </c>
      <c r="C10" s="22" t="inlineStr">
        <is>
          <t>Transparencia y acceso a la información pública</t>
        </is>
      </c>
      <c r="D10" s="22" t="inlineStr">
        <is>
          <t>C003</t>
        </is>
      </c>
      <c r="E10" s="22" t="inlineStr">
        <is>
          <t>Periodista que pide un expediente</t>
        </is>
      </c>
      <c r="F10" s="22" t="inlineStr">
        <is>
          <t>Un periodista pide copia completa de un expediente sancionatorio en curso, que incluye datos de trabajadores de la empresa investigada. La entidad niega parte de la información y él anuncia que insistirá.</t>
        </is>
      </c>
      <c r="G10" s="22" t="inlineStr">
        <is>
          <t>El periodista insiste en conocer la parte reservada. En ese caso la entidad debe</t>
        </is>
      </c>
      <c r="H10" s="22" t="inlineStr">
        <is>
          <t>Resolver ella misma la insistencia, mediante recurso de apelación</t>
        </is>
      </c>
      <c r="I10" s="22" t="inlineStr">
        <is>
          <t>Remitir la documentación al juez o tribunal administrativo competente</t>
        </is>
      </c>
      <c r="J10" s="22" t="inlineStr">
        <is>
          <t>Entregar de inmediato la información</t>
        </is>
      </c>
      <c r="K10" s="22" t="inlineStr">
        <is>
          <t>B</t>
        </is>
      </c>
      <c r="L10" s="22" t="inlineStr">
        <is>
          <t>Ante la insistencia, la autoridad remite la documentación al juez o tribunal administrativo, que decide si se levanta la reserva (art. 26 CPACA).</t>
        </is>
      </c>
      <c r="M10" s="22" t="inlineStr">
        <is>
          <t>La apelación no procede contra la negativa por reserva, que tiene su propio trámite; entregar la información para evitar la tutela renuncia a una reserva fijada por ley.</t>
        </is>
      </c>
      <c r="N10" s="22" t="inlineStr">
        <is>
          <t>Ley 1712 de 2014; Ley 1437 de 2011, arts. 25 y 26</t>
        </is>
      </c>
      <c r="O10" s="22" t="inlineStr">
        <is>
          <t>SI</t>
        </is>
      </c>
      <c r="P10" s="16" t="inlineStr">
        <is>
          <t>Media</t>
        </is>
      </c>
      <c r="Q10" s="16" t="inlineStr">
        <is>
          <t>v2</t>
        </is>
      </c>
      <c r="R10" s="16" t="inlineStr">
        <is>
          <t>Básico</t>
        </is>
      </c>
    </row>
    <row r="11" ht="34.5" customHeight="1" s="12">
      <c r="A11" s="22" t="inlineStr">
        <is>
          <t>F004-1</t>
        </is>
      </c>
      <c r="B11" s="22" t="inlineStr">
        <is>
          <t>comun</t>
        </is>
      </c>
      <c r="C11" s="22" t="inlineStr">
        <is>
          <t>Gestión pública: MIPG, control interno y riesgos</t>
        </is>
      </c>
      <c r="D11" s="22" t="inlineStr">
        <is>
          <t>C004</t>
        </is>
      </c>
      <c r="E11" s="22" t="inlineStr">
        <is>
          <t>Riesgo de corrupción materializado</t>
        </is>
      </c>
      <c r="F11" s="22" t="inlineStr">
        <is>
          <t>En la revisión anual del mapa de riesgos, el grupo descubre que un riesgo de corrupción identificado el año pasado se materializó: un funcionario autorizó un trámite sin verificar requisitos y nadie reportó nada.</t>
        </is>
      </c>
      <c r="G11" s="22" t="inlineStr">
        <is>
          <t>Dentro del esquema de líneas de defensa de MIPG, identificar y gestionar los riesgos en la operación diaria corresponde a</t>
        </is>
      </c>
      <c r="H11" s="22" t="inlineStr">
        <is>
          <t>Los entes de control externos</t>
        </is>
      </c>
      <c r="I11" s="22" t="inlineStr">
        <is>
          <t>La tercera línea: la Oficina de Control Interno y sus auditores</t>
        </is>
      </c>
      <c r="J11" s="22" t="inlineStr">
        <is>
          <t>La primera línea: los líderes de proceso y sus equipos</t>
        </is>
      </c>
      <c r="K11" s="22" t="inlineStr">
        <is>
          <t>C</t>
        </is>
      </c>
      <c r="L11" s="22" t="inlineStr">
        <is>
          <t>En MIPG la primera línea (líderes y equipos de proceso) gestiona los riesgos en el día a día; la tercera evalúa de forma independiente.</t>
        </is>
      </c>
      <c r="M11" s="22" t="inlineStr">
        <is>
          <t>Los entes de control externos actúan después y desde afuera; la Oficina de Control Interno es la tercera línea, que evalúa de forma independiente, no la que gestiona el riesgo.</t>
        </is>
      </c>
      <c r="N11" s="22" t="inlineStr">
        <is>
          <t>Decreto 1499 de 2017; Ley 1474 de 2011, art. 73</t>
        </is>
      </c>
      <c r="O11" s="22" t="inlineStr">
        <is>
          <t>SI</t>
        </is>
      </c>
      <c r="P11" s="16" t="inlineStr">
        <is>
          <t>Media</t>
        </is>
      </c>
      <c r="Q11" s="16" t="inlineStr">
        <is>
          <t>v2</t>
        </is>
      </c>
      <c r="R11" s="16" t="inlineStr">
        <is>
          <t>Básico</t>
        </is>
      </c>
    </row>
    <row r="12" ht="34.5" customHeight="1" s="12">
      <c r="A12" s="22" t="inlineStr">
        <is>
          <t>F004-2</t>
        </is>
      </c>
      <c r="B12" s="22" t="inlineStr">
        <is>
          <t>comun</t>
        </is>
      </c>
      <c r="C12" s="22" t="inlineStr">
        <is>
          <t>Gestión pública: MIPG, control interno y riesgos</t>
        </is>
      </c>
      <c r="D12" s="22" t="inlineStr">
        <is>
          <t>C004</t>
        </is>
      </c>
      <c r="E12" s="22" t="inlineStr">
        <is>
          <t>Riesgo de corrupción materializado</t>
        </is>
      </c>
      <c r="F12" s="22" t="inlineStr">
        <is>
          <t>En la revisión anual del mapa de riesgos, el grupo descubre que un riesgo de corrupción identificado el año pasado se materializó: un funcionario autorizó un trámite sin verificar requisitos y nadie reportó nada.</t>
        </is>
      </c>
      <c r="G12" s="22" t="inlineStr">
        <is>
          <t>Ante la materialización del riesgo de corrupción, lo que corresponde es</t>
        </is>
      </c>
      <c r="H12" s="22" t="inlineStr">
        <is>
          <t>Retirarlo del mapa de riesgos, porque el hecho ya ocurrió y no se repetirá</t>
        </is>
      </c>
      <c r="I12" s="22" t="inlineStr">
        <is>
          <t>Informar a las instancias y revisar los controles fallidos</t>
        </is>
      </c>
      <c r="J12" s="22" t="inlineStr">
        <is>
          <t>Informar a la auditoría anual y decidir con sus resultados</t>
        </is>
      </c>
      <c r="K12" s="22" t="inlineStr">
        <is>
          <t>B</t>
        </is>
      </c>
      <c r="L12" s="22" t="inlineStr">
        <is>
          <t>Un riesgo materializado obliga a reportar, analizar la falla de los controles y ajustar el mapa y las acciones.</t>
        </is>
      </c>
      <c r="M12" s="22" t="inlineStr">
        <is>
          <t>Retirar el riesgo del mapa borra justamente lo que se debe analizar; esperar la auditoría anual deja sin corrección los controles que ya fallaron.</t>
        </is>
      </c>
      <c r="N12" s="22" t="inlineStr">
        <is>
          <t>Decreto 1499 de 2017; Ley 1474 de 2011, art. 73</t>
        </is>
      </c>
      <c r="O12" s="22" t="inlineStr">
        <is>
          <t>SI</t>
        </is>
      </c>
      <c r="P12" s="16" t="inlineStr">
        <is>
          <t>Media</t>
        </is>
      </c>
      <c r="Q12" s="16" t="inlineStr">
        <is>
          <t>v2</t>
        </is>
      </c>
      <c r="R12" s="16" t="inlineStr">
        <is>
          <t>Básico</t>
        </is>
      </c>
    </row>
    <row r="13" ht="34.5" customHeight="1" s="12">
      <c r="A13" s="22" t="inlineStr">
        <is>
          <t>F004-3</t>
        </is>
      </c>
      <c r="B13" s="22" t="inlineStr">
        <is>
          <t>comun</t>
        </is>
      </c>
      <c r="C13" s="22" t="inlineStr">
        <is>
          <t>Gestión pública: MIPG, control interno y riesgos</t>
        </is>
      </c>
      <c r="D13" s="22" t="inlineStr">
        <is>
          <t>C004</t>
        </is>
      </c>
      <c r="E13" s="22" t="inlineStr">
        <is>
          <t>Riesgo de corrupción materializado</t>
        </is>
      </c>
      <c r="F13" s="22" t="inlineStr">
        <is>
          <t>En la revisión anual del mapa de riesgos, el grupo descubre que un riesgo de corrupción identificado el año pasado se materializó: un funcionario autorizó un trámite sin verificar requisitos y nadie reportó nada.</t>
        </is>
      </c>
      <c r="G13" s="22" t="inlineStr">
        <is>
          <t>La evaluación independiente sobre la eficacia de los controles le corresponde a</t>
        </is>
      </c>
      <c r="H13" s="22" t="inlineStr">
        <is>
          <t>La oficina jurídica, que revisa la legalidad de los controles existentes</t>
        </is>
      </c>
      <c r="I13" s="22" t="inlineStr">
        <is>
          <t>El mismo líder del proceso, mediante la autoevaluación de su equipo</t>
        </is>
      </c>
      <c r="J13" s="22" t="inlineStr">
        <is>
          <t>La Oficina de Control Interno</t>
        </is>
      </c>
      <c r="K13" s="22" t="inlineStr">
        <is>
          <t>C</t>
        </is>
      </c>
      <c r="L13" s="22" t="inlineStr">
        <is>
          <t>La tercera línea de defensa, en cabeza de Control Interno, da aseguramiento independiente.</t>
        </is>
      </c>
      <c r="M13" s="22" t="inlineStr">
        <is>
          <t>La oficina jurídica conceptúa, no evalúa controles; la autoevaluación del líder es primera línea y no da el aseguramiento independiente que exige el modelo.</t>
        </is>
      </c>
      <c r="N13" s="22" t="inlineStr">
        <is>
          <t>Decreto 1499 de 2017; Ley 1474 de 2011, art. 73</t>
        </is>
      </c>
      <c r="O13" s="22" t="inlineStr">
        <is>
          <t>SI</t>
        </is>
      </c>
      <c r="P13" s="16" t="inlineStr">
        <is>
          <t>Media</t>
        </is>
      </c>
      <c r="Q13" s="16" t="inlineStr">
        <is>
          <t>v2</t>
        </is>
      </c>
      <c r="R13" s="16" t="inlineStr">
        <is>
          <t>Básico</t>
        </is>
      </c>
    </row>
    <row r="14" ht="45.75" customHeight="1" s="12">
      <c r="A14" s="22" t="inlineStr">
        <is>
          <t>F005-1</t>
        </is>
      </c>
      <c r="B14" s="22" t="inlineStr">
        <is>
          <t>comun</t>
        </is>
      </c>
      <c r="C14" s="22" t="inlineStr">
        <is>
          <t>Contratación estatal y supervisión</t>
        </is>
      </c>
      <c r="D14" s="22" t="inlineStr">
        <is>
          <t>C005</t>
        </is>
      </c>
      <c r="E14" s="22" t="inlineStr">
        <is>
          <t>Supervisión con entregas incompletas</t>
        </is>
      </c>
      <c r="F14" s="22" t="inlineStr">
        <is>
          <t>Usted supervisa un contrato de apoyo logístico. Van dos entregas incompletas, el contratista promete ponerse al día y, en la última visita, le ofrece un obsequio 'por la paciencia'. El pago del mes se autoriza mañana.</t>
        </is>
      </c>
      <c r="G14" s="22" t="inlineStr">
        <is>
          <t>Como supervisor, su función consiste en</t>
        </is>
      </c>
      <c r="H14" s="22" t="inlineStr">
        <is>
          <t>Hacer seguimiento técnico, administrativo, financiero y jurídico</t>
        </is>
      </c>
      <c r="I14" s="22" t="inlineStr">
        <is>
          <t>Modificar el objeto</t>
        </is>
      </c>
      <c r="J14" s="22" t="inlineStr">
        <is>
          <t>Ejecutar las actividades que el contratista no alcance y descontarlas del pago</t>
        </is>
      </c>
      <c r="K14" s="22" t="inlineStr">
        <is>
          <t>A</t>
        </is>
      </c>
      <c r="L14" s="22" t="inlineStr">
        <is>
          <t>La Ley 1474 de 2011 define la supervisión como el seguimiento integral a la ejecución; no incluye modificar el contrato.</t>
        </is>
      </c>
      <c r="M14" s="22" t="inlineStr">
        <is>
          <t>Modificar el objeto corresponde a la entidad contratante mediante acto o modificación contractual; ejecutar las actividades del contratista confunde supervisión con ejecución.</t>
        </is>
      </c>
      <c r="N14" s="22" t="inlineStr">
        <is>
          <t>Ley 1474 de 2011, arts. 83 y 84; Ley 1952 de 2019</t>
        </is>
      </c>
      <c r="O14" s="22" t="inlineStr">
        <is>
          <t>SI</t>
        </is>
      </c>
      <c r="P14" s="16" t="inlineStr">
        <is>
          <t>Media</t>
        </is>
      </c>
      <c r="Q14" s="16" t="inlineStr">
        <is>
          <t>v2</t>
        </is>
      </c>
      <c r="R14" s="16" t="inlineStr">
        <is>
          <t>Básico</t>
        </is>
      </c>
    </row>
    <row r="15" ht="45.75" customHeight="1" s="12">
      <c r="A15" s="22" t="inlineStr">
        <is>
          <t>F005-2</t>
        </is>
      </c>
      <c r="B15" s="22" t="inlineStr">
        <is>
          <t>comun</t>
        </is>
      </c>
      <c r="C15" s="22" t="inlineStr">
        <is>
          <t>Contratación estatal y supervisión</t>
        </is>
      </c>
      <c r="D15" s="22" t="inlineStr">
        <is>
          <t>C005</t>
        </is>
      </c>
      <c r="E15" s="22" t="inlineStr">
        <is>
          <t>Supervisión con entregas incompletas</t>
        </is>
      </c>
      <c r="F15" s="22" t="inlineStr">
        <is>
          <t>Usted supervisa un contrato de apoyo logístico. Van dos entregas incompletas, el contratista promete ponerse al día y, en la última visita, le ofrece un obsequio 'por la paciencia'. El pago del mes se autoriza mañana.</t>
        </is>
      </c>
      <c r="G15" s="22" t="inlineStr">
        <is>
          <t>Frente a las entregas incompletas, usted debe</t>
        </is>
      </c>
      <c r="H15" s="22" t="inlineStr">
        <is>
          <t>Documentar las entregas y reportarlas al liquidar el contrato</t>
        </is>
      </c>
      <c r="I15" s="22" t="inlineStr">
        <is>
          <t>Pagar el saldo completo, ante la promesa de ponerse al día</t>
        </is>
      </c>
      <c r="J15" s="22" t="inlineStr">
        <is>
          <t>Informar el posible incumplimiento a la entidad, con soportes</t>
        </is>
      </c>
      <c r="K15" s="22" t="inlineStr">
        <is>
          <t>C</t>
        </is>
      </c>
      <c r="L15" s="22" t="inlineStr">
        <is>
          <t>El supervisor debe informar hechos que puedan constituir incumplimiento; si no lo hace, puede responder solidariamente.</t>
        </is>
      </c>
      <c r="M15" s="22" t="inlineStr">
        <is>
          <t>Esperar la liquidación deja correr el incumplimiento sin actuación; pagar completo ante una promesa compromete al supervisor y puede generar responsabilidad solidaria.</t>
        </is>
      </c>
      <c r="N15" s="22" t="inlineStr">
        <is>
          <t>Ley 1474 de 2011, arts. 83 y 84; Ley 1952 de 2019</t>
        </is>
      </c>
      <c r="O15" s="22" t="inlineStr">
        <is>
          <t>SI</t>
        </is>
      </c>
      <c r="P15" s="16" t="inlineStr">
        <is>
          <t>Media</t>
        </is>
      </c>
      <c r="Q15" s="16" t="inlineStr">
        <is>
          <t>v2</t>
        </is>
      </c>
      <c r="R15" s="16" t="inlineStr">
        <is>
          <t>Básico</t>
        </is>
      </c>
    </row>
    <row r="16" ht="45.75" customHeight="1" s="12">
      <c r="A16" s="22" t="inlineStr">
        <is>
          <t>F005-3</t>
        </is>
      </c>
      <c r="B16" s="22" t="inlineStr">
        <is>
          <t>comun</t>
        </is>
      </c>
      <c r="C16" s="22" t="inlineStr">
        <is>
          <t>Contratación estatal y supervisión</t>
        </is>
      </c>
      <c r="D16" s="22" t="inlineStr">
        <is>
          <t>C005</t>
        </is>
      </c>
      <c r="E16" s="22" t="inlineStr">
        <is>
          <t>Supervisión con entregas incompletas</t>
        </is>
      </c>
      <c r="F16" s="22" t="inlineStr">
        <is>
          <t>Usted supervisa un contrato de apoyo logístico. Van dos entregas incompletas, el contratista promete ponerse al día y, en la última visita, le ofrece un obsequio 'por la paciencia'. El pago del mes se autoriza mañana.</t>
        </is>
      </c>
      <c r="G16" s="22" t="inlineStr">
        <is>
          <t>Sobre el obsequio, lo correcto es</t>
        </is>
      </c>
      <c r="H16" s="22" t="inlineStr">
        <is>
          <t>Rechazarlo, porque recibir dádivas está prohibido</t>
        </is>
      </c>
      <c r="I16" s="22" t="inlineStr">
        <is>
          <t>Aceptarlo si su valor es bajo</t>
        </is>
      </c>
      <c r="J16" s="22" t="inlineStr">
        <is>
          <t>Aceptarlo y compartirlo con el equipo</t>
        </is>
      </c>
      <c r="K16" s="22" t="inlineStr">
        <is>
          <t>A</t>
        </is>
      </c>
      <c r="L16" s="22" t="inlineStr">
        <is>
          <t>El régimen disciplinario prohíbe recibir dádivas o beneficios con ocasión del ejercicio de las funciones.</t>
        </is>
      </c>
      <c r="M16" s="22" t="inlineStr">
        <is>
          <t>Aceptarlo por ser de bajo valor mantiene la prohibición de recibir dádivas con ocasión del cargo; compartirlo con el equipo no cambia el origen ni la falta.</t>
        </is>
      </c>
      <c r="N16" s="22" t="inlineStr">
        <is>
          <t>Ley 1474 de 2011, arts. 83 y 84; Ley 1952 de 2019</t>
        </is>
      </c>
      <c r="O16" s="22" t="inlineStr">
        <is>
          <t>SI</t>
        </is>
      </c>
      <c r="P16" s="16" t="inlineStr">
        <is>
          <t>Media</t>
        </is>
      </c>
      <c r="Q16" s="16" t="inlineStr">
        <is>
          <t>v2</t>
        </is>
      </c>
      <c r="R16" s="16" t="inlineStr">
        <is>
          <t>Básico</t>
        </is>
      </c>
    </row>
    <row r="17" ht="45.75" customHeight="1" s="12">
      <c r="A17" s="22" t="inlineStr">
        <is>
          <t>F006-1</t>
        </is>
      </c>
      <c r="B17" s="22" t="inlineStr">
        <is>
          <t>comun</t>
        </is>
      </c>
      <c r="C17" s="22" t="inlineStr">
        <is>
          <t>Ética, integridad y conflicto de interés</t>
        </is>
      </c>
      <c r="D17" s="22" t="inlineStr">
        <is>
          <t>C006</t>
        </is>
      </c>
      <c r="E17" s="22" t="inlineStr">
        <is>
          <t>Visita al laboratorio de su primo</t>
        </is>
      </c>
      <c r="F17" s="22" t="inlineStr">
        <is>
          <t>Le asignan la visita de mañana a un laboratorio cuyo representante legal es su primo hermano. No hay otro profesional disponible en la regional y su jefe dice que, por la urgencia, nadie se va a enterar.</t>
        </is>
      </c>
      <c r="G17" s="22" t="inlineStr">
        <is>
          <t>Lo primero que debe hacer es</t>
        </is>
      </c>
      <c r="H17" s="22" t="inlineStr">
        <is>
          <t>Realizar la actuación con especial rigor</t>
        </is>
      </c>
      <c r="I17" s="22" t="inlineStr">
        <is>
          <t>Declararse impedido por escrito ante su superior, antes de actuar</t>
        </is>
      </c>
      <c r="J17" s="22" t="inlineStr">
        <is>
          <t>Pedir a su primo que designe por escrito a otro representante</t>
        </is>
      </c>
      <c r="K17" s="22" t="inlineStr">
        <is>
          <t>B</t>
        </is>
      </c>
      <c r="L17" s="22" t="inlineStr">
        <is>
          <t>El parentesco dentro del cuarto grado de consanguinidad es causal de impedimento (art. 11 CPACA); debe manifestarse antes de actuar.</t>
        </is>
      </c>
      <c r="M17" s="22" t="inlineStr">
        <is>
          <t>Actuar con especial rigor no elimina la causal de impedimento ni la apariencia de parcialidad; pedirle al primo que designe a otro no altera el vínculo del funcionario con el caso.</t>
        </is>
      </c>
      <c r="N17" s="22" t="inlineStr">
        <is>
          <t>Ley 1437 de 2011, art. 11; Ley 2013 de 2019</t>
        </is>
      </c>
      <c r="O17" s="22" t="inlineStr">
        <is>
          <t>SI</t>
        </is>
      </c>
      <c r="P17" s="16" t="inlineStr">
        <is>
          <t>Media</t>
        </is>
      </c>
      <c r="Q17" s="16" t="inlineStr">
        <is>
          <t>v2</t>
        </is>
      </c>
      <c r="R17" s="16" t="inlineStr">
        <is>
          <t>Básico</t>
        </is>
      </c>
    </row>
    <row r="18" ht="45.75" customHeight="1" s="12">
      <c r="A18" s="22" t="inlineStr">
        <is>
          <t>F006-2</t>
        </is>
      </c>
      <c r="B18" s="22" t="inlineStr">
        <is>
          <t>comun</t>
        </is>
      </c>
      <c r="C18" s="22" t="inlineStr">
        <is>
          <t>Ética, integridad y conflicto de interés</t>
        </is>
      </c>
      <c r="D18" s="22" t="inlineStr">
        <is>
          <t>C006</t>
        </is>
      </c>
      <c r="E18" s="22" t="inlineStr">
        <is>
          <t>Visita al laboratorio de su primo</t>
        </is>
      </c>
      <c r="F18" s="22" t="inlineStr">
        <is>
          <t>Le asignan la visita de mañana a un laboratorio cuyo representante legal es su primo hermano. No hay otro profesional disponible en la regional y su jefe dice que, por la urgencia, nadie se va a enterar.</t>
        </is>
      </c>
      <c r="G18" s="22" t="inlineStr">
        <is>
          <t>Su superior le dice que, por la urgencia, 'nadie se va a enterar'. Usted responde que</t>
        </is>
      </c>
      <c r="H18" s="22" t="inlineStr">
        <is>
          <t>Procederá si la empresa declara por escrito, y bajo juramento, que no hay favorecimiento</t>
        </is>
      </c>
      <c r="I18" s="22" t="inlineStr">
        <is>
          <t>Procederá, dejando constancia del parentesco en el acta de la visita</t>
        </is>
      </c>
      <c r="J18" s="22" t="inlineStr">
        <is>
          <t>El impedimento se tramita igual y la actuación se asigna a otro</t>
        </is>
      </c>
      <c r="K18" s="22" t="inlineStr">
        <is>
          <t>C</t>
        </is>
      </c>
      <c r="L18" s="22" t="inlineStr">
        <is>
          <t>El impedimento no desaparece por la urgencia; debe designarse a otro funcionario o ajustar la programación.</t>
        </is>
      </c>
      <c r="M18" s="22" t="inlineStr">
        <is>
          <t>Una declaración escrita de la empresa no sanea el impedimento; dejar constancia del parentesco tampoco, porque la ley exige apartarse antes de actuar.</t>
        </is>
      </c>
      <c r="N18" s="22" t="inlineStr">
        <is>
          <t>Ley 1437 de 2011, art. 11; Ley 2013 de 2019</t>
        </is>
      </c>
      <c r="O18" s="22" t="inlineStr">
        <is>
          <t>SI</t>
        </is>
      </c>
      <c r="P18" s="16" t="inlineStr">
        <is>
          <t>Media</t>
        </is>
      </c>
      <c r="Q18" s="16" t="inlineStr">
        <is>
          <t>v2</t>
        </is>
      </c>
      <c r="R18" s="16" t="inlineStr">
        <is>
          <t>Básico</t>
        </is>
      </c>
    </row>
    <row r="19" ht="45.75" customHeight="1" s="12">
      <c r="A19" s="22" t="inlineStr">
        <is>
          <t>F006-3</t>
        </is>
      </c>
      <c r="B19" s="22" t="inlineStr">
        <is>
          <t>comun</t>
        </is>
      </c>
      <c r="C19" s="22" t="inlineStr">
        <is>
          <t>Ética, integridad y conflicto de interés</t>
        </is>
      </c>
      <c r="D19" s="22" t="inlineStr">
        <is>
          <t>C006</t>
        </is>
      </c>
      <c r="E19" s="22" t="inlineStr">
        <is>
          <t>Visita al laboratorio de su primo</t>
        </is>
      </c>
      <c r="F19" s="22" t="inlineStr">
        <is>
          <t>Le asignan la visita de mañana a un laboratorio cuyo representante legal es su primo hermano. No hay otro profesional disponible en la regional y su jefe dice que, por la urgencia, nadie se va a enterar.</t>
        </is>
      </c>
      <c r="G19" s="22" t="inlineStr">
        <is>
          <t>Para prevenir situaciones similares en su dependencia, la acción más útil es</t>
        </is>
      </c>
      <c r="H19" s="22" t="inlineStr">
        <is>
          <t>Actualizar la declaración de conflictos antes de asignar</t>
        </is>
      </c>
      <c r="I19" s="22" t="inlineStr">
        <is>
          <t>Dejar la revisión de conflictos en manos de cada empresa</t>
        </is>
      </c>
      <c r="J19" s="22" t="inlineStr">
        <is>
          <t>Prohibir que los funcionarios tengan familiares vigilados</t>
        </is>
      </c>
      <c r="K19" s="22" t="inlineStr">
        <is>
          <t>A</t>
        </is>
      </c>
      <c r="L19" s="22" t="inlineStr">
        <is>
          <t>La gestión preventiva del conflicto de interés parte de declararlo y verificarlo antes de asignar tareas (Ley 2013 de 2019, MIPG).</t>
        </is>
      </c>
      <c r="M19" s="22" t="inlineStr">
        <is>
          <t>Dejar la revisión en manos de cada empresa entrega el control al vigilado; prohibir tener familiares en el sector excede la ley y no resuelve el conflicto puntual.</t>
        </is>
      </c>
      <c r="N19" s="22" t="inlineStr">
        <is>
          <t>Ley 1437 de 2011, art. 11; Ley 2013 de 2019</t>
        </is>
      </c>
      <c r="O19" s="22" t="inlineStr">
        <is>
          <t>SI</t>
        </is>
      </c>
      <c r="P19" s="16" t="inlineStr">
        <is>
          <t>Media</t>
        </is>
      </c>
      <c r="Q19" s="16" t="inlineStr">
        <is>
          <t>v2</t>
        </is>
      </c>
      <c r="R19" s="16" t="inlineStr">
        <is>
          <t>Básico</t>
        </is>
      </c>
    </row>
    <row r="20" ht="57" customHeight="1" s="12">
      <c r="A20" s="22" t="inlineStr">
        <is>
          <t>F007-1</t>
        </is>
      </c>
      <c r="B20" s="22" t="inlineStr">
        <is>
          <t>invima</t>
        </is>
      </c>
      <c r="C20" s="22" t="inlineStr">
        <is>
          <t>Inspección, vigilancia y control sanitario</t>
        </is>
      </c>
      <c r="D20" s="22" t="inlineStr">
        <is>
          <t>C007</t>
        </is>
      </c>
      <c r="E20" s="22" t="inlineStr">
        <is>
          <t>Cadena de frío en una droguería</t>
        </is>
      </c>
      <c r="F20" s="22" t="inlineStr">
        <is>
          <t>Durante una visita a una droguería usted verifica la nevera: los medicamentos termolábiles están a 14 °C, muy por encima del rango de 2 a 8 °C exigido, y el registro de temperatura lleva doce días sin diligenciar. El regente pide no tomar decisiones hasta que llegue el abogado del propietario.</t>
        </is>
      </c>
      <c r="G20" s="22" t="inlineStr">
        <is>
          <t>Frente al riesgo encontrado, la actuación que corresponde es</t>
        </is>
      </c>
      <c r="H20" s="22" t="inlineStr">
        <is>
          <t>Esperar al abogado del vigilado y decidir con él la medida que corresponda</t>
        </is>
      </c>
      <c r="I20" s="22" t="inlineStr">
        <is>
          <t>Aplicar la medida sanitaria y dejarla consignada en el acta</t>
        </is>
      </c>
      <c r="J20" s="22" t="inlineStr">
        <is>
          <t>Programar una nueva visita y verificar entonces si el riesgo persiste</t>
        </is>
      </c>
      <c r="K20" s="22" t="inlineStr">
        <is>
          <t>B</t>
        </is>
      </c>
      <c r="L20" s="22" t="inlineStr">
        <is>
          <t>Las medidas sanitarias de seguridad son preventivas, transitorias y de ejecución inmediata cuando existe riesgo para la salud.</t>
        </is>
      </c>
      <c r="M20" s="22" t="inlineStr">
        <is>
          <t>Esperar al abogado aplaza una medida que es de ejecución inmediata frente a un riesgo; programar otra visita deja el riesgo intacto mientras tanto.</t>
        </is>
      </c>
      <c r="N20" s="22" t="inlineStr">
        <is>
          <t>Ley 9 de 1979, art. 576; C. de E., Sec. Tercera, exp. 66118 de 2024</t>
        </is>
      </c>
      <c r="O20" s="22" t="inlineStr">
        <is>
          <t>SI</t>
        </is>
      </c>
      <c r="P20" s="16" t="inlineStr">
        <is>
          <t>Media</t>
        </is>
      </c>
      <c r="Q20" s="16" t="inlineStr">
        <is>
          <t>v2</t>
        </is>
      </c>
      <c r="R20" s="16" t="inlineStr">
        <is>
          <t>Específico</t>
        </is>
      </c>
    </row>
    <row r="21" ht="57" customHeight="1" s="12">
      <c r="A21" s="22" t="inlineStr">
        <is>
          <t>F007-2</t>
        </is>
      </c>
      <c r="B21" s="22" t="inlineStr">
        <is>
          <t>invima</t>
        </is>
      </c>
      <c r="C21" s="22" t="inlineStr">
        <is>
          <t>Inspección, vigilancia y control sanitario</t>
        </is>
      </c>
      <c r="D21" s="22" t="inlineStr">
        <is>
          <t>C007</t>
        </is>
      </c>
      <c r="E21" s="22" t="inlineStr">
        <is>
          <t>Cadena de frío en una droguería</t>
        </is>
      </c>
      <c r="F21" s="22" t="inlineStr">
        <is>
          <t>Durante una visita a una droguería usted verifica la nevera: los medicamentos termolábiles están a 14 °C, muy por encima del rango de 2 a 8 °C exigido, y el registro de temperatura lleva doce días sin diligenciar. El regente pide no tomar decisiones hasta que llegue el abogado del propietario.</t>
        </is>
      </c>
      <c r="G21" s="22" t="inlineStr">
        <is>
          <t>El representante legal anuncia que interpondrá recurso de reposición contra la medida. Usted le explica que</t>
        </is>
      </c>
      <c r="H21" s="22" t="inlineStr">
        <is>
          <t>El recurso suspende la medida hasta que la entidad lo resuelva</t>
        </is>
      </c>
      <c r="I21" s="22" t="inlineStr">
        <is>
          <t>El recurso procede dentro de los tres días siguientes al acta</t>
        </is>
      </c>
      <c r="J21" s="22" t="inlineStr">
        <is>
          <t>Contra esa medida de seguridad no procede recurso alguno</t>
        </is>
      </c>
      <c r="K21" s="22" t="inlineStr">
        <is>
          <t>C</t>
        </is>
      </c>
      <c r="L21" s="22" t="inlineStr">
        <is>
          <t>Por su carácter preventivo y transitorio, contra estas medidas no proceden recursos; se levantan cuando desaparecen sus causas.</t>
        </is>
      </c>
      <c r="M21" s="22" t="inlineStr">
        <is>
          <t>Decir que el recurso suspende la medida desconoce su naturaleza preventiva; fijar un plazo de tres días inventa un recurso que la norma no contempla.</t>
        </is>
      </c>
      <c r="N21" s="22" t="inlineStr">
        <is>
          <t>Ley 9 de 1979, art. 576; C. de E., Sec. Tercera, exp. 66118 de 2024</t>
        </is>
      </c>
      <c r="O21" s="22" t="inlineStr">
        <is>
          <t>SI</t>
        </is>
      </c>
      <c r="P21" s="16" t="inlineStr">
        <is>
          <t>Media</t>
        </is>
      </c>
      <c r="Q21" s="16" t="inlineStr">
        <is>
          <t>v2</t>
        </is>
      </c>
      <c r="R21" s="16" t="inlineStr">
        <is>
          <t>Específico</t>
        </is>
      </c>
    </row>
    <row r="22" ht="57" customHeight="1" s="12">
      <c r="A22" s="22" t="inlineStr">
        <is>
          <t>F007-3</t>
        </is>
      </c>
      <c r="B22" s="22" t="inlineStr">
        <is>
          <t>invima</t>
        </is>
      </c>
      <c r="C22" s="22" t="inlineStr">
        <is>
          <t>Inspección, vigilancia y control sanitario</t>
        </is>
      </c>
      <c r="D22" s="22" t="inlineStr">
        <is>
          <t>C007</t>
        </is>
      </c>
      <c r="E22" s="22" t="inlineStr">
        <is>
          <t>Cadena de frío en una droguería</t>
        </is>
      </c>
      <c r="F22" s="22" t="inlineStr">
        <is>
          <t>Durante una visita a una droguería usted verifica la nevera: los medicamentos termolábiles están a 14 °C, muy por encima del rango de 2 a 8 °C exigido, y el registro de temperatura lleva doce días sin diligenciar. El regente pide no tomar decisiones hasta que llegue el abogado del propietario.</t>
        </is>
      </c>
      <c r="G22" s="22" t="inlineStr">
        <is>
          <t>Sobre la relación entre la medida aplicada y una eventual sanción, es correcto afirmar que</t>
        </is>
      </c>
      <c r="H22" s="22" t="inlineStr">
        <is>
          <t>La medida es la sanción, por lo cual el caso queda cerrado hoy</t>
        </is>
      </c>
      <c r="I22" s="22" t="inlineStr">
        <is>
          <t>La medida procede después de que exista una sanción en firme</t>
        </is>
      </c>
      <c r="J22" s="22" t="inlineStr">
        <is>
          <t>La medida no es sanción ni impide el proceso sancionatorio</t>
        </is>
      </c>
      <c r="K22" s="22" t="inlineStr">
        <is>
          <t>C</t>
        </is>
      </c>
      <c r="L22" s="22" t="inlineStr">
        <is>
          <t>La medida sanitaria no es sanción y es independiente del procedimiento sancionatorio.</t>
        </is>
      </c>
      <c r="M22" s="22" t="inlineStr">
        <is>
          <t>Tratar la medida como sanción cierra el caso sin procedimiento; exigir sanción en firme previa invierte el orden: la medida es preventiva y anterior.</t>
        </is>
      </c>
      <c r="N22" s="22" t="inlineStr">
        <is>
          <t>Ley 9 de 1979, art. 576; C. de E., Sec. Tercera, exp. 66118 de 2024</t>
        </is>
      </c>
      <c r="O22" s="22" t="inlineStr">
        <is>
          <t>SI</t>
        </is>
      </c>
      <c r="P22" s="16" t="inlineStr">
        <is>
          <t>Media</t>
        </is>
      </c>
      <c r="Q22" s="16" t="inlineStr">
        <is>
          <t>v2</t>
        </is>
      </c>
      <c r="R22" s="16" t="inlineStr">
        <is>
          <t>Específico</t>
        </is>
      </c>
    </row>
    <row r="23" ht="45.75" customHeight="1" s="12">
      <c r="A23" s="22" t="inlineStr">
        <is>
          <t>F008-1</t>
        </is>
      </c>
      <c r="B23" s="22" t="inlineStr">
        <is>
          <t>invima</t>
        </is>
      </c>
      <c r="C23" s="22" t="inlineStr">
        <is>
          <t>Procedimiento administrativo sancionatorio</t>
        </is>
      </c>
      <c r="D23" s="22" t="inlineStr">
        <is>
          <t>C008</t>
        </is>
      </c>
      <c r="E23" s="22" t="inlineStr">
        <is>
          <t>Auto de cargos que nadie quiere firmar</t>
        </is>
      </c>
      <c r="F23" s="22" t="inlineStr">
        <is>
          <t>Tras la averiguación preliminar por publicidad engañosa de un suplemento, su coordinador le pide proyectar el auto de cargos. Un colega sugiere dejar el expediente quieto porque 'no hay afán' y ya pasaron dos años.</t>
        </is>
      </c>
      <c r="G23" s="22" t="inlineStr">
        <is>
          <t>Para garantizar el debido proceso, el acto de formulación de cargos debe señalar</t>
        </is>
      </c>
      <c r="H23" s="22" t="inlineStr">
        <is>
          <t>Los hechos y la sanción definitiva que se impondrá al investigado</t>
        </is>
      </c>
      <c r="I23" s="22" t="inlineStr">
        <is>
          <t>Los hechos, las personas, las normas y las sanciones</t>
        </is>
      </c>
      <c r="J23" s="22" t="inlineStr">
        <is>
          <t>Los hechos y las pruebas, pues las normas se precisan en la decisión</t>
        </is>
      </c>
      <c r="K23" s="22" t="inlineStr">
        <is>
          <t>B</t>
        </is>
      </c>
      <c r="L23" s="22" t="inlineStr">
        <is>
          <t>El artículo 47 del CPACA exige precisar hechos, personas, disposiciones presuntamente vulneradas y sanciones o medidas procedentes.</t>
        </is>
      </c>
      <c r="M23" s="22" t="inlineStr">
        <is>
          <t>Anunciar la sanción definitiva prejuzga el resultado de la actuación; omitir las normas presuntamente vulneradas impide ejercer la defensa desde los cargos.</t>
        </is>
      </c>
      <c r="N23" s="22" t="inlineStr">
        <is>
          <t>Ley 1437 de 2011, arts. 47 y 52</t>
        </is>
      </c>
      <c r="O23" s="22" t="inlineStr">
        <is>
          <t>SI</t>
        </is>
      </c>
      <c r="P23" s="16" t="inlineStr">
        <is>
          <t>Alta</t>
        </is>
      </c>
      <c r="Q23" s="16" t="inlineStr">
        <is>
          <t>v2</t>
        </is>
      </c>
      <c r="R23" s="16" t="inlineStr">
        <is>
          <t>Específico</t>
        </is>
      </c>
    </row>
    <row r="24" ht="45.75" customHeight="1" s="12">
      <c r="A24" s="22" t="inlineStr">
        <is>
          <t>F008-2</t>
        </is>
      </c>
      <c r="B24" s="22" t="inlineStr">
        <is>
          <t>invima</t>
        </is>
      </c>
      <c r="C24" s="22" t="inlineStr">
        <is>
          <t>Procedimiento administrativo sancionatorio</t>
        </is>
      </c>
      <c r="D24" s="22" t="inlineStr">
        <is>
          <t>C008</t>
        </is>
      </c>
      <c r="E24" s="22" t="inlineStr">
        <is>
          <t>Auto de cargos que nadie quiere firmar</t>
        </is>
      </c>
      <c r="F24" s="22" t="inlineStr">
        <is>
          <t>Tras la averiguación preliminar por publicidad engañosa de un suplemento, su coordinador le pide proyectar el auto de cargos. Un colega sugiere dejar el expediente quieto porque 'no hay afán' y ya pasaron dos años.</t>
        </is>
      </c>
      <c r="G24" s="22" t="inlineStr">
        <is>
          <t>Una vez notificado el acto, la empresa cuenta con un término para presentar descargos y solicitar pruebas de</t>
        </is>
      </c>
      <c r="H24" s="22" t="inlineStr">
        <is>
          <t>Cinco (5) días</t>
        </is>
      </c>
      <c r="I24" s="22" t="inlineStr">
        <is>
          <t>Quince (15) días</t>
        </is>
      </c>
      <c r="J24" s="22" t="inlineStr">
        <is>
          <t>Diez (10) días</t>
        </is>
      </c>
      <c r="K24" s="22" t="inlineStr">
        <is>
          <t>B</t>
        </is>
      </c>
      <c r="L24" s="22" t="inlineStr">
        <is>
          <t>Quince (15) días hábiles siguientes a la notificación para presentar descargos y pedir o aportar pruebas. Ley 1437 de 2011, artículo 47.</t>
        </is>
      </c>
      <c r="M24" s="22" t="inlineStr">
        <is>
          <t>Cinco días corresponden a otras actuaciones; diez días es el término de alegatos y de los recursos, no el de descargos.</t>
        </is>
      </c>
      <c r="N24" s="22" t="inlineStr">
        <is>
          <t>Ley 1437 de 2011, art. 47</t>
        </is>
      </c>
      <c r="O24" s="22" t="inlineStr">
        <is>
          <t>SI</t>
        </is>
      </c>
      <c r="P24" s="16" t="inlineStr">
        <is>
          <t>Alta</t>
        </is>
      </c>
      <c r="Q24" s="16" t="inlineStr">
        <is>
          <t>v2</t>
        </is>
      </c>
      <c r="R24" s="16" t="inlineStr">
        <is>
          <t>Específico</t>
        </is>
      </c>
    </row>
    <row r="25" ht="45.75" customHeight="1" s="12">
      <c r="A25" s="22" t="inlineStr">
        <is>
          <t>F008-3</t>
        </is>
      </c>
      <c r="B25" s="22" t="inlineStr">
        <is>
          <t>invima</t>
        </is>
      </c>
      <c r="C25" s="22" t="inlineStr">
        <is>
          <t>Procedimiento administrativo sancionatorio</t>
        </is>
      </c>
      <c r="D25" s="22" t="inlineStr">
        <is>
          <t>C008</t>
        </is>
      </c>
      <c r="E25" s="22" t="inlineStr">
        <is>
          <t>Auto de cargos que nadie quiere firmar</t>
        </is>
      </c>
      <c r="F25" s="22" t="inlineStr">
        <is>
          <t>Tras la averiguación preliminar por publicidad engañosa de un suplemento, su coordinador le pide proyectar el auto de cargos. Un colega sugiere dejar el expediente quieto porque 'no hay afán' y ya pasaron dos años.</t>
        </is>
      </c>
      <c r="G25" s="22" t="inlineStr">
        <is>
          <t>Un colega sugiere dejar el expediente en espera varios años. Usted le advierte que</t>
        </is>
      </c>
      <c r="H25" s="22" t="inlineStr">
        <is>
          <t>El término solo empieza a contar desde que se formulan los cargos al investigado</t>
        </is>
      </c>
      <c r="I25" s="22" t="inlineStr">
        <is>
          <t>La facultad sancionatoria no caduca cuando la infracción afecta la salud pública</t>
        </is>
      </c>
      <c r="J25" s="22" t="inlineStr">
        <is>
          <t>La facultad caduca a los tres años de ocurrido el hecho</t>
        </is>
      </c>
      <c r="K25" s="22" t="inlineStr">
        <is>
          <t>C</t>
        </is>
      </c>
      <c r="L25" s="22" t="inlineStr">
        <is>
          <t>Tres (3) años desde el día del hecho para expedir y notificar el acto sancionatorio, salvo norma especial. Ley 1437 de 2011, artículo 52.</t>
        </is>
      </c>
      <c r="M25" s="22" t="inlineStr">
        <is>
          <t>Contar el término desde los cargos permitiría dilatar el inicio a voluntad; afirmar que no caduca en salud pública desconoce que la excepción exige norma especial.</t>
        </is>
      </c>
      <c r="N25" s="22" t="inlineStr">
        <is>
          <t>Ley 1437 de 2011, art. 52</t>
        </is>
      </c>
      <c r="O25" s="22" t="inlineStr">
        <is>
          <t>SI</t>
        </is>
      </c>
      <c r="P25" s="16" t="inlineStr">
        <is>
          <t>Alta</t>
        </is>
      </c>
      <c r="Q25" s="16" t="inlineStr">
        <is>
          <t>v2</t>
        </is>
      </c>
      <c r="R25" s="16" t="inlineStr">
        <is>
          <t>Específico</t>
        </is>
      </c>
    </row>
    <row r="26" ht="34.5" customHeight="1" s="12">
      <c r="A26" s="22" t="inlineStr">
        <is>
          <t>F009-1</t>
        </is>
      </c>
      <c r="B26" s="22" t="inlineStr">
        <is>
          <t>invima</t>
        </is>
      </c>
      <c r="C26" s="22" t="inlineStr">
        <is>
          <t>Laboratorio y toma de muestras</t>
        </is>
      </c>
      <c r="D26" s="22" t="inlineStr">
        <is>
          <t>C009</t>
        </is>
      </c>
      <c r="E26" s="22" t="inlineStr">
        <is>
          <t>Muestras de un suplemento adelgazante</t>
        </is>
      </c>
      <c r="F26" s="22" t="inlineStr">
        <is>
          <t>En un operativo en una bodega de Bogotá usted toma muestras de un lote de suplemento dietario que se promociona como adelgazante y que sería adulterado. El resultado del laboratorio será la prueba central del proceso que se abra.</t>
        </is>
      </c>
      <c r="G26" s="22" t="inlineStr">
        <is>
          <t>Para que el resultado analítico tenga validez, es indispensable</t>
        </is>
      </c>
      <c r="H26" s="22" t="inlineStr">
        <is>
          <t>Tomar la muestra, rotularla, sellarla y registrar sus datos en el acta</t>
        </is>
      </c>
      <c r="I26" s="22" t="inlineStr">
        <is>
          <t>Tomar la muestra y enviarla sin rótulo</t>
        </is>
      </c>
      <c r="J26" s="22" t="inlineStr">
        <is>
          <t>Tomar una sola unidad y registrar el hallazgo en el informe de visita</t>
        </is>
      </c>
      <c r="K26" s="22" t="inlineStr">
        <is>
          <t>A</t>
        </is>
      </c>
      <c r="L26" s="22" t="inlineStr">
        <is>
          <t>La muestra se toma, rotula, sella y registra en el acta, para conservar la cadena de custodia y la trazabilidad. Ley 9 de 1979, artículos 576 y 578; Constitución Política, artículo 29.</t>
        </is>
      </c>
      <c r="M26" s="22" t="inlineStr">
        <is>
          <t>Enviar la muestra sin rótulo rompe la trazabilidad y hace inútil el análisis; tomar una sola unidad sin acta impide acreditar qué se analizó y de dónde salió.</t>
        </is>
      </c>
      <c r="N26" s="22" t="inlineStr">
        <is>
          <t>Ley 9 de 1979, arts. 576 y 578; Constitución Política, art. 29</t>
        </is>
      </c>
      <c r="O26" s="22" t="inlineStr">
        <is>
          <t>SI</t>
        </is>
      </c>
      <c r="P26" s="16" t="inlineStr">
        <is>
          <t>Media</t>
        </is>
      </c>
      <c r="Q26" s="16" t="inlineStr">
        <is>
          <t>v2</t>
        </is>
      </c>
      <c r="R26" s="16" t="inlineStr">
        <is>
          <t>Específico</t>
        </is>
      </c>
    </row>
    <row r="27" ht="34.5" customHeight="1" s="12">
      <c r="A27" s="22" t="inlineStr">
        <is>
          <t>F009-2</t>
        </is>
      </c>
      <c r="B27" s="22" t="inlineStr">
        <is>
          <t>invima</t>
        </is>
      </c>
      <c r="C27" s="22" t="inlineStr">
        <is>
          <t>Laboratorio y toma de muestras</t>
        </is>
      </c>
      <c r="D27" s="22" t="inlineStr">
        <is>
          <t>C009</t>
        </is>
      </c>
      <c r="E27" s="22" t="inlineStr">
        <is>
          <t>Muestras de un suplemento adelgazante</t>
        </is>
      </c>
      <c r="F27" s="22" t="inlineStr">
        <is>
          <t>En un operativo en una bodega de Bogotá usted toma muestras de un lote de suplemento dietario que se promociona como adelgazante y que sería adulterado. El resultado del laboratorio será la prueba central del proceso que se abra.</t>
        </is>
      </c>
      <c r="G27" s="22" t="inlineStr">
        <is>
          <t>El vigilado pregunta qué pasa si no está de acuerdo con el resultado. Usted le informa que</t>
        </is>
      </c>
      <c r="H27" s="22" t="inlineStr">
        <is>
          <t>Debe aceptar el resultado, porque el laboratorio oficial es el válido</t>
        </is>
      </c>
      <c r="I27" s="22" t="inlineStr">
        <is>
          <t>Debe contratar un laboratorio privado antes de que se emita el resultado</t>
        </is>
      </c>
      <c r="J27" s="22" t="inlineStr">
        <is>
          <t>Puede controvertir el resultado con la contramuestra que se deja sellada</t>
        </is>
      </c>
      <c r="K27" s="22" t="inlineStr">
        <is>
          <t>C</t>
        </is>
      </c>
      <c r="L27" s="22" t="inlineStr">
        <is>
          <t>La contramuestra sellada permite al vigilado controvertir el resultado, en ejercicio del debido proceso. Constitución Política, artículo 29; Ley 1437 de 2011, artículo 47.</t>
        </is>
      </c>
      <c r="M27" s="22" t="inlineStr">
        <is>
          <t>Negar toda posibilidad de controversia desconoce el derecho de defensa; exigir un laboratorio privado previo agrega una carga que la norma no impone.</t>
        </is>
      </c>
      <c r="N27" s="22" t="inlineStr">
        <is>
          <t>Constitución Política, art. 29; Ley 1437 de 2011, art. 47</t>
        </is>
      </c>
      <c r="O27" s="22" t="inlineStr">
        <is>
          <t>SI</t>
        </is>
      </c>
      <c r="P27" s="16" t="inlineStr">
        <is>
          <t>Media</t>
        </is>
      </c>
      <c r="Q27" s="16" t="inlineStr">
        <is>
          <t>v2</t>
        </is>
      </c>
      <c r="R27" s="16" t="inlineStr">
        <is>
          <t>Específico</t>
        </is>
      </c>
    </row>
    <row r="28" ht="34.5" customHeight="1" s="12">
      <c r="A28" s="22" t="inlineStr">
        <is>
          <t>F009-3</t>
        </is>
      </c>
      <c r="B28" s="22" t="inlineStr">
        <is>
          <t>invima</t>
        </is>
      </c>
      <c r="C28" s="22" t="inlineStr">
        <is>
          <t>Laboratorio y toma de muestras</t>
        </is>
      </c>
      <c r="D28" s="22" t="inlineStr">
        <is>
          <t>C009</t>
        </is>
      </c>
      <c r="E28" s="22" t="inlineStr">
        <is>
          <t>Muestras de un suplemento adelgazante</t>
        </is>
      </c>
      <c r="F28" s="22" t="inlineStr">
        <is>
          <t>En un operativo en una bodega de Bogotá usted toma muestras de un lote de suplemento dietario que se promociona como adelgazante y que sería adulterado. El resultado del laboratorio será la prueba central del proceso que se abra.</t>
        </is>
      </c>
      <c r="G28" s="22" t="inlineStr">
        <is>
          <t>Al llegar a la oficina nota que uno de los sellos está roto. Lo correcto es</t>
        </is>
      </c>
      <c r="H28" s="22" t="inlineStr">
        <is>
          <t>Reemplazar el sello y continuar, porque el contenido de la muestra está intacto</t>
        </is>
      </c>
      <c r="I28" s="22" t="inlineStr">
        <is>
          <t>Enviar la muestra y documentar la novedad en el informe de resultados</t>
        </is>
      </c>
      <c r="J28" s="22" t="inlineStr">
        <is>
          <t>Documentar la novedad y consultar si la muestra conserva su validez</t>
        </is>
      </c>
      <c r="K28" s="22" t="inlineStr">
        <is>
          <t>C</t>
        </is>
      </c>
      <c r="L28" s="22" t="inlineStr">
        <is>
          <t>Romper el sello afecta la cadena de custodia: la novedad se documenta y se consulta si la muestra conserva validez. Ley 1437 de 2011, artículo 48; Ley 9 de 1979, artículo 578.</t>
        </is>
      </c>
      <c r="M28" s="22" t="inlineStr">
        <is>
          <t>Reemplazar el sello encubre la ruptura de la cadena de custodia; anotar la novedad solo al final impide decidir a tiempo si la muestra sirve.</t>
        </is>
      </c>
      <c r="N28" s="22" t="inlineStr">
        <is>
          <t>Ley 1437 de 2011, art. 48; Ley 9 de 1979, art. 578</t>
        </is>
      </c>
      <c r="O28" s="22" t="inlineStr">
        <is>
          <t>SI</t>
        </is>
      </c>
      <c r="P28" s="16" t="inlineStr">
        <is>
          <t>Media</t>
        </is>
      </c>
      <c r="Q28" s="16" t="inlineStr">
        <is>
          <t>v2</t>
        </is>
      </c>
      <c r="R28" s="16" t="inlineStr">
        <is>
          <t>Específico</t>
        </is>
      </c>
    </row>
    <row r="29" ht="45.75" customHeight="1" s="12">
      <c r="A29" s="22" t="inlineStr">
        <is>
          <t>F010-1</t>
        </is>
      </c>
      <c r="B29" s="22" t="inlineStr">
        <is>
          <t>invima</t>
        </is>
      </c>
      <c r="C29" s="22" t="inlineStr">
        <is>
          <t>Alimentos: buenas prácticas y requisitos sanitarios</t>
        </is>
      </c>
      <c r="D29" s="22" t="inlineStr">
        <is>
          <t>C010</t>
        </is>
      </c>
      <c r="E29" s="22" t="inlineStr">
        <is>
          <t>Tres productos y un operario herido</t>
        </is>
      </c>
      <c r="F29" s="22" t="inlineStr">
        <is>
          <t>Una empresa quiere lanzar tres productos: un alimento de alto riesgo, uno de riesgo medio y uno de riesgo bajo. En la visita usted revisa además el plan de saneamiento y encuentra a un operario con una herida infectada.</t>
        </is>
      </c>
      <c r="G29" s="22" t="inlineStr">
        <is>
          <t>Según la clasificación por riesgo en salud pública, un alimento de alto riesgo requiere para su comercialización</t>
        </is>
      </c>
      <c r="H29" s="22" t="inlineStr">
        <is>
          <t>Permiso sanitario</t>
        </is>
      </c>
      <c r="I29" s="22" t="inlineStr">
        <is>
          <t>Notificación sanitaria</t>
        </is>
      </c>
      <c r="J29" s="22" t="inlineStr">
        <is>
          <t>Registro sanitario</t>
        </is>
      </c>
      <c r="K29" s="22" t="inlineStr">
        <is>
          <t>C</t>
        </is>
      </c>
      <c r="L29" s="22" t="inlineStr">
        <is>
          <t>La Resolución 2674 de 2013 asigna registro sanitario al alto riesgo, permiso al riesgo medio y notificación al riesgo bajo.</t>
        </is>
      </c>
      <c r="M29" s="22" t="inlineStr">
        <is>
          <t>El permiso sanitario corresponde al riesgo medio y la notificación al riesgo bajo; usarlos en alto riesgo deja el producto sin la evaluación que exige la norma.</t>
        </is>
      </c>
      <c r="N29" s="22" t="inlineStr">
        <is>
          <t>Resolución 2674 de 2013, arts. 14, 26 y 37</t>
        </is>
      </c>
      <c r="O29" s="22" t="inlineStr">
        <is>
          <t>SI</t>
        </is>
      </c>
      <c r="P29" s="16" t="inlineStr">
        <is>
          <t>Basica</t>
        </is>
      </c>
      <c r="Q29" s="16" t="inlineStr">
        <is>
          <t>v2</t>
        </is>
      </c>
      <c r="R29" s="16" t="inlineStr">
        <is>
          <t>Específico</t>
        </is>
      </c>
    </row>
    <row r="30" ht="45.75" customHeight="1" s="12">
      <c r="A30" s="22" t="inlineStr">
        <is>
          <t>F010-2</t>
        </is>
      </c>
      <c r="B30" s="22" t="inlineStr">
        <is>
          <t>invima</t>
        </is>
      </c>
      <c r="C30" s="22" t="inlineStr">
        <is>
          <t>Alimentos: buenas prácticas y requisitos sanitarios</t>
        </is>
      </c>
      <c r="D30" s="22" t="inlineStr">
        <is>
          <t>C010</t>
        </is>
      </c>
      <c r="E30" s="22" t="inlineStr">
        <is>
          <t>Tres productos y un operario herido</t>
        </is>
      </c>
      <c r="F30" s="22" t="inlineStr">
        <is>
          <t>Una empresa quiere lanzar tres productos: un alimento de alto riesgo, uno de riesgo medio y uno de riesgo bajo. En la visita usted revisa además el plan de saneamiento y encuentra a un operario con una herida infectada.</t>
        </is>
      </c>
      <c r="G30" s="22" t="inlineStr">
        <is>
          <t>Al revisar el plan de saneamiento, usted verifica que contenga, como mínimo, los programas de</t>
        </is>
      </c>
      <c r="H30" s="22" t="inlineStr">
        <is>
          <t>Mercadeo, ventas, publicidad</t>
        </is>
      </c>
      <c r="I30" s="22" t="inlineStr">
        <is>
          <t>Limpieza, residuos sólidos, plagas y agua potable</t>
        </is>
      </c>
      <c r="J30" s="22" t="inlineStr">
        <is>
          <t>Calibración, mantenimiento, compras y almacenamiento</t>
        </is>
      </c>
      <c r="K30" s="22" t="inlineStr">
        <is>
          <t>B</t>
        </is>
      </c>
      <c r="L30" s="22" t="inlineStr">
        <is>
          <t>El plan de saneamiento incluye limpieza y desinfección, desechos sólidos, control de plagas y abastecimiento de agua potable.</t>
        </is>
      </c>
      <c r="M30" s="22" t="inlineStr">
        <is>
          <t>Mercadeo y ventas no son programas sanitarios; calibración y mantenimiento hacen parte de otros procesos y no cubren plagas, agua ni residuos.</t>
        </is>
      </c>
      <c r="N30" s="22" t="inlineStr">
        <is>
          <t>Resolución 2674 de 2013, arts. 14, 26 y 37</t>
        </is>
      </c>
      <c r="O30" s="22" t="inlineStr">
        <is>
          <t>SI</t>
        </is>
      </c>
      <c r="P30" s="16" t="inlineStr">
        <is>
          <t>Basica</t>
        </is>
      </c>
      <c r="Q30" s="16" t="inlineStr">
        <is>
          <t>v2</t>
        </is>
      </c>
      <c r="R30" s="16" t="inlineStr">
        <is>
          <t>Específico</t>
        </is>
      </c>
    </row>
    <row r="31" ht="45.75" customHeight="1" s="12">
      <c r="A31" s="22" t="inlineStr">
        <is>
          <t>F010-3</t>
        </is>
      </c>
      <c r="B31" s="22" t="inlineStr">
        <is>
          <t>invima</t>
        </is>
      </c>
      <c r="C31" s="22" t="inlineStr">
        <is>
          <t>Alimentos: buenas prácticas y requisitos sanitarios</t>
        </is>
      </c>
      <c r="D31" s="22" t="inlineStr">
        <is>
          <t>C010</t>
        </is>
      </c>
      <c r="E31" s="22" t="inlineStr">
        <is>
          <t>Tres productos y un operario herido</t>
        </is>
      </c>
      <c r="F31" s="22" t="inlineStr">
        <is>
          <t>Una empresa quiere lanzar tres productos: un alimento de alto riesgo, uno de riesgo medio y uno de riesgo bajo. En la visita usted revisa además el plan de saneamiento y encuentra a un operario con una herida infectada.</t>
        </is>
      </c>
      <c r="G31" s="22" t="inlineStr">
        <is>
          <t>Encuentra a un operario con una herida infectada en la mano manipulando alimentos. Lo correcto es exigir que</t>
        </is>
      </c>
      <c r="H31" s="22" t="inlineStr">
        <is>
          <t>Sea retirado de la manipulación hasta que pase el riesgo</t>
        </is>
      </c>
      <c r="I31" s="22" t="inlineStr">
        <is>
          <t>Firme un compromiso escrito de lavarse las manos con más frecuencia durante el turno</t>
        </is>
      </c>
      <c r="J31" s="22" t="inlineStr">
        <is>
          <t>Siga trabajando con guantes de nitrilo</t>
        </is>
      </c>
      <c r="K31" s="22" t="inlineStr">
        <is>
          <t>A</t>
        </is>
      </c>
      <c r="L31" s="22" t="inlineStr">
        <is>
          <t>Quien presente heridas infectadas o enfermedades transmisibles no debe manipular alimentos mientras exista el riesgo.</t>
        </is>
      </c>
      <c r="M31" s="22" t="inlineStr">
        <is>
          <t>Los guantes no eliminan el riesgo de una herida infectada; un compromiso de lavado de manos no sustituye la exclusión temporal de la manipulación.</t>
        </is>
      </c>
      <c r="N31" s="22" t="inlineStr">
        <is>
          <t>Resolución 2674 de 2013, arts. 14, 26 y 37</t>
        </is>
      </c>
      <c r="O31" s="22" t="inlineStr">
        <is>
          <t>SI</t>
        </is>
      </c>
      <c r="P31" s="16" t="inlineStr">
        <is>
          <t>Basica</t>
        </is>
      </c>
      <c r="Q31" s="16" t="inlineStr">
        <is>
          <t>v2</t>
        </is>
      </c>
      <c r="R31" s="16" t="inlineStr">
        <is>
          <t>Específico</t>
        </is>
      </c>
    </row>
    <row r="32" ht="45.75" customHeight="1" s="12">
      <c r="A32" s="22" t="inlineStr">
        <is>
          <t>F011-1</t>
        </is>
      </c>
      <c r="B32" s="22" t="inlineStr">
        <is>
          <t>invima</t>
        </is>
      </c>
      <c r="C32" s="22" t="inlineStr">
        <is>
          <t>Vigilancia poscomercialización y alertas</t>
        </is>
      </c>
      <c r="D32" s="22" t="inlineStr">
        <is>
          <t>C011</t>
        </is>
      </c>
      <c r="E32" s="22" t="inlineStr">
        <is>
          <t>Cuatro instituciones, un mismo lote</t>
        </is>
      </c>
      <c r="F32" s="22" t="inlineStr">
        <is>
          <t>Llegan varios reportes de reacciones adversas graves asociadas a un mismo lote de un inyectable, desde cuatro instituciones y en quince días. El titular sostiene que son casos aislados y pide no alarmar al mercado.</t>
        </is>
      </c>
      <c r="G32" s="22" t="inlineStr">
        <is>
          <t>Desde la farmacovigilancia, la agrupación de reportes en un mismo lote debe tratarse como</t>
        </is>
      </c>
      <c r="H32" s="22" t="inlineStr">
        <is>
          <t>Una señal que exige evaluación de causalidad y análisis del lote</t>
        </is>
      </c>
      <c r="I32" s="22" t="inlineStr">
        <is>
          <t>Una coincidencia, que se revisa cuando lleguen más reportes del lote</t>
        </is>
      </c>
      <c r="J32" s="22" t="inlineStr">
        <is>
          <t>Un problema de manejo y almacenamiento de las instituciones que lo aplicaron</t>
        </is>
      </c>
      <c r="K32" s="22" t="inlineStr">
        <is>
          <t>A</t>
        </is>
      </c>
      <c r="L32" s="22" t="inlineStr">
        <is>
          <t>Varios reportes asociados a un lote constituyen una señal que debe evaluarse de inmediato.</t>
        </is>
      </c>
      <c r="M32" s="22" t="inlineStr">
        <is>
          <t>Tratarlo como coincidencia posterga el análisis mientras el lote sigue aplicándose; atribuirlo a las instituciones traslada la causa sin verificar el producto.</t>
        </is>
      </c>
      <c r="N32" s="22" t="inlineStr">
        <is>
          <t>Programa Nacional de Farmacovigilancia; Ley 9 de 1979, art. 578</t>
        </is>
      </c>
      <c r="O32" s="22" t="inlineStr">
        <is>
          <t>SI</t>
        </is>
      </c>
      <c r="P32" s="16" t="inlineStr">
        <is>
          <t>Media</t>
        </is>
      </c>
      <c r="Q32" s="16" t="inlineStr">
        <is>
          <t>v2</t>
        </is>
      </c>
      <c r="R32" s="16" t="inlineStr">
        <is>
          <t>Específico</t>
        </is>
      </c>
    </row>
    <row r="33" ht="45.75" customHeight="1" s="12">
      <c r="A33" s="22" t="inlineStr">
        <is>
          <t>F011-2</t>
        </is>
      </c>
      <c r="B33" s="22" t="inlineStr">
        <is>
          <t>invima</t>
        </is>
      </c>
      <c r="C33" s="22" t="inlineStr">
        <is>
          <t>Vigilancia poscomercialización y alertas</t>
        </is>
      </c>
      <c r="D33" s="22" t="inlineStr">
        <is>
          <t>C011</t>
        </is>
      </c>
      <c r="E33" s="22" t="inlineStr">
        <is>
          <t>Cuatro instituciones, un mismo lote</t>
        </is>
      </c>
      <c r="F33" s="22" t="inlineStr">
        <is>
          <t>Llegan varios reportes de reacciones adversas graves asociadas a un mismo lote de un inyectable, desde cuatro instituciones y en quince días. El titular sostiene que son casos aislados y pide no alarmar al mercado.</t>
        </is>
      </c>
      <c r="G33" s="22" t="inlineStr">
        <is>
          <t>Si el análisis indica un riesgo para los pacientes, una actuación proporcional es</t>
        </is>
      </c>
      <c r="H33" s="22" t="inlineStr">
        <is>
          <t>Emitir la alerta sanitaria y ordenar el retiro del lote afectado</t>
        </is>
      </c>
      <c r="I33" s="22" t="inlineStr">
        <is>
          <t>Notificar al titular y esperar a que decida retirar el lote</t>
        </is>
      </c>
      <c r="J33" s="22" t="inlineStr">
        <is>
          <t>Suspender el registro de sus inyectables y cerrar la planta</t>
        </is>
      </c>
      <c r="K33" s="22" t="inlineStr">
        <is>
          <t>A</t>
        </is>
      </c>
      <c r="L33" s="22" t="inlineStr">
        <is>
          <t>La medida debe ser proporcional al riesgo: alerta y acción sobre el lote afectado.</t>
        </is>
      </c>
      <c r="M33" s="22" t="inlineStr">
        <is>
          <t>Esperar la decisión voluntaria del titular deja la protección en manos del interesado; suspender todos sus inyectables excede lo necesario frente a un lote identificado.</t>
        </is>
      </c>
      <c r="N33" s="22" t="inlineStr">
        <is>
          <t>Programa Nacional de Farmacovigilancia; Ley 9 de 1979, art. 578</t>
        </is>
      </c>
      <c r="O33" s="22" t="inlineStr">
        <is>
          <t>SI</t>
        </is>
      </c>
      <c r="P33" s="16" t="inlineStr">
        <is>
          <t>Media</t>
        </is>
      </c>
      <c r="Q33" s="16" t="inlineStr">
        <is>
          <t>v2</t>
        </is>
      </c>
      <c r="R33" s="16" t="inlineStr">
        <is>
          <t>Específico</t>
        </is>
      </c>
    </row>
    <row r="34" ht="45.75" customHeight="1" s="12">
      <c r="A34" s="22" t="inlineStr">
        <is>
          <t>F011-3</t>
        </is>
      </c>
      <c r="B34" s="22" t="inlineStr">
        <is>
          <t>invima</t>
        </is>
      </c>
      <c r="C34" s="22" t="inlineStr">
        <is>
          <t>Vigilancia poscomercialización y alertas</t>
        </is>
      </c>
      <c r="D34" s="22" t="inlineStr">
        <is>
          <t>C011</t>
        </is>
      </c>
      <c r="E34" s="22" t="inlineStr">
        <is>
          <t>Cuatro instituciones, un mismo lote</t>
        </is>
      </c>
      <c r="F34" s="22" t="inlineStr">
        <is>
          <t>Llegan varios reportes de reacciones adversas graves asociadas a un mismo lote de un inyectable, desde cuatro instituciones y en quince días. El titular sostiene que son casos aislados y pide no alarmar al mercado.</t>
        </is>
      </c>
      <c r="G34" s="22" t="inlineStr">
        <is>
          <t>Al redactar la alerta sanitaria, lo más importante es</t>
        </is>
      </c>
      <c r="H34" s="22" t="inlineStr">
        <is>
          <t>Usar lenguaje técnico y detallado</t>
        </is>
      </c>
      <c r="I34" s="22" t="inlineStr">
        <is>
          <t>Describir el riesgo y sus causas, sin citar el lote</t>
        </is>
      </c>
      <c r="J34" s="22" t="inlineStr">
        <is>
          <t>Indicar el producto, el lote, el riesgo y qué debe hacer cada quien</t>
        </is>
      </c>
      <c r="K34" s="22" t="inlineStr">
        <is>
          <t>C</t>
        </is>
      </c>
      <c r="L34" s="22" t="inlineStr">
        <is>
          <t>Una comunicación de riesgo útil identifica el producto y el lote y dice qué hacer, en lenguaje claro.</t>
        </is>
      </c>
      <c r="M34" s="22" t="inlineStr">
        <is>
          <t>El lenguaje técnico impide que el paciente entienda qué hacer; omitir el lote vuelve inútil la alerta, porque nadie puede identificar el producto afectado.</t>
        </is>
      </c>
      <c r="N34" s="22" t="inlineStr">
        <is>
          <t>Programa Nacional de Farmacovigilancia; Ley 9 de 1979, art. 578</t>
        </is>
      </c>
      <c r="O34" s="22" t="inlineStr">
        <is>
          <t>SI</t>
        </is>
      </c>
      <c r="P34" s="16" t="inlineStr">
        <is>
          <t>Media</t>
        </is>
      </c>
      <c r="Q34" s="16" t="inlineStr">
        <is>
          <t>v2</t>
        </is>
      </c>
      <c r="R34" s="16" t="inlineStr">
        <is>
          <t>Específico</t>
        </is>
      </c>
    </row>
    <row r="35" ht="34.5" customHeight="1" s="12">
      <c r="A35" s="22" t="inlineStr">
        <is>
          <t>F012-1</t>
        </is>
      </c>
      <c r="B35" s="22" t="inlineStr">
        <is>
          <t>invima</t>
        </is>
      </c>
      <c r="C35" s="22" t="inlineStr">
        <is>
          <t>Bebidas alcohólicas</t>
        </is>
      </c>
      <c r="D35" s="22" t="inlineStr">
        <is>
          <t>C012</t>
        </is>
      </c>
      <c r="E35" s="22" t="inlineStr">
        <is>
          <t>Aguardiente sospechoso de adulteración</t>
        </is>
      </c>
      <c r="F35" s="22" t="inlineStr">
        <is>
          <t>En un operativo en un depósito de Ibagué se hallan 180 botellas de aguardiente sin registro sanitario, con envases reutilizados y tapas sin sello. El comerciante afirma que compró de buena fe y muestra una factura sin identificación del proveedor.</t>
        </is>
      </c>
      <c r="G35" s="22" t="inlineStr">
        <is>
          <t>El mayor riesgo para la salud que debe descartarse en este producto es</t>
        </is>
      </c>
      <c r="H35" s="22" t="inlineStr">
        <is>
          <t>Una graduación alcohólica inferior a la declarada en el rótulo del producto</t>
        </is>
      </c>
      <c r="I35" s="22" t="inlineStr">
        <is>
          <t>La presencia de metanol, que puede causar ceguera o muerte</t>
        </is>
      </c>
      <c r="J35" s="22" t="inlineStr">
        <is>
          <t>Un contenido de azúcar superior al declarado en la etiqueta nutricional del producto</t>
        </is>
      </c>
      <c r="K35" s="22" t="inlineStr">
        <is>
          <t>B</t>
        </is>
      </c>
      <c r="L35" s="22" t="inlineStr">
        <is>
          <t>En bebidas adulteradas el metanol es el riesgo crítico por su toxicidad.</t>
        </is>
      </c>
      <c r="M35" s="22" t="inlineStr">
        <is>
          <t>Una graduación menor y un exceso de azúcar afectan la calidad o el rótulo, pero no causan el daño grave e inmediato que sí produce el metanol.</t>
        </is>
      </c>
      <c r="N35" s="22" t="inlineStr">
        <is>
          <t>Decreto 1686 de 2012; Ley 9 de 1979, arts. 576 y 577</t>
        </is>
      </c>
      <c r="O35" s="22" t="inlineStr">
        <is>
          <t>SI</t>
        </is>
      </c>
      <c r="P35" s="16" t="inlineStr">
        <is>
          <t>Media</t>
        </is>
      </c>
      <c r="Q35" s="16" t="inlineStr">
        <is>
          <t>v2</t>
        </is>
      </c>
      <c r="R35" s="16" t="inlineStr">
        <is>
          <t>Específico</t>
        </is>
      </c>
    </row>
    <row r="36" ht="34.5" customHeight="1" s="12">
      <c r="A36" s="22" t="inlineStr">
        <is>
          <t>F012-2</t>
        </is>
      </c>
      <c r="B36" s="22" t="inlineStr">
        <is>
          <t>invima</t>
        </is>
      </c>
      <c r="C36" s="22" t="inlineStr">
        <is>
          <t>Bebidas alcohólicas</t>
        </is>
      </c>
      <c r="D36" s="22" t="inlineStr">
        <is>
          <t>C012</t>
        </is>
      </c>
      <c r="E36" s="22" t="inlineStr">
        <is>
          <t>Aguardiente sospechoso de adulteración</t>
        </is>
      </c>
      <c r="F36" s="22" t="inlineStr">
        <is>
          <t>En un operativo en un depósito de Ibagué se hallan 180 botellas de aguardiente sin registro sanitario, con envases reutilizados y tapas sin sello. El comerciante afirma que compró de buena fe y muestra una factura sin identificación del proveedor.</t>
        </is>
      </c>
      <c r="G36" s="22" t="inlineStr">
        <is>
          <t>Además de aplicar la medida sanitaria y tomar muestras, corresponde</t>
        </is>
      </c>
      <c r="H36" s="22" t="inlineStr">
        <is>
          <t>Destruir el producto y documentarlo en el informe de visita</t>
        </is>
      </c>
      <c r="I36" s="22" t="inlineStr">
        <is>
          <t>Informar a las autoridades, incluida la Fiscalía si hay indicios de delito</t>
        </is>
      </c>
      <c r="J36" s="22" t="inlineStr">
        <is>
          <t>Devolver el producto al tenedor si demuestra con factura que lo compró de buena fe</t>
        </is>
      </c>
      <c r="K36" s="22" t="inlineStr">
        <is>
          <t>B</t>
        </is>
      </c>
      <c r="L36" s="22" t="inlineStr">
        <is>
          <t>La adulteración puede constituir delito; se informa a las autoridades sin perjuicio de la actuación sanitaria, y todo se documenta.</t>
        </is>
      </c>
      <c r="M36" s="22" t="inlineStr">
        <is>
          <t>Destruir sin acta elimina la prueba del hallazgo; devolver el producto por la buena fe del tenedor deja circular un producto que puede ser peligroso.</t>
        </is>
      </c>
      <c r="N36" s="22" t="inlineStr">
        <is>
          <t>Decreto 1686 de 2012; Ley 9 de 1979, arts. 576 y 577</t>
        </is>
      </c>
      <c r="O36" s="22" t="inlineStr">
        <is>
          <t>SI</t>
        </is>
      </c>
      <c r="P36" s="16" t="inlineStr">
        <is>
          <t>Media</t>
        </is>
      </c>
      <c r="Q36" s="16" t="inlineStr">
        <is>
          <t>v2</t>
        </is>
      </c>
      <c r="R36" s="16" t="inlineStr">
        <is>
          <t>Específico</t>
        </is>
      </c>
    </row>
    <row r="37" ht="34.5" customHeight="1" s="12">
      <c r="A37" s="22" t="inlineStr">
        <is>
          <t>F012-3</t>
        </is>
      </c>
      <c r="B37" s="22" t="inlineStr">
        <is>
          <t>invima</t>
        </is>
      </c>
      <c r="C37" s="22" t="inlineStr">
        <is>
          <t>Bebidas alcohólicas</t>
        </is>
      </c>
      <c r="D37" s="22" t="inlineStr">
        <is>
          <t>C012</t>
        </is>
      </c>
      <c r="E37" s="22" t="inlineStr">
        <is>
          <t>Aguardiente sospechoso de adulteración</t>
        </is>
      </c>
      <c r="F37" s="22" t="inlineStr">
        <is>
          <t>En un operativo en un depósito de Ibagué se hallan 180 botellas de aguardiente sin registro sanitario, con envases reutilizados y tapas sin sello. El comerciante afirma que compró de buena fe y muestra una factura sin identificación del proveedor.</t>
        </is>
      </c>
      <c r="G37" s="22" t="inlineStr">
        <is>
          <t>En el esquema del Decreto 1686 de 2012, la vigilancia de la fabricación e importación de bebidas alcohólicas le corresponde a</t>
        </is>
      </c>
      <c r="H37" s="22" t="inlineStr">
        <is>
          <t>Las secretarías de salud municipales de categoría especial</t>
        </is>
      </c>
      <c r="I37" s="22" t="inlineStr">
        <is>
          <t>El Invima; el expendio queda a cargo de las entidades territoriales</t>
        </is>
      </c>
      <c r="J37" s="22" t="inlineStr">
        <is>
          <t>La Policía Nacional, con apoyo de las autoridades sanitarias</t>
        </is>
      </c>
      <c r="K37" s="22" t="inlineStr">
        <is>
          <t>B</t>
        </is>
      </c>
      <c r="L37" s="22" t="inlineStr">
        <is>
          <t>La fabricación, hidratación y envase los vigila el Invima; el expendio, almacenamiento, distribución y transporte, las direcciones territoriales de salud. Decreto 1686 de 2012, artículo 6; Ley 1122 de 2007, artículo 34.</t>
        </is>
      </c>
      <c r="M37" s="22" t="inlineStr">
        <is>
          <t>Las secretarías municipales vigilan expendio y distribución, no la fabricación; la Policía apoya los operativos, pero no ejerce la vigilancia sanitaria.</t>
        </is>
      </c>
      <c r="N37" s="22" t="inlineStr">
        <is>
          <t>Decreto 1686 de 2012, art. 6; Ley 1122 de 2007, art. 34</t>
        </is>
      </c>
      <c r="O37" s="22" t="inlineStr">
        <is>
          <t>SI</t>
        </is>
      </c>
      <c r="P37" s="16" t="inlineStr">
        <is>
          <t>Media</t>
        </is>
      </c>
      <c r="Q37" s="16" t="inlineStr">
        <is>
          <t>v2</t>
        </is>
      </c>
      <c r="R37" s="16" t="inlineStr">
        <is>
          <t>Específico</t>
        </is>
      </c>
    </row>
    <row r="38" ht="45.75" customHeight="1" s="12">
      <c r="A38" s="22" t="inlineStr">
        <is>
          <t>F013-1</t>
        </is>
      </c>
      <c r="B38" s="22" t="inlineStr">
        <is>
          <t>fne</t>
        </is>
      </c>
      <c r="C38" s="22" t="inlineStr">
        <is>
          <t>Medicamentos monopolio del Estado</t>
        </is>
      </c>
      <c r="D38" s="22" t="inlineStr">
        <is>
          <t>C013</t>
        </is>
      </c>
      <c r="E38" s="22" t="inlineStr">
        <is>
          <t>Tres semanas de morfina en el Huila</t>
        </is>
      </c>
      <c r="F38" s="22" t="inlineStr">
        <is>
          <t>El Fondo Rotatorio del Huila informa que su inventario de morfina alcanza para tres semanas y que dos hospitales de alta complejidad dependen de ese suministro. El consumo nacional viene subiendo desde marzo.</t>
        </is>
      </c>
      <c r="G38" s="22" t="inlineStr">
        <is>
          <t>Frente al riesgo de desabastecimiento, la actuación más adecuada es</t>
        </is>
      </c>
      <c r="H38" s="22" t="inlineStr">
        <is>
          <t>Esperar el pedido ordinario y reforzar el control del consumo mientras llega</t>
        </is>
      </c>
      <c r="I38" s="22" t="inlineStr">
        <is>
          <t>Verificar inventarios y activar el abastecimiento antes de agotarse</t>
        </is>
      </c>
      <c r="J38" s="22" t="inlineStr">
        <is>
          <t>Autorizar la compra directa a un proveedor privado e informarla al Fondo</t>
        </is>
      </c>
      <c r="K38" s="22" t="inlineStr">
        <is>
          <t>B</t>
        </is>
      </c>
      <c r="L38" s="22" t="inlineStr">
        <is>
          <t>Frente al desabastecimiento, la verificación de inventarios y la activación del abastecimiento por el canal del monopolio es lo que corresponde. Resolución 1478 de 2006, artículos 4 y 74.</t>
        </is>
      </c>
      <c r="M38" s="22" t="inlineStr">
        <is>
          <t>Esperar el pedido ordinario deja pasar el plazo en que aún se puede reaccionar; autorizar la compra a un proveedor privado desconoce que estos medicamentos son monopolio del Estado.</t>
        </is>
      </c>
      <c r="N38" s="22" t="inlineStr">
        <is>
          <t>Resolución 1478 de 2006, arts. 4 y 74</t>
        </is>
      </c>
      <c r="O38" s="22" t="inlineStr">
        <is>
          <t>SI</t>
        </is>
      </c>
      <c r="P38" s="16" t="inlineStr">
        <is>
          <t>Media</t>
        </is>
      </c>
      <c r="Q38" s="16" t="inlineStr">
        <is>
          <t>v2</t>
        </is>
      </c>
      <c r="R38" s="16" t="inlineStr">
        <is>
          <t>Específico</t>
        </is>
      </c>
    </row>
    <row r="39" ht="45.75" customHeight="1" s="12">
      <c r="A39" s="22" t="inlineStr">
        <is>
          <t>F013-2</t>
        </is>
      </c>
      <c r="B39" s="22" t="inlineStr">
        <is>
          <t>fne</t>
        </is>
      </c>
      <c r="C39" s="22" t="inlineStr">
        <is>
          <t>Medicamentos monopolio del Estado</t>
        </is>
      </c>
      <c r="D39" s="22" t="inlineStr">
        <is>
          <t>C013</t>
        </is>
      </c>
      <c r="E39" s="22" t="inlineStr">
        <is>
          <t>Tres semanas de morfina en el Huila</t>
        </is>
      </c>
      <c r="F39" s="22" t="inlineStr">
        <is>
          <t>El Fondo Rotatorio del Huila informa que su inventario de morfina alcanza para tres semanas y que dos hospitales de alta complejidad dependen de ese suministro. El consumo nacional viene subiendo desde marzo.</t>
        </is>
      </c>
      <c r="G39" s="22" t="inlineStr">
        <is>
          <t>En los departamentos, la entidad que recibe y distribuye estos medicamentos a los establecimientos autorizados es</t>
        </is>
      </c>
      <c r="H39" s="22" t="inlineStr">
        <is>
          <t>La secretaría de hacienda departamental, que administra los recursos del Fondo</t>
        </is>
      </c>
      <c r="I39" s="22" t="inlineStr">
        <is>
          <t>El Fondo Rotatorio del departamento</t>
        </is>
      </c>
      <c r="J39" s="22" t="inlineStr">
        <is>
          <t>Cada EPS, que los recibe directamente del fabricante para sus afiliados</t>
        </is>
      </c>
      <c r="K39" s="22" t="inlineStr">
        <is>
          <t>B</t>
        </is>
      </c>
      <c r="L39" s="22" t="inlineStr">
        <is>
          <t>En el departamento, quien recibe y distribuye los medicamentos de control especial es el Fondo Rotatorio. Resolución 1478 de 2006, artículos 74 y 76.</t>
        </is>
      </c>
      <c r="M39" s="22" t="inlineStr">
        <is>
          <t>La secretaría de hacienda maneja recursos, no medicamentos fiscalizados; las EPS no pueden recibirlos del fabricante, porque el canal territorial es el Fondo Rotatorio.</t>
        </is>
      </c>
      <c r="N39" s="22" t="inlineStr">
        <is>
          <t>Resolución 1478 de 2006, arts. 74 y 76</t>
        </is>
      </c>
      <c r="O39" s="22" t="inlineStr">
        <is>
          <t>SI</t>
        </is>
      </c>
      <c r="P39" s="16" t="inlineStr">
        <is>
          <t>Media</t>
        </is>
      </c>
      <c r="Q39" s="16" t="inlineStr">
        <is>
          <t>v2</t>
        </is>
      </c>
      <c r="R39" s="16" t="inlineStr">
        <is>
          <t>Específico</t>
        </is>
      </c>
    </row>
    <row r="40" ht="45.75" customHeight="1" s="12">
      <c r="A40" s="22" t="inlineStr">
        <is>
          <t>F013-3</t>
        </is>
      </c>
      <c r="B40" s="22" t="inlineStr">
        <is>
          <t>fne</t>
        </is>
      </c>
      <c r="C40" s="22" t="inlineStr">
        <is>
          <t>Medicamentos monopolio del Estado</t>
        </is>
      </c>
      <c r="D40" s="22" t="inlineStr">
        <is>
          <t>C013</t>
        </is>
      </c>
      <c r="E40" s="22" t="inlineStr">
        <is>
          <t>Tres semanas de morfina en el Huila</t>
        </is>
      </c>
      <c r="F40" s="22" t="inlineStr">
        <is>
          <t>El Fondo Rotatorio del Huila informa que su inventario de morfina alcanza para tres semanas y que dos hospitales de alta complejidad dependen de ese suministro. El consumo nacional viene subiendo desde marzo.</t>
        </is>
      </c>
      <c r="G40" s="22" t="inlineStr">
        <is>
          <t>Si el consumo nacional va a superar lo proyectado, debe tenerse en cuenta que</t>
        </is>
      </c>
      <c r="H40" s="22" t="inlineStr">
        <is>
          <t>Las necesidades del país se informan a la JIFE y puede pedirse una previsión suplementaria</t>
        </is>
      </c>
      <c r="I40" s="22" t="inlineStr">
        <is>
          <t>El país puede importar sin límite, porque los tratados rigen las sustancias ilícitas</t>
        </is>
      </c>
      <c r="J40" s="22" t="inlineStr">
        <is>
          <t>Basta con informar a la Superintendencia de Industria y Comercio del país</t>
        </is>
      </c>
      <c r="K40" s="22" t="inlineStr">
        <is>
          <t>A</t>
        </is>
      </c>
      <c r="L40" s="22" t="inlineStr">
        <is>
          <t>Las previsiones determinan las cantidades máximas para el año y se tramitan ante el Fondo Nacional. Resolución 1478 de 2006, artículos 59 y 63.</t>
        </is>
      </c>
      <c r="M40" s="22" t="inlineStr">
        <is>
          <t>Afirmar que no hay límite confunde las sustancias fiscalizadas con las ilícitas; la Superintendencia de Industria y Comercio no interviene en el sistema de previsiones.</t>
        </is>
      </c>
      <c r="N40" s="22" t="inlineStr">
        <is>
          <t>Resolución 1478 de 2006, arts. 59 y 63</t>
        </is>
      </c>
      <c r="O40" s="22" t="inlineStr">
        <is>
          <t>SI</t>
        </is>
      </c>
      <c r="P40" s="16" t="inlineStr">
        <is>
          <t>Media</t>
        </is>
      </c>
      <c r="Q40" s="16" t="inlineStr">
        <is>
          <t>v2</t>
        </is>
      </c>
      <c r="R40" s="16" t="inlineStr">
        <is>
          <t>Específico</t>
        </is>
      </c>
    </row>
    <row r="41" ht="45.75" customHeight="1" s="12">
      <c r="A41" s="22" t="inlineStr">
        <is>
          <t>F014-1</t>
        </is>
      </c>
      <c r="B41" s="22" t="inlineStr">
        <is>
          <t>fne</t>
        </is>
      </c>
      <c r="C41" s="22" t="inlineStr">
        <is>
          <t>Control y fiscalización de medicamentos de control especial</t>
        </is>
      </c>
      <c r="D41" s="22" t="inlineStr">
        <is>
          <t>C014</t>
        </is>
      </c>
      <c r="E41" s="22" t="inlineStr">
        <is>
          <t>Existencias que no coinciden</t>
        </is>
      </c>
      <c r="F41" s="22" t="inlineStr">
        <is>
          <t>Al revisar los reportes de una droguería, las existencias de un lote de opioides no coinciden con el registro de entradas y salidas. El regente dice que dispensó el faltante con fórmulas médicas comunes.</t>
        </is>
      </c>
      <c r="G41" s="22" t="inlineStr">
        <is>
          <t>Lo primero que corresponde hacer es</t>
        </is>
      </c>
      <c r="H41" s="22" t="inlineStr">
        <is>
          <t>Verificar el conteo físico y ajustar el registro para que las cifras coincidan</t>
        </is>
      </c>
      <c r="I41" s="22" t="inlineStr">
        <is>
          <t>Documentar la diferencia y requerir los soportes</t>
        </is>
      </c>
      <c r="J41" s="22" t="inlineStr">
        <is>
          <t>Ignorar la diferencia si es inferior al 5 % del lote, por considerarse merma</t>
        </is>
      </c>
      <c r="K41" s="22" t="inlineStr">
        <is>
          <t>B</t>
        </is>
      </c>
      <c r="L41" s="22" t="inlineStr">
        <is>
          <t>Una diferencia puede indicar pérdida o desvío; se documenta, se piden soportes y se informa. Nunca se 'cuadra' el registro.</t>
        </is>
      </c>
      <c r="M41" s="22" t="inlineStr">
        <is>
          <t>Ajustar el registro al conteo borra la diferencia sin explicarla; ignorarla por ser pequeña desconoce que en control especial cualquier faltante puede indicar desvío.</t>
        </is>
      </c>
      <c r="N41" s="22" t="inlineStr">
        <is>
          <t>Resolución 1478 de 2006, arts. 84, 90 y 97</t>
        </is>
      </c>
      <c r="O41" s="22" t="inlineStr">
        <is>
          <t>SI</t>
        </is>
      </c>
      <c r="P41" s="16" t="inlineStr">
        <is>
          <t>Basica</t>
        </is>
      </c>
      <c r="Q41" s="16" t="inlineStr">
        <is>
          <t>v2</t>
        </is>
      </c>
      <c r="R41" s="16" t="inlineStr">
        <is>
          <t>Específico</t>
        </is>
      </c>
    </row>
    <row r="42" ht="45.75" customHeight="1" s="12">
      <c r="A42" s="22" t="inlineStr">
        <is>
          <t>F014-2</t>
        </is>
      </c>
      <c r="B42" s="22" t="inlineStr">
        <is>
          <t>fne</t>
        </is>
      </c>
      <c r="C42" s="22" t="inlineStr">
        <is>
          <t>Control y fiscalización de medicamentos de control especial</t>
        </is>
      </c>
      <c r="D42" s="22" t="inlineStr">
        <is>
          <t>C014</t>
        </is>
      </c>
      <c r="E42" s="22" t="inlineStr">
        <is>
          <t>Existencias que no coinciden</t>
        </is>
      </c>
      <c r="F42" s="22" t="inlineStr">
        <is>
          <t>Al revisar los reportes de una droguería, las existencias de un lote de opioides no coinciden con el registro de entradas y salidas. El regente dice que dispensó el faltante con fórmulas médicas comunes.</t>
        </is>
      </c>
      <c r="G42" s="22" t="inlineStr">
        <is>
          <t>El establecimiento dice que dispensó el faltante con fórmulas médicas comunes. Usted le recuerda que</t>
        </is>
      </c>
      <c r="H42" s="22" t="inlineStr">
        <is>
          <t>Deben prescribirse en el recetario oficial</t>
        </is>
      </c>
      <c r="I42" s="22" t="inlineStr">
        <is>
          <t>Solo son necesarias para pacientes hospitalizados</t>
        </is>
      </c>
      <c r="J42" s="22" t="inlineStr">
        <is>
          <t>Pueden formularse en cualquier fórmula médica</t>
        </is>
      </c>
      <c r="K42" s="22" t="inlineStr">
        <is>
          <t>A</t>
        </is>
      </c>
      <c r="L42" s="22" t="inlineStr">
        <is>
          <t>La fórmula de control especial debe expedirse en el recetario oficial; la fórmula común no habilita su dispensación. Resolución 1478 de 2006, artículos 84 y 90.</t>
        </is>
      </c>
      <c r="M42" s="22" t="inlineStr">
        <is>
          <t>Restringir el recetario a pacientes hospitalizados inventa una excepción inexistente; admitir cualquier fórmula elimina el control que justifica el recetario oficial.</t>
        </is>
      </c>
      <c r="N42" s="22" t="inlineStr">
        <is>
          <t>Resolución 1478 de 2006, arts. 84 y 90</t>
        </is>
      </c>
      <c r="O42" s="22" t="inlineStr">
        <is>
          <t>SI</t>
        </is>
      </c>
      <c r="P42" s="16" t="inlineStr">
        <is>
          <t>Basica</t>
        </is>
      </c>
      <c r="Q42" s="16" t="inlineStr">
        <is>
          <t>v2</t>
        </is>
      </c>
      <c r="R42" s="16" t="inlineStr">
        <is>
          <t>Específico</t>
        </is>
      </c>
    </row>
    <row r="43" ht="45.75" customHeight="1" s="12">
      <c r="A43" s="22" t="inlineStr">
        <is>
          <t>F014-3</t>
        </is>
      </c>
      <c r="B43" s="22" t="inlineStr">
        <is>
          <t>fne</t>
        </is>
      </c>
      <c r="C43" s="22" t="inlineStr">
        <is>
          <t>Control y fiscalización de medicamentos de control especial</t>
        </is>
      </c>
      <c r="D43" s="22" t="inlineStr">
        <is>
          <t>C014</t>
        </is>
      </c>
      <c r="E43" s="22" t="inlineStr">
        <is>
          <t>Existencias que no coinciden</t>
        </is>
      </c>
      <c r="F43" s="22" t="inlineStr">
        <is>
          <t>Al revisar los reportes de una droguería, las existencias de un lote de opioides no coinciden con el registro de entradas y salidas. El regente dice que dispensó el faltante con fórmulas médicas comunes.</t>
        </is>
      </c>
      <c r="G43" s="22" t="inlineStr">
        <is>
          <t>Para reducir el riesgo de que el problema se repita, la recomendación técnica más útil es</t>
        </is>
      </c>
      <c r="H43" s="22" t="inlineStr">
        <is>
          <t>Llevar los registros consolidados solo al cierre del año, con revisión contable</t>
        </is>
      </c>
      <c r="I43" s="22" t="inlineStr">
        <is>
          <t>Prohibir al establecimiento manejar estos medicamentos de forma indefinida</t>
        </is>
      </c>
      <c r="J43" s="22" t="inlineStr">
        <is>
          <t>Exigir conciliaciones periódicas con responsables definidos</t>
        </is>
      </c>
      <c r="K43" s="22" t="inlineStr">
        <is>
          <t>C</t>
        </is>
      </c>
      <c r="L43" s="22" t="inlineStr">
        <is>
          <t>La conciliación frecuente con responsables claros detecta diferencias a tiempo.</t>
        </is>
      </c>
      <c r="M43" s="22" t="inlineStr">
        <is>
          <t>Llevar los registros solo al cierre del año impide detectar diferencias a tiempo; prohibir el manejo de forma indefinida excede la medida y no corrige el control interno.</t>
        </is>
      </c>
      <c r="N43" s="22" t="inlineStr">
        <is>
          <t>Resolución 1478 de 2006, arts. 84, 90 y 97</t>
        </is>
      </c>
      <c r="O43" s="22" t="inlineStr">
        <is>
          <t>SI</t>
        </is>
      </c>
      <c r="P43" s="16" t="inlineStr">
        <is>
          <t>Basica</t>
        </is>
      </c>
      <c r="Q43" s="16" t="inlineStr">
        <is>
          <t>v2</t>
        </is>
      </c>
      <c r="R43" s="16" t="inlineStr">
        <is>
          <t>Específico</t>
        </is>
      </c>
    </row>
    <row r="44" ht="34.5" customHeight="1" s="12">
      <c r="A44" s="22" t="inlineStr">
        <is>
          <t>F015-1</t>
        </is>
      </c>
      <c r="B44" s="22" t="inlineStr">
        <is>
          <t>fne</t>
        </is>
      </c>
      <c r="C44" s="22" t="inlineStr">
        <is>
          <t>Control y fiscalización de medicamentos de control especial</t>
        </is>
      </c>
      <c r="D44" s="22" t="inlineStr">
        <is>
          <t>C015</t>
        </is>
      </c>
      <c r="E44" s="22" t="inlineStr">
        <is>
          <t>Clínica de dolor que abre servicio</t>
        </is>
      </c>
      <c r="F44" s="22" t="inlineStr">
        <is>
          <t>Una clínica de dolor quiere comprar opioides para su servicio nuevo. El director teme que tantos requisitos retrasen la atención de sus pacientes y pregunta qué obligaciones le quedan después de inscribirse.</t>
        </is>
      </c>
      <c r="G44" s="22" t="inlineStr">
        <is>
          <t>Antes de adquirir estos medicamentos, la clínica debe</t>
        </is>
      </c>
      <c r="H44" s="22" t="inlineStr">
        <is>
          <t>Solicitar a cada paciente una autorización notariada para el uso del medicamento</t>
        </is>
      </c>
      <c r="I44" s="22" t="inlineStr">
        <is>
          <t>Obtener la inscripción ante la autoridad competente</t>
        </is>
      </c>
      <c r="J44" s="22" t="inlineStr">
        <is>
          <t>Comprarlos al proveedor</t>
        </is>
      </c>
      <c r="K44" s="22" t="inlineStr">
        <is>
          <t>B</t>
        </is>
      </c>
      <c r="L44" s="22" t="inlineStr">
        <is>
          <t>El manejo de medicamentos de control especial requiere autorización previa según la Resolución 1478 de 2006.</t>
        </is>
      </c>
      <c r="M44" s="22" t="inlineStr">
        <is>
          <t>Una autorización notariada del paciente no habilita a la institución; comprar primero y reportar después invierte el orden que exige la inscripción previa.</t>
        </is>
      </c>
      <c r="N44" s="22" t="inlineStr">
        <is>
          <t>Resolución 1478 de 2006, arts. 11 y 91; principio de equilibrio</t>
        </is>
      </c>
      <c r="O44" s="22" t="inlineStr">
        <is>
          <t>SI</t>
        </is>
      </c>
      <c r="P44" s="16" t="inlineStr">
        <is>
          <t>Media</t>
        </is>
      </c>
      <c r="Q44" s="16" t="inlineStr">
        <is>
          <t>v2</t>
        </is>
      </c>
      <c r="R44" s="16" t="inlineStr">
        <is>
          <t>Específico</t>
        </is>
      </c>
    </row>
    <row r="45" ht="34.5" customHeight="1" s="12">
      <c r="A45" s="22" t="inlineStr">
        <is>
          <t>F015-2</t>
        </is>
      </c>
      <c r="B45" s="22" t="inlineStr">
        <is>
          <t>fne</t>
        </is>
      </c>
      <c r="C45" s="22" t="inlineStr">
        <is>
          <t>Control y fiscalización de medicamentos de control especial</t>
        </is>
      </c>
      <c r="D45" s="22" t="inlineStr">
        <is>
          <t>C015</t>
        </is>
      </c>
      <c r="E45" s="22" t="inlineStr">
        <is>
          <t>Clínica de dolor que abre servicio</t>
        </is>
      </c>
      <c r="F45" s="22" t="inlineStr">
        <is>
          <t>Una clínica de dolor quiere comprar opioides para su servicio nuevo. El director teme que tantos requisitos retrasen la atención de sus pacientes y pregunta qué obligaciones le quedan después de inscribirse.</t>
        </is>
      </c>
      <c r="G45" s="22" t="inlineStr">
        <is>
          <t>Una vez autorizada, una obligación permanente de la clínica es</t>
        </is>
      </c>
      <c r="H45" s="22" t="inlineStr">
        <is>
          <t>Reportar solo cuando se agoten las existencias</t>
        </is>
      </c>
      <c r="I45" s="22" t="inlineStr">
        <is>
          <t>No llevar registro de los pacientes</t>
        </is>
      </c>
      <c r="J45" s="22" t="inlineStr">
        <is>
          <t>Reportar periódicamente los movimientos a la autoridad</t>
        </is>
      </c>
      <c r="K45" s="22" t="inlineStr">
        <is>
          <t>C</t>
        </is>
      </c>
      <c r="L45" s="22" t="inlineStr">
        <is>
          <t>El control se basa en el registro y el reporte periódico de entradas, salidas y existencias.</t>
        </is>
      </c>
      <c r="M45" s="22" t="inlineStr">
        <is>
          <t>Reportar solo cuando se agoten deja sin trazabilidad el movimiento; no llevar registro confunde la reserva de datos del paciente con el control de inventarios.</t>
        </is>
      </c>
      <c r="N45" s="22" t="inlineStr">
        <is>
          <t>Resolución 1478 de 2006, arts. 11 y 91; principio de equilibrio</t>
        </is>
      </c>
      <c r="O45" s="22" t="inlineStr">
        <is>
          <t>SI</t>
        </is>
      </c>
      <c r="P45" s="16" t="inlineStr">
        <is>
          <t>Media</t>
        </is>
      </c>
      <c r="Q45" s="16" t="inlineStr">
        <is>
          <t>v2</t>
        </is>
      </c>
      <c r="R45" s="16" t="inlineStr">
        <is>
          <t>Específico</t>
        </is>
      </c>
    </row>
    <row r="46" ht="34.5" customHeight="1" s="12">
      <c r="A46" s="22" t="inlineStr">
        <is>
          <t>F015-3</t>
        </is>
      </c>
      <c r="B46" s="22" t="inlineStr">
        <is>
          <t>fne</t>
        </is>
      </c>
      <c r="C46" s="22" t="inlineStr">
        <is>
          <t>Control y fiscalización de medicamentos de control especial</t>
        </is>
      </c>
      <c r="D46" s="22" t="inlineStr">
        <is>
          <t>C015</t>
        </is>
      </c>
      <c r="E46" s="22" t="inlineStr">
        <is>
          <t>Clínica de dolor que abre servicio</t>
        </is>
      </c>
      <c r="F46" s="22" t="inlineStr">
        <is>
          <t>Una clínica de dolor quiere comprar opioides para su servicio nuevo. El director teme que tantos requisitos retrasen la atención de sus pacientes y pregunta qué obligaciones le quedan después de inscribirse.</t>
        </is>
      </c>
      <c r="G46" s="22" t="inlineStr">
        <is>
          <t>El director de la clínica teme que tantos requisitos impidan atender a sus pacientes. Usted le explica que la política de fiscalización busca</t>
        </is>
      </c>
      <c r="H46" s="22" t="inlineStr">
        <is>
          <t>Restringir al máximo el uso de opioides, aun a costa del tratamiento del dolor</t>
        </is>
      </c>
      <c r="I46" s="22" t="inlineStr">
        <is>
          <t>Equilibrar el control para evitar desvíos con el acceso oportuno para uso médico</t>
        </is>
      </c>
      <c r="J46" s="22" t="inlineStr">
        <is>
          <t>Que los pacientes adquieran los medicamentos por su cuenta</t>
        </is>
      </c>
      <c r="K46" s="22" t="inlineStr">
        <is>
          <t>B</t>
        </is>
      </c>
      <c r="L46" s="22" t="inlineStr">
        <is>
          <t>El principio de equilibrio exige controlar el desvío sin obstaculizar el acceso al tratamiento del dolor. Convención Única de 1961, artículo 4, literal c; Resolución 1478 de 2006, artículo 11.</t>
        </is>
      </c>
      <c r="M46" s="22" t="inlineStr">
        <is>
          <t>Restringir al máximo sacrifica el tratamiento del dolor, que la fiscalización debe proteger; dejar la compra al paciente abandona el canal legal de estos medicamentos.</t>
        </is>
      </c>
      <c r="N46" s="22" t="inlineStr">
        <is>
          <t>Convención Única de 1961, art. 4, lit. c; Resolución 1478 de 2006, art. 11</t>
        </is>
      </c>
      <c r="O46" s="22" t="inlineStr">
        <is>
          <t>SI</t>
        </is>
      </c>
      <c r="P46" s="16" t="inlineStr">
        <is>
          <t>Media</t>
        </is>
      </c>
      <c r="Q46" s="16" t="inlineStr">
        <is>
          <t>v2</t>
        </is>
      </c>
      <c r="R46" s="16" t="inlineStr">
        <is>
          <t>Específico</t>
        </is>
      </c>
    </row>
    <row r="47" ht="34.5" customHeight="1" s="12">
      <c r="A47" s="22" t="inlineStr">
        <is>
          <t>F016-1</t>
        </is>
      </c>
      <c r="B47" s="22" t="inlineStr">
        <is>
          <t>fne</t>
        </is>
      </c>
      <c r="C47" s="22" t="inlineStr">
        <is>
          <t>Comercio internacional de sustancias fiscalizadas</t>
        </is>
      </c>
      <c r="D47" s="22" t="inlineStr">
        <is>
          <t>C016</t>
        </is>
      </c>
      <c r="E47" s="22" t="inlineStr">
        <is>
          <t>Quince kilos de más en el puerto</t>
        </is>
      </c>
      <c r="F47" s="22" t="inlineStr">
        <is>
          <t>Un laboratorio importará materia prima fiscalizada desde India. Al llegar el contenedor a Cartagena, la cantidad supera en 15 kilos lo autorizado y el importador propone recibir todo y aclararlo después.</t>
        </is>
      </c>
      <c r="G47" s="22" t="inlineStr">
        <is>
          <t>Para que la operación sea legal bajo los tratados internacionales, se requiere</t>
        </is>
      </c>
      <c r="H47" s="22" t="inlineStr">
        <is>
          <t>La factura comercial del proveedor y el manifiesto de carga del buque</t>
        </is>
      </c>
      <c r="I47" s="22" t="inlineStr">
        <is>
          <t>La autorización de importación y la de exportación de ambos países</t>
        </is>
      </c>
      <c r="J47" s="22" t="inlineStr">
        <is>
          <t>El permiso de la aduana del país de origen y el pago del arancel aplicable</t>
        </is>
      </c>
      <c r="K47" s="22" t="inlineStr">
        <is>
          <t>B</t>
        </is>
      </c>
      <c r="L47" s="22" t="inlineStr">
        <is>
          <t>La importación de materia prima fiscalizada exige la autorización dentro de la previsión aprobada. Convención Única de 1961, artículos 19 y 21; Resolución 1478 de 2006, artículos 59 y 61.</t>
        </is>
      </c>
      <c r="M47" s="22" t="inlineStr">
        <is>
          <t>La factura y el manifiesto acreditan la operación comercial, no la autorización sanitaria; el permiso aduanero y el arancel son trámites de comercio, no de fiscalización.</t>
        </is>
      </c>
      <c r="N47" s="22" t="inlineStr">
        <is>
          <t>Convención Única de 1961, arts. 19 y 21; Resolución 1478 de 2006, arts. 59 y 61</t>
        </is>
      </c>
      <c r="O47" s="22" t="inlineStr">
        <is>
          <t>SI</t>
        </is>
      </c>
      <c r="P47" s="16" t="inlineStr">
        <is>
          <t>Alta</t>
        </is>
      </c>
      <c r="Q47" s="16" t="inlineStr">
        <is>
          <t>v2</t>
        </is>
      </c>
      <c r="R47" s="16" t="inlineStr">
        <is>
          <t>Específico</t>
        </is>
      </c>
    </row>
    <row r="48" ht="34.5" customHeight="1" s="12">
      <c r="A48" s="22" t="inlineStr">
        <is>
          <t>F016-2</t>
        </is>
      </c>
      <c r="B48" s="22" t="inlineStr">
        <is>
          <t>fne</t>
        </is>
      </c>
      <c r="C48" s="22" t="inlineStr">
        <is>
          <t>Comercio internacional de sustancias fiscalizadas</t>
        </is>
      </c>
      <c r="D48" s="22" t="inlineStr">
        <is>
          <t>C016</t>
        </is>
      </c>
      <c r="E48" s="22" t="inlineStr">
        <is>
          <t>Quince kilos de más en el puerto</t>
        </is>
      </c>
      <c r="F48" s="22" t="inlineStr">
        <is>
          <t>Un laboratorio importará materia prima fiscalizada desde India. Al llegar el contenedor a Cartagena, la cantidad supera en 15 kilos lo autorizado y el importador propone recibir todo y aclararlo después.</t>
        </is>
      </c>
      <c r="G48" s="22" t="inlineStr">
        <is>
          <t>La cantidad que se autorice importar debe ser coherente con</t>
        </is>
      </c>
      <c r="H48" s="22" t="inlineStr">
        <is>
          <t>El precio internacional de esa materia prima en el año</t>
        </is>
      </c>
      <c r="I48" s="22" t="inlineStr">
        <is>
          <t>Las previsiones de necesidades que el país informó</t>
        </is>
      </c>
      <c r="J48" s="22" t="inlineStr">
        <is>
          <t>La capacidad de almacenamiento que tenga el laboratorio</t>
        </is>
      </c>
      <c r="K48" s="22" t="inlineStr">
        <is>
          <t>B</t>
        </is>
      </c>
      <c r="L48" s="22" t="inlineStr">
        <is>
          <t>El cupo se fija con la previsión aprobada para el año, no con el precio ni con la capacidad de bodega. Resolución 1478 de 2006, artículos 59 y 61; Convención Única de 1961, artículo 21.</t>
        </is>
      </c>
      <c r="M48" s="22" t="inlineStr">
        <is>
          <t>El precio internacional no determina cuánto puede importarse; la capacidad de almacenamiento es un dato logístico ajeno al cupo autorizado.</t>
        </is>
      </c>
      <c r="N48" s="22" t="inlineStr">
        <is>
          <t>Resolución 1478 de 2006, arts. 59 y 61; Convención Única de 1961, art. 21</t>
        </is>
      </c>
      <c r="O48" s="22" t="inlineStr">
        <is>
          <t>SI</t>
        </is>
      </c>
      <c r="P48" s="16" t="inlineStr">
        <is>
          <t>Alta</t>
        </is>
      </c>
      <c r="Q48" s="16" t="inlineStr">
        <is>
          <t>v2</t>
        </is>
      </c>
      <c r="R48" s="16" t="inlineStr">
        <is>
          <t>Específico</t>
        </is>
      </c>
    </row>
    <row r="49" ht="34.5" customHeight="1" s="12">
      <c r="A49" s="22" t="inlineStr">
        <is>
          <t>F016-3</t>
        </is>
      </c>
      <c r="B49" s="22" t="inlineStr">
        <is>
          <t>fne</t>
        </is>
      </c>
      <c r="C49" s="22" t="inlineStr">
        <is>
          <t>Comercio internacional de sustancias fiscalizadas</t>
        </is>
      </c>
      <c r="D49" s="22" t="inlineStr">
        <is>
          <t>C016</t>
        </is>
      </c>
      <c r="E49" s="22" t="inlineStr">
        <is>
          <t>Quince kilos de más en el puerto</t>
        </is>
      </c>
      <c r="F49" s="22" t="inlineStr">
        <is>
          <t>Un laboratorio importará materia prima fiscalizada desde India. Al llegar el contenedor a Cartagena, la cantidad supera en 15 kilos lo autorizado y el importador propone recibir todo y aclararlo después.</t>
        </is>
      </c>
      <c r="G49" s="22" t="inlineStr">
        <is>
          <t>Al llegar la mercancía se detecta una cantidad mayor a la autorizada. Lo procedente es</t>
        </is>
      </c>
      <c r="H49" s="22" t="inlineStr">
        <is>
          <t>Recibir el total e informar el excedente en el reporte mensual</t>
        </is>
      </c>
      <c r="I49" s="22" t="inlineStr">
        <is>
          <t>Devolver el excedente al proveedor, con la guía de transporte</t>
        </is>
      </c>
      <c r="J49" s="22" t="inlineStr">
        <is>
          <t>Documentar la diferencia, retener el excedente y reportarlo</t>
        </is>
      </c>
      <c r="K49" s="22" t="inlineStr">
        <is>
          <t>C</t>
        </is>
      </c>
      <c r="L49" s="22" t="inlineStr">
        <is>
          <t>El excedente sobre lo autorizado no puede recibirse sin reporte: se informa y se decide su destino. Resolución 1478 de 2006, artículos 61 y 97; Convención Única de 1961, artículo 21.</t>
        </is>
      </c>
      <c r="M49" s="22" t="inlineStr">
        <is>
          <t>Recibir el total y aclararlo después legaliza de hecho una cantidad no autorizada; devolver el excedente sin reporte deja el movimiento sin control ni registro.</t>
        </is>
      </c>
      <c r="N49" s="22" t="inlineStr">
        <is>
          <t>Resolución 1478 de 2006, arts. 61 y 97</t>
        </is>
      </c>
      <c r="O49" s="22" t="inlineStr">
        <is>
          <t>SI</t>
        </is>
      </c>
      <c r="P49" s="16" t="inlineStr">
        <is>
          <t>Alta</t>
        </is>
      </c>
      <c r="Q49" s="16" t="inlineStr">
        <is>
          <t>repaso</t>
        </is>
      </c>
      <c r="R49" s="16" t="inlineStr">
        <is>
          <t>Específico</t>
        </is>
      </c>
    </row>
    <row r="50" ht="34.5" customHeight="1" s="12">
      <c r="A50" s="22" t="inlineStr">
        <is>
          <t>F017-1</t>
        </is>
      </c>
      <c r="B50" s="22" t="inlineStr">
        <is>
          <t>fne</t>
        </is>
      </c>
      <c r="C50" s="22" t="inlineStr">
        <is>
          <t>Almacenamiento, logística y destrucción</t>
        </is>
      </c>
      <c r="D50" s="22" t="inlineStr">
        <is>
          <t>C017</t>
        </is>
      </c>
      <c r="E50" s="22" t="inlineStr">
        <is>
          <t>Bodega de medicamentos monopolio del Estado</t>
        </is>
      </c>
      <c r="F50" s="22" t="inlineStr">
        <is>
          <t>Usted apoya la bodega donde se guardan los medicamentos monopolio del Estado antes de enviarlos a los Fondos Rotatorios. Ayer se recibieron morfina y metadona, y hay unidades próximas a vencer en el mismo estante.</t>
        </is>
      </c>
      <c r="G50" s="22" t="inlineStr">
        <is>
          <t>La condición de seguridad básica de esta bodega es</t>
        </is>
      </c>
      <c r="H50" s="22" t="inlineStr">
        <is>
          <t>Acceso restringido, bajo llave y con registro de quién ingresa</t>
        </is>
      </c>
      <c r="I50" s="22" t="inlineStr">
        <is>
          <t>Acceso para todo el personal de la entidad</t>
        </is>
      </c>
      <c r="J50" s="22" t="inlineStr">
        <is>
          <t>Acceso con vigilancia en horario nocturno y puerta sin llave</t>
        </is>
      </c>
      <c r="K50" s="22" t="inlineStr">
        <is>
          <t>A</t>
        </is>
      </c>
      <c r="L50" s="22" t="inlineStr">
        <is>
          <t>Los medicamentos fiscalizados exigen seguridad física y control de acceso.</t>
        </is>
      </c>
      <c r="M50" s="22" t="inlineStr">
        <is>
          <t>El acceso libre del personal con cámaras registra, pero no impide el ingreso; la vigilancia solo nocturna con puerta sin llave deja la bodega abierta durante el día.</t>
        </is>
      </c>
      <c r="N50" s="22" t="inlineStr">
        <is>
          <t>Resolución 1478 de 2006, arts. 78 y 79</t>
        </is>
      </c>
      <c r="O50" s="22" t="inlineStr">
        <is>
          <t>SI</t>
        </is>
      </c>
      <c r="P50" s="16" t="inlineStr">
        <is>
          <t>Media</t>
        </is>
      </c>
      <c r="Q50" s="16" t="inlineStr">
        <is>
          <t>v2</t>
        </is>
      </c>
      <c r="R50" s="16" t="inlineStr">
        <is>
          <t>Específico</t>
        </is>
      </c>
    </row>
    <row r="51" ht="34.5" customHeight="1" s="12">
      <c r="A51" s="22" t="inlineStr">
        <is>
          <t>F017-2</t>
        </is>
      </c>
      <c r="B51" s="22" t="inlineStr">
        <is>
          <t>fne</t>
        </is>
      </c>
      <c r="C51" s="22" t="inlineStr">
        <is>
          <t>Almacenamiento, logística y destrucción</t>
        </is>
      </c>
      <c r="D51" s="22" t="inlineStr">
        <is>
          <t>C017</t>
        </is>
      </c>
      <c r="E51" s="22" t="inlineStr">
        <is>
          <t>Bodega de medicamentos monopolio del Estado</t>
        </is>
      </c>
      <c r="F51" s="22" t="inlineStr">
        <is>
          <t>Usted apoya la bodega donde se guardan los medicamentos monopolio del Estado antes de enviarlos a los Fondos Rotatorios. Ayer se recibieron morfina y metadona, y hay unidades próximas a vencer en el mismo estante.</t>
        </is>
      </c>
      <c r="G51" s="22" t="inlineStr">
        <is>
          <t>Para despachar, el criterio de rotación más adecuado es</t>
        </is>
      </c>
      <c r="H51" s="22" t="inlineStr">
        <is>
          <t>Despachar primero los lotes que llegaron de último a la bodega</t>
        </is>
      </c>
      <c r="I51" s="22" t="inlineStr">
        <is>
          <t>Despachar los lotes en forma alterna, para rotar todas las estibas</t>
        </is>
      </c>
      <c r="J51" s="22" t="inlineStr">
        <is>
          <t>Despachar primero los lotes de vencimiento más próximo</t>
        </is>
      </c>
      <c r="K51" s="22" t="inlineStr">
        <is>
          <t>C</t>
        </is>
      </c>
      <c r="L51" s="22" t="inlineStr">
        <is>
          <t>El criterio 'primero en vencer, primero en salir' reduce pérdidas por vencimiento.</t>
        </is>
      </c>
      <c r="M51" s="22" t="inlineStr">
        <is>
          <t>Despachar primero lo último que llegó deja vencer los lotes antiguos; alternar los lotes reparte el movimiento sin atender la fecha de vencimiento.</t>
        </is>
      </c>
      <c r="N51" s="22" t="inlineStr">
        <is>
          <t>Resolución 1478 de 2006, arts. 78 y 79</t>
        </is>
      </c>
      <c r="O51" s="22" t="inlineStr">
        <is>
          <t>SI</t>
        </is>
      </c>
      <c r="P51" s="16" t="inlineStr">
        <is>
          <t>Media</t>
        </is>
      </c>
      <c r="Q51" s="16" t="inlineStr">
        <is>
          <t>v2</t>
        </is>
      </c>
      <c r="R51" s="16" t="inlineStr">
        <is>
          <t>Específico</t>
        </is>
      </c>
    </row>
    <row r="52" ht="34.5" customHeight="1" s="12">
      <c r="A52" s="22" t="inlineStr">
        <is>
          <t>F017-3</t>
        </is>
      </c>
      <c r="B52" s="22" t="inlineStr">
        <is>
          <t>fne</t>
        </is>
      </c>
      <c r="C52" s="22" t="inlineStr">
        <is>
          <t>Almacenamiento, logística y destrucción</t>
        </is>
      </c>
      <c r="D52" s="22" t="inlineStr">
        <is>
          <t>C017</t>
        </is>
      </c>
      <c r="E52" s="22" t="inlineStr">
        <is>
          <t>Bodega de medicamentos monopolio del Estado</t>
        </is>
      </c>
      <c r="F52" s="22" t="inlineStr">
        <is>
          <t>Usted apoya la bodega donde se guardan los medicamentos monopolio del Estado antes de enviarlos a los Fondos Rotatorios. Ayer se recibieron morfina y metadona, y hay unidades próximas a vencer en el mismo estante.</t>
        </is>
      </c>
      <c r="G52" s="22" t="inlineStr">
        <is>
          <t>Hay unidades vencidas que deben eliminarse. Lo correcto es</t>
        </is>
      </c>
      <c r="H52" s="22" t="inlineStr">
        <is>
          <t>Desecharlas como residuo común, por estar fuera de uso</t>
        </is>
      </c>
      <c r="I52" s="22" t="inlineStr">
        <is>
          <t>Donarlas a una institución que las requiera, con acta</t>
        </is>
      </c>
      <c r="J52" s="22" t="inlineStr">
        <is>
          <t>Destruirlas según el procedimiento, con acta de la autoridad</t>
        </is>
      </c>
      <c r="K52" s="22" t="inlineStr">
        <is>
          <t>C</t>
        </is>
      </c>
      <c r="L52" s="22" t="inlineStr">
        <is>
          <t>La destrucción de medicamentos fiscalizados se documenta en acta y con la vigilancia de la autoridad competente.</t>
        </is>
      </c>
      <c r="M52" s="22" t="inlineStr">
        <is>
          <t>Desecharlas como residuo común permite su recuperación y contamina; donarlas entrega a terceros un producto vencido, aunque haya acta de por medio.</t>
        </is>
      </c>
      <c r="N52" s="22" t="inlineStr">
        <is>
          <t>Resolución 1478 de 2006, arts. 78 y 79</t>
        </is>
      </c>
      <c r="O52" s="22" t="inlineStr">
        <is>
          <t>SI</t>
        </is>
      </c>
      <c r="P52" s="16" t="inlineStr">
        <is>
          <t>Media</t>
        </is>
      </c>
      <c r="Q52" s="16" t="inlineStr">
        <is>
          <t>repaso</t>
        </is>
      </c>
      <c r="R52" s="16" t="inlineStr">
        <is>
          <t>Específico</t>
        </is>
      </c>
    </row>
    <row r="53" ht="34.5" customHeight="1" s="12">
      <c r="A53" s="22" t="inlineStr">
        <is>
          <t>F018-1</t>
        </is>
      </c>
      <c r="B53" s="22" t="inlineStr">
        <is>
          <t>fne</t>
        </is>
      </c>
      <c r="C53" s="22" t="inlineStr">
        <is>
          <t>Gestión presupuestal y financiera</t>
        </is>
      </c>
      <c r="D53" s="22" t="inlineStr">
        <is>
          <t>C018</t>
        </is>
      </c>
      <c r="E53" s="22" t="inlineStr">
        <is>
          <t>Compra urgente de medicamentos</t>
        </is>
      </c>
      <c r="F53" s="22" t="inlineStr">
        <is>
          <t>Una emergencia sanitaria dispara el consumo de un medicamento monopolio del Estado. El área técnica pide comprar hoy y el proveedor exige firmar antes del viernes. La oficina financiera advierte que aún no hay certificado de disponibilidad.</t>
        </is>
      </c>
      <c r="G53" s="22" t="inlineStr">
        <is>
          <t>Antes de comprometer recursos, se debe contar con</t>
        </is>
      </c>
      <c r="H53" s="22" t="inlineStr">
        <is>
          <t>La autorización verbal del ordenador del gasto</t>
        </is>
      </c>
      <c r="I53" s="22" t="inlineStr">
        <is>
          <t>El certificado de disponibilidad presupuestal</t>
        </is>
      </c>
      <c r="J53" s="22" t="inlineStr">
        <is>
          <t>La factura del proveedor</t>
        </is>
      </c>
      <c r="K53" s="22" t="inlineStr">
        <is>
          <t>B</t>
        </is>
      </c>
      <c r="L53" s="22" t="inlineStr">
        <is>
          <t>Ningún compromiso puede adquirirse sin certificado de disponibilidad presupuestal previo (Decreto 111 de 1996).</t>
        </is>
      </c>
      <c r="M53" s="22" t="inlineStr">
        <is>
          <t>La autorización verbal no deja constancia ni respalda el gasto; la factura del proveedor es posterior y no acredita que exista apropiación disponible.</t>
        </is>
      </c>
      <c r="N53" s="22" t="inlineStr">
        <is>
          <t>Decreto 111 de 1996, arts. 71 y 73</t>
        </is>
      </c>
      <c r="O53" s="22" t="inlineStr">
        <is>
          <t>SI</t>
        </is>
      </c>
      <c r="P53" s="16" t="inlineStr">
        <is>
          <t>Alta</t>
        </is>
      </c>
      <c r="Q53" s="16" t="inlineStr">
        <is>
          <t>v2</t>
        </is>
      </c>
      <c r="R53" s="16" t="inlineStr">
        <is>
          <t>Específico</t>
        </is>
      </c>
    </row>
    <row r="54" ht="34.5" customHeight="1" s="12">
      <c r="A54" s="22" t="inlineStr">
        <is>
          <t>F018-2</t>
        </is>
      </c>
      <c r="B54" s="22" t="inlineStr">
        <is>
          <t>fne</t>
        </is>
      </c>
      <c r="C54" s="22" t="inlineStr">
        <is>
          <t>Gestión presupuestal y financiera</t>
        </is>
      </c>
      <c r="D54" s="22" t="inlineStr">
        <is>
          <t>C018</t>
        </is>
      </c>
      <c r="E54" s="22" t="inlineStr">
        <is>
          <t>Compra urgente de medicamentos</t>
        </is>
      </c>
      <c r="F54" s="22" t="inlineStr">
        <is>
          <t>Una emergencia sanitaria dispara el consumo de un medicamento monopolio del Estado. El área técnica pide comprar hoy y el proveedor exige firmar antes del viernes. La oficina financiera advierte que aún no hay certificado de disponibilidad.</t>
        </is>
      </c>
      <c r="G54" s="22" t="inlineStr">
        <is>
          <t>Una vez suscrito el contrato, el acto que perfecciona el compromiso y afecta la apropiación de forma definitiva es</t>
        </is>
      </c>
      <c r="H54" s="22" t="inlineStr">
        <is>
          <t>El registro presupuestal</t>
        </is>
      </c>
      <c r="I54" s="22" t="inlineStr">
        <is>
          <t>El pago al proveedor</t>
        </is>
      </c>
      <c r="J54" s="22" t="inlineStr">
        <is>
          <t>El acta de inicio</t>
        </is>
      </c>
      <c r="K54" s="22" t="inlineStr">
        <is>
          <t>A</t>
        </is>
      </c>
      <c r="L54" s="22" t="inlineStr">
        <is>
          <t>El registro presupuestal perfecciona el compromiso y evita que los recursos se destinen a otro fin.</t>
        </is>
      </c>
      <c r="M54" s="22" t="inlineStr">
        <is>
          <t>El pago es la ejecución del compromiso, no su perfeccionamiento; el acta de inicio marca el arranque de la ejecución, sin efecto presupuestal.</t>
        </is>
      </c>
      <c r="N54" s="22" t="inlineStr">
        <is>
          <t>Decreto 111 de 1996, arts. 71 y 73</t>
        </is>
      </c>
      <c r="O54" s="22" t="inlineStr">
        <is>
          <t>SI</t>
        </is>
      </c>
      <c r="P54" s="16" t="inlineStr">
        <is>
          <t>Alta</t>
        </is>
      </c>
      <c r="Q54" s="16" t="inlineStr">
        <is>
          <t>v2</t>
        </is>
      </c>
      <c r="R54" s="16" t="inlineStr">
        <is>
          <t>Específico</t>
        </is>
      </c>
    </row>
    <row r="55" ht="45.75" customHeight="1" s="12">
      <c r="A55" s="22" t="inlineStr">
        <is>
          <t>F018-3</t>
        </is>
      </c>
      <c r="B55" s="22" t="inlineStr">
        <is>
          <t>fne</t>
        </is>
      </c>
      <c r="C55" s="22" t="inlineStr">
        <is>
          <t>Gestión presupuestal y financiera</t>
        </is>
      </c>
      <c r="D55" s="22" t="inlineStr">
        <is>
          <t>C018</t>
        </is>
      </c>
      <c r="E55" s="22" t="inlineStr">
        <is>
          <t>Compra urgente de medicamentos</t>
        </is>
      </c>
      <c r="F55" s="22" t="inlineStr">
        <is>
          <t>Una emergencia sanitaria dispara el consumo de un medicamento monopolio del Estado. El área técnica pide comprar hoy y el proveedor exige firmar antes del viernes. La oficina financiera advierte que aún no hay certificado de disponibilidad.</t>
        </is>
      </c>
      <c r="G55" s="22" t="inlineStr">
        <is>
          <t>El proveedor propone entregar y cobrar el próximo año con cargo al presupuesto actual, sin trámite adicional. Usted advierte que</t>
        </is>
      </c>
      <c r="H55" s="22" t="inlineStr">
        <is>
          <t>El dinero ya está apropiado, así que el compromiso puede asumirse</t>
        </is>
      </c>
      <c r="I55" s="22" t="inlineStr">
        <is>
          <t>Con la aprobación escrita del supervisor el compromiso es válido</t>
        </is>
      </c>
      <c r="J55" s="22" t="inlineStr">
        <is>
          <t>El principio de anualidad limita el compromiso a la vigencia fiscal</t>
        </is>
      </c>
      <c r="K55" s="22" t="inlineStr">
        <is>
          <t>C</t>
        </is>
      </c>
      <c r="L55" s="22" t="inlineStr">
        <is>
          <t>La anualidad limita el gasto a la vigencia fiscal, del 1.º de enero al 31 de diciembre; comprometer la vigencia siguiente exige vigencias futuras. Decreto 111 de 1996, artículo 14; Ley 819 de 2003, artículo 12.</t>
        </is>
      </c>
      <c r="M55" s="22" t="inlineStr">
        <is>
          <t>Que el dinero esté apropiado no habilita comprometer otra vigencia; la firma del supervisor no sustituye la autorización de vigencias futuras.</t>
        </is>
      </c>
      <c r="N55" s="22" t="inlineStr">
        <is>
          <t>Decreto 111 de 1996, art. 14; Ley 819 de 2003, art. 12</t>
        </is>
      </c>
      <c r="O55" s="22" t="inlineStr">
        <is>
          <t>SI</t>
        </is>
      </c>
      <c r="P55" s="16" t="inlineStr">
        <is>
          <t>Alta</t>
        </is>
      </c>
      <c r="Q55" s="16" t="inlineStr">
        <is>
          <t>v2</t>
        </is>
      </c>
      <c r="R55" s="16" t="inlineStr">
        <is>
          <t>Específico</t>
        </is>
      </c>
    </row>
    <row r="56" ht="34.5" customHeight="1" s="12">
      <c r="A56" s="22" t="inlineStr">
        <is>
          <t>F019-1</t>
        </is>
      </c>
      <c r="B56" s="22" t="inlineStr">
        <is>
          <t>comun</t>
        </is>
      </c>
      <c r="C56" s="22" t="inlineStr">
        <is>
          <t>Estado colombiano y función administrativa</t>
        </is>
      </c>
      <c r="D56" s="22" t="inlineStr">
        <is>
          <t>C019</t>
        </is>
      </c>
      <c r="E56" s="22" t="inlineStr">
        <is>
          <t>Trámite que quieren adelantar</t>
        </is>
      </c>
      <c r="F56" s="22" t="inlineStr">
        <is>
          <t>El director pide priorizar el trámite de una empresa porque es 'de un conocido'. Hay 40 solicitudes en cola, algunas de hace tres meses, y la instrucción llega por WhatsApp un viernes a las 6:00 p. m.</t>
        </is>
      </c>
      <c r="G56" s="22" t="inlineStr">
        <is>
          <t>Atender las solicitudes en el orden de llegada, salvo criterios objetivos de priorización, desarrolla principalmente el principio de</t>
        </is>
      </c>
      <c r="H56" s="22" t="inlineStr">
        <is>
          <t>Igualdad e imparcialidad</t>
        </is>
      </c>
      <c r="I56" s="22" t="inlineStr">
        <is>
          <t>Descentralización y desconcentración</t>
        </is>
      </c>
      <c r="J56" s="22" t="inlineStr">
        <is>
          <t>Economía y celeridad procesal</t>
        </is>
      </c>
      <c r="K56" s="22" t="inlineStr">
        <is>
          <t>A</t>
        </is>
      </c>
      <c r="L56" s="22" t="inlineStr">
        <is>
          <t>El artículo 209 de la Constitución consagra, entre otros, los principios de igualdad e imparcialidad de la función administrativa.</t>
        </is>
      </c>
      <c r="M56" s="22" t="inlineStr">
        <is>
          <t>La descentralización se refiere a la distribución de competencias entre entidades; la economía apunta a evitar trámites innecesarios, no a tratar igual a los ciudadanos.</t>
        </is>
      </c>
      <c r="N56" s="22" t="inlineStr">
        <is>
          <t>Constitución Política, arts. 6 y 209</t>
        </is>
      </c>
      <c r="O56" s="22" t="inlineStr">
        <is>
          <t>SI</t>
        </is>
      </c>
      <c r="P56" s="16" t="inlineStr">
        <is>
          <t>Basica</t>
        </is>
      </c>
      <c r="Q56" s="16" t="inlineStr">
        <is>
          <t>v2</t>
        </is>
      </c>
      <c r="R56" s="16" t="inlineStr">
        <is>
          <t>Básico</t>
        </is>
      </c>
    </row>
    <row r="57" ht="45.75" customHeight="1" s="12">
      <c r="A57" s="22" t="inlineStr">
        <is>
          <t>F019-2</t>
        </is>
      </c>
      <c r="B57" s="22" t="inlineStr">
        <is>
          <t>comun</t>
        </is>
      </c>
      <c r="C57" s="22" t="inlineStr">
        <is>
          <t>Estado colombiano y función administrativa</t>
        </is>
      </c>
      <c r="D57" s="22" t="inlineStr">
        <is>
          <t>C019</t>
        </is>
      </c>
      <c r="E57" s="22" t="inlineStr">
        <is>
          <t>Trámite que quieren adelantar</t>
        </is>
      </c>
      <c r="F57" s="22" t="inlineStr">
        <is>
          <t>El director pide priorizar el trámite de una empresa porque es 'de un conocido'. Hay 40 solicitudes en cola, algunas de hace tres meses, y la instrucción llega por WhatsApp un viernes a las 6:00 p. m.</t>
        </is>
      </c>
      <c r="G57" s="22" t="inlineStr">
        <is>
          <t>Frente a la instrucción recibida, la actuación correcta es</t>
        </is>
      </c>
      <c r="H57" s="22" t="inlineStr">
        <is>
          <t>Cumplir la instrucción, dejando constancia escrita de la orden</t>
        </is>
      </c>
      <c r="I57" s="22" t="inlineStr">
        <is>
          <t>Cumplir la instrucción previa autorización escrita del director</t>
        </is>
      </c>
      <c r="J57" s="22" t="inlineStr">
        <is>
          <t>Advertir por escrito que la priorización no tiene criterio objetivo</t>
        </is>
      </c>
      <c r="K57" s="22" t="inlineStr">
        <is>
          <t>C</t>
        </is>
      </c>
      <c r="L57" s="22" t="inlineStr">
        <is>
          <t>La obediencia debida no cubre órdenes contrarias a la Constitución o la ley.</t>
        </is>
      </c>
      <c r="M57" s="22" t="inlineStr">
        <is>
          <t>Cumplir dejando constancia ejecuta igual una orden sin criterio objetivo; pedir autorización escrita del director no convierte en legítima la priorización.</t>
        </is>
      </c>
      <c r="N57" s="22" t="inlineStr">
        <is>
          <t>Constitución Política, arts. 6 y 209</t>
        </is>
      </c>
      <c r="O57" s="22" t="inlineStr">
        <is>
          <t>SI</t>
        </is>
      </c>
      <c r="P57" s="16" t="inlineStr">
        <is>
          <t>Basica</t>
        </is>
      </c>
      <c r="Q57" s="16" t="inlineStr">
        <is>
          <t>v2</t>
        </is>
      </c>
      <c r="R57" s="16" t="inlineStr">
        <is>
          <t>Básico</t>
        </is>
      </c>
    </row>
    <row r="58" ht="34.5" customHeight="1" s="12">
      <c r="A58" s="22" t="inlineStr">
        <is>
          <t>F019-3</t>
        </is>
      </c>
      <c r="B58" s="22" t="inlineStr">
        <is>
          <t>comun</t>
        </is>
      </c>
      <c r="C58" s="22" t="inlineStr">
        <is>
          <t>Estado colombiano y función administrativa</t>
        </is>
      </c>
      <c r="D58" s="22" t="inlineStr">
        <is>
          <t>C019</t>
        </is>
      </c>
      <c r="E58" s="22" t="inlineStr">
        <is>
          <t>Trámite que quieren adelantar</t>
        </is>
      </c>
      <c r="F58" s="22" t="inlineStr">
        <is>
          <t>El director pide priorizar el trámite de una empresa porque es 'de un conocido'. Hay 40 solicitudes en cola, algunas de hace tres meses, y la instrucción llega por WhatsApp un viernes a las 6:00 p. m.</t>
        </is>
      </c>
      <c r="G58" s="22" t="inlineStr">
        <is>
          <t>Según la Constitución, los servidores públicos son responsables por infringir la Constitución y las leyes y, además, por</t>
        </is>
      </c>
      <c r="H58" s="22" t="inlineStr">
        <is>
          <t>Omisión o extralimitación en sus funciones</t>
        </is>
      </c>
      <c r="I58" s="22" t="inlineStr">
        <is>
          <t>Opinar públicamente sobre la gestión de la entidad en medios de comunicación</t>
        </is>
      </c>
      <c r="J58" s="22" t="inlineStr">
        <is>
          <t>No cumplir las metas del plan de acción anual fijadas por la dependencia</t>
        </is>
      </c>
      <c r="K58" s="22" t="inlineStr">
        <is>
          <t>A</t>
        </is>
      </c>
      <c r="L58" s="22" t="inlineStr">
        <is>
          <t>El artículo 6 de la Constitución establece esa doble responsabilidad de los servidores públicos.</t>
        </is>
      </c>
      <c r="M58" s="22" t="inlineStr">
        <is>
          <t>Opinar sobre la gestión no genera responsabilidad por sí mismo; incumplir metas puede afectar la evaluación, pero no es la responsabilidad que fija la Constitución.</t>
        </is>
      </c>
      <c r="N58" s="22" t="inlineStr">
        <is>
          <t>Constitución Política, arts. 6 y 209</t>
        </is>
      </c>
      <c r="O58" s="22" t="inlineStr">
        <is>
          <t>SI</t>
        </is>
      </c>
      <c r="P58" s="16" t="inlineStr">
        <is>
          <t>Basica</t>
        </is>
      </c>
      <c r="Q58" s="16" t="inlineStr">
        <is>
          <t>v2</t>
        </is>
      </c>
      <c r="R58" s="16" t="inlineStr">
        <is>
          <t>Básico</t>
        </is>
      </c>
    </row>
    <row r="59" ht="34.5" customHeight="1" s="12">
      <c r="A59" s="22" t="inlineStr">
        <is>
          <t>F020-1</t>
        </is>
      </c>
      <c r="B59" s="22" t="inlineStr">
        <is>
          <t>comun</t>
        </is>
      </c>
      <c r="C59" s="22" t="inlineStr">
        <is>
          <t>Estado colombiano y función administrativa</t>
        </is>
      </c>
      <c r="D59" s="22" t="inlineStr">
        <is>
          <t>C020</t>
        </is>
      </c>
      <c r="E59" s="22" t="inlineStr">
        <is>
          <t>Visita de estudiantes a la entidad</t>
        </is>
      </c>
      <c r="F59" s="22" t="inlineStr">
        <is>
          <t>Un grupo de estudiantes de salud pública visita la entidad y pregunta de quién depende el Invima, qué ley creó el sistema de salud y por qué la salud se considera hoy un derecho fundamental y no un servicio más.</t>
        </is>
      </c>
      <c r="G59" s="22" t="inlineStr">
        <is>
          <t>La cabeza del sector administrativo de salud y protección social es</t>
        </is>
      </c>
      <c r="H59" s="22" t="inlineStr">
        <is>
          <t>La Superintendencia Nacional de Salud, que vigila el sistema</t>
        </is>
      </c>
      <c r="I59" s="22" t="inlineStr">
        <is>
          <t>El Ministerio de Hacienda y Crédito Público</t>
        </is>
      </c>
      <c r="J59" s="22" t="inlineStr">
        <is>
          <t>El Ministerio de Salud y Protección Social</t>
        </is>
      </c>
      <c r="K59" s="22" t="inlineStr">
        <is>
          <t>C</t>
        </is>
      </c>
      <c r="L59" s="22" t="inlineStr">
        <is>
          <t>Cada sector administrativo lo encabeza un ministerio o departamento administrativo (Ley 489 de 1998).</t>
        </is>
      </c>
      <c r="M59" s="22" t="inlineStr">
        <is>
          <t>La Superintendencia Nacional de Salud inspecciona y vigila el sistema, pero no encabeza el sector; el Ministerio de Hacienda y Crédito Público encabeza el sector hacienda, no el de salud.</t>
        </is>
      </c>
      <c r="N59" s="22" t="inlineStr">
        <is>
          <t>Ley 489 de 1998, art. 42; Ley 100 de 1993; Ley 1751 de 2015</t>
        </is>
      </c>
      <c r="O59" s="22" t="inlineStr">
        <is>
          <t>SI</t>
        </is>
      </c>
      <c r="P59" s="16" t="inlineStr">
        <is>
          <t>Basica</t>
        </is>
      </c>
      <c r="Q59" s="16" t="inlineStr">
        <is>
          <t>v2</t>
        </is>
      </c>
      <c r="R59" s="16" t="inlineStr">
        <is>
          <t>Básico</t>
        </is>
      </c>
    </row>
    <row r="60" ht="34.5" customHeight="1" s="12">
      <c r="A60" s="22" t="inlineStr">
        <is>
          <t>F020-2</t>
        </is>
      </c>
      <c r="B60" s="22" t="inlineStr">
        <is>
          <t>comun</t>
        </is>
      </c>
      <c r="C60" s="22" t="inlineStr">
        <is>
          <t>Estado colombiano y función administrativa</t>
        </is>
      </c>
      <c r="D60" s="22" t="inlineStr">
        <is>
          <t>C020</t>
        </is>
      </c>
      <c r="E60" s="22" t="inlineStr">
        <is>
          <t>Visita de estudiantes a la entidad</t>
        </is>
      </c>
      <c r="F60" s="22" t="inlineStr">
        <is>
          <t>Un grupo de estudiantes de salud pública visita la entidad y pregunta de quién depende el Invima, qué ley creó el sistema de salud y por qué la salud se considera hoy un derecho fundamental y no un servicio más.</t>
        </is>
      </c>
      <c r="G60" s="22" t="inlineStr">
        <is>
          <t>El Sistema General de Seguridad Social en Salud fue creado por</t>
        </is>
      </c>
      <c r="H60" s="22" t="inlineStr">
        <is>
          <t>La Ley 100 de 1993</t>
        </is>
      </c>
      <c r="I60" s="22" t="inlineStr">
        <is>
          <t>La Ley 9 de 1979, código sanitario nacional</t>
        </is>
      </c>
      <c r="J60" s="22" t="inlineStr">
        <is>
          <t>La Ley 1437 de 2011</t>
        </is>
      </c>
      <c r="K60" s="22" t="inlineStr">
        <is>
          <t>A</t>
        </is>
      </c>
      <c r="L60" s="22" t="inlineStr">
        <is>
          <t>La Ley 100 de 1993 creó el sistema y, en su artículo 245, el Invima.</t>
        </is>
      </c>
      <c r="M60" s="22" t="inlineStr">
        <is>
          <t>La Ley 9 de 1979 es el código sanitario, anterior al sistema de salud; la Ley 1437 de 2011 regula el procedimiento administrativo, no la seguridad social.</t>
        </is>
      </c>
      <c r="N60" s="22" t="inlineStr">
        <is>
          <t>Ley 489 de 1998, art. 42; Ley 100 de 1993; Ley 1751 de 2015</t>
        </is>
      </c>
      <c r="O60" s="22" t="inlineStr">
        <is>
          <t>SI</t>
        </is>
      </c>
      <c r="P60" s="16" t="inlineStr">
        <is>
          <t>Basica</t>
        </is>
      </c>
      <c r="Q60" s="16" t="inlineStr">
        <is>
          <t>v2</t>
        </is>
      </c>
      <c r="R60" s="16" t="inlineStr">
        <is>
          <t>Básico</t>
        </is>
      </c>
    </row>
    <row r="61" ht="34.5" customHeight="1" s="12">
      <c r="A61" s="22" t="inlineStr">
        <is>
          <t>F020-3</t>
        </is>
      </c>
      <c r="B61" s="22" t="inlineStr">
        <is>
          <t>comun</t>
        </is>
      </c>
      <c r="C61" s="22" t="inlineStr">
        <is>
          <t>Estado colombiano y función administrativa</t>
        </is>
      </c>
      <c r="D61" s="22" t="inlineStr">
        <is>
          <t>C020</t>
        </is>
      </c>
      <c r="E61" s="22" t="inlineStr">
        <is>
          <t>Visita de estudiantes a la entidad</t>
        </is>
      </c>
      <c r="F61" s="22" t="inlineStr">
        <is>
          <t>Un grupo de estudiantes de salud pública visita la entidad y pregunta de quién depende el Invima, qué ley creó el sistema de salud y por qué la salud se considera hoy un derecho fundamental y no un servicio más.</t>
        </is>
      </c>
      <c r="G61" s="22" t="inlineStr">
        <is>
          <t>La Ley Estatutaria 1751 de 2015 reconoce la salud como</t>
        </is>
      </c>
      <c r="H61" s="22" t="inlineStr">
        <is>
          <t>Un derecho que solo se garantiza a los afiliados cotizantes</t>
        </is>
      </c>
      <c r="I61" s="22" t="inlineStr">
        <is>
          <t>Un servicio público de carácter opcional</t>
        </is>
      </c>
      <c r="J61" s="22" t="inlineStr">
        <is>
          <t>Un derecho fundamental autónomo</t>
        </is>
      </c>
      <c r="K61" s="22" t="inlineStr">
        <is>
          <t>C</t>
        </is>
      </c>
      <c r="L61" s="22" t="inlineStr">
        <is>
          <t>La Ley 1751 de 2015 regula la salud como derecho fundamental.</t>
        </is>
      </c>
      <c r="M61" s="22" t="inlineStr">
        <is>
          <t>Limitar el derecho a los cotizantes excluye a la población no afiliada; llamarlo servicio opcional desconoce su carácter de derecho fundamental.</t>
        </is>
      </c>
      <c r="N61" s="22" t="inlineStr">
        <is>
          <t>Ley 489 de 1998, art. 42; Ley 100 de 1993; Ley 1751 de 2015</t>
        </is>
      </c>
      <c r="O61" s="22" t="inlineStr">
        <is>
          <t>SI</t>
        </is>
      </c>
      <c r="P61" s="16" t="inlineStr">
        <is>
          <t>Basica</t>
        </is>
      </c>
      <c r="Q61" s="16" t="inlineStr">
        <is>
          <t>v2</t>
        </is>
      </c>
      <c r="R61" s="16" t="inlineStr">
        <is>
          <t>Básico</t>
        </is>
      </c>
    </row>
    <row r="62" ht="34.5" customHeight="1" s="12">
      <c r="A62" s="22" t="inlineStr">
        <is>
          <t>F021-1</t>
        </is>
      </c>
      <c r="B62" s="22" t="inlineStr">
        <is>
          <t>comun</t>
        </is>
      </c>
      <c r="C62" s="22" t="inlineStr">
        <is>
          <t>Acciones constitucionales</t>
        </is>
      </c>
      <c r="D62" s="22" t="inlineStr">
        <is>
          <t>C021</t>
        </is>
      </c>
      <c r="E62" s="22" t="inlineStr">
        <is>
          <t>Tutela por una petición sin respuesta</t>
        </is>
      </c>
      <c r="F62" s="22" t="inlineStr">
        <is>
          <t>Una empresa presentó tutela porque la entidad no respondió su petición de copias en 45 días. El juzgado notifica hoy y usted debe proyectar la respuesta; la Corte ha reiterado que la falta de respuesta oportuna vulnera el núcleo del derecho de petición.</t>
        </is>
      </c>
      <c r="G62" s="22" t="inlineStr">
        <is>
          <t>Para decidir la tutela, el juez cuenta, por regla general, con un término de</t>
        </is>
      </c>
      <c r="H62" s="22" t="inlineStr">
        <is>
          <t>Treinta (30) días</t>
        </is>
      </c>
      <c r="I62" s="22" t="inlineStr">
        <is>
          <t>Tres (3) meses, como en el silencio administrativo</t>
        </is>
      </c>
      <c r="J62" s="22" t="inlineStr">
        <is>
          <t>Diez (10) días</t>
        </is>
      </c>
      <c r="K62" s="22" t="inlineStr">
        <is>
          <t>C</t>
        </is>
      </c>
      <c r="L62" s="22" t="inlineStr">
        <is>
          <t>Diez (10) días siguientes a la solicitud para fallar la tutela. Decreto 2591 de 1991, artículo 29.</t>
        </is>
      </c>
      <c r="M62" s="22" t="inlineStr">
        <is>
          <t>Treinta días corresponden a otras actuaciones administrativas; tres meses es el plazo del silencio administrativo, no el del juez de tutela.</t>
        </is>
      </c>
      <c r="N62" s="22" t="inlineStr">
        <is>
          <t>Decreto 2591 de 1991, art. 29</t>
        </is>
      </c>
      <c r="O62" s="22" t="inlineStr">
        <is>
          <t>SI</t>
        </is>
      </c>
      <c r="P62" s="16" t="inlineStr">
        <is>
          <t>Basica</t>
        </is>
      </c>
      <c r="Q62" s="16" t="inlineStr">
        <is>
          <t>v2</t>
        </is>
      </c>
      <c r="R62" s="16" t="inlineStr">
        <is>
          <t>Básico</t>
        </is>
      </c>
    </row>
    <row r="63" ht="34.5" customHeight="1" s="12">
      <c r="A63" s="22" t="inlineStr">
        <is>
          <t>F021-2</t>
        </is>
      </c>
      <c r="B63" s="22" t="inlineStr">
        <is>
          <t>comun</t>
        </is>
      </c>
      <c r="C63" s="22" t="inlineStr">
        <is>
          <t>Acciones constitucionales</t>
        </is>
      </c>
      <c r="D63" s="22" t="inlineStr">
        <is>
          <t>C021</t>
        </is>
      </c>
      <c r="E63" s="22" t="inlineStr">
        <is>
          <t>Tutela por una petición sin respuesta</t>
        </is>
      </c>
      <c r="F63" s="22" t="inlineStr">
        <is>
          <t>Una empresa presentó tutela porque la entidad no respondió su petición de copias en 45 días. El juzgado notifica hoy y usted debe proyectar la respuesta; la Corte ha reiterado que la falta de respuesta oportuna vulnera el núcleo del derecho de petición.</t>
        </is>
      </c>
      <c r="G63" s="22" t="inlineStr">
        <is>
          <t>Si el fallo ordena responder la petición, la entidad debe</t>
        </is>
      </c>
      <c r="H63" s="22" t="inlineStr">
        <is>
          <t>Esperar a que el peticionario vuelva a radicar la solicitud</t>
        </is>
      </c>
      <c r="I63" s="22" t="inlineStr">
        <is>
          <t>Cumplir cuando termine la impugnación</t>
        </is>
      </c>
      <c r="J63" s="22" t="inlineStr">
        <is>
          <t>Cumplir dentro del plazo fijado por el juez, que en principio no excede de 48 horas</t>
        </is>
      </c>
      <c r="K63" s="22" t="inlineStr">
        <is>
          <t>C</t>
        </is>
      </c>
      <c r="L63" s="22" t="inlineStr">
        <is>
          <t>El fallo se cumple sin demora y, a más tardar, dentro de las cuarenta y ocho (48) horas siguientes. Decreto 2591 de 1991, artículo 27.</t>
        </is>
      </c>
      <c r="M63" s="22" t="inlineStr">
        <is>
          <t>Esperar una nueva radicación desconoce la orden judicial; condicionar el cumplimiento a la impugnación ignora que el fallo se cumple de inmediato.</t>
        </is>
      </c>
      <c r="N63" s="22" t="inlineStr">
        <is>
          <t>Decreto 2591 de 1991, art. 27</t>
        </is>
      </c>
      <c r="O63" s="22" t="inlineStr">
        <is>
          <t>SI</t>
        </is>
      </c>
      <c r="P63" s="16" t="inlineStr">
        <is>
          <t>Basica</t>
        </is>
      </c>
      <c r="Q63" s="16" t="inlineStr">
        <is>
          <t>v2</t>
        </is>
      </c>
      <c r="R63" s="16" t="inlineStr">
        <is>
          <t>Básico</t>
        </is>
      </c>
    </row>
    <row r="64" ht="34.5" customHeight="1" s="12">
      <c r="A64" s="22" t="inlineStr">
        <is>
          <t>F021-3</t>
        </is>
      </c>
      <c r="B64" s="22" t="inlineStr">
        <is>
          <t>comun</t>
        </is>
      </c>
      <c r="C64" s="22" t="inlineStr">
        <is>
          <t>Acciones constitucionales</t>
        </is>
      </c>
      <c r="D64" s="22" t="inlineStr">
        <is>
          <t>C021</t>
        </is>
      </c>
      <c r="E64" s="22" t="inlineStr">
        <is>
          <t>Tutela por una petición sin respuesta</t>
        </is>
      </c>
      <c r="F64" s="22" t="inlineStr">
        <is>
          <t>Una empresa presentó tutela porque la entidad no respondió su petición de copias en 45 días. El juzgado notifica hoy y usted debe proyectar la respuesta; la Corte ha reiterado que la falta de respuesta oportuna vulnera el núcleo del derecho de petición.</t>
        </is>
      </c>
      <c r="G64" s="22" t="inlineStr">
        <is>
          <t>Si la entidad no está de acuerdo con el fallo, puede impugnarlo dentro de los</t>
        </is>
      </c>
      <c r="H64" s="22" t="inlineStr">
        <is>
          <t>Diez (10) días hábiles siguientes</t>
        </is>
      </c>
      <c r="I64" s="22" t="inlineStr">
        <is>
          <t>Tres (3) días siguientes a su notificación</t>
        </is>
      </c>
      <c r="J64" s="22" t="inlineStr">
        <is>
          <t>Treinta (30) días siguientes</t>
        </is>
      </c>
      <c r="K64" s="22" t="inlineStr">
        <is>
          <t>B</t>
        </is>
      </c>
      <c r="L64" s="22" t="inlineStr">
        <is>
          <t>Tres (3) días siguientes a la notificación para impugnar el fallo. Decreto 2591 de 1991, artículo 31.</t>
        </is>
      </c>
      <c r="M64" s="22" t="inlineStr">
        <is>
          <t>Diez días es el término de los recursos administrativos; treinta días no corresponde a ninguna etapa de la tutela.</t>
        </is>
      </c>
      <c r="N64" s="22" t="inlineStr">
        <is>
          <t>Decreto 2591 de 1991, art. 31</t>
        </is>
      </c>
      <c r="O64" s="22" t="inlineStr">
        <is>
          <t>SI</t>
        </is>
      </c>
      <c r="P64" s="16" t="inlineStr">
        <is>
          <t>Basica</t>
        </is>
      </c>
      <c r="Q64" s="16" t="inlineStr">
        <is>
          <t>v2</t>
        </is>
      </c>
      <c r="R64" s="16" t="inlineStr">
        <is>
          <t>Básico</t>
        </is>
      </c>
    </row>
    <row r="65" ht="23.25" customHeight="1" s="12">
      <c r="A65" s="22" t="inlineStr">
        <is>
          <t>F022-1</t>
        </is>
      </c>
      <c r="B65" s="22" t="inlineStr">
        <is>
          <t>comun</t>
        </is>
      </c>
      <c r="C65" s="22" t="inlineStr">
        <is>
          <t>Régimen disciplinario</t>
        </is>
      </c>
      <c r="D65" s="22" t="inlineStr">
        <is>
          <t>C022</t>
        </is>
      </c>
      <c r="E65" s="22" t="inlineStr">
        <is>
          <t>Acta con la fecha alterada</t>
        </is>
      </c>
      <c r="F65" s="22" t="inlineStr">
        <is>
          <t>Usted descubre que un compañero cambió la fecha de un acta para que apareciera dentro del plazo. Él le pide silencio, dice que el vigilado no se afectó y que es la primera vez. La auditoría interna empieza el lunes.</t>
        </is>
      </c>
      <c r="G65" s="22" t="inlineStr">
        <is>
          <t>Frente a lo que conoce, su deber como servidor público es</t>
        </is>
      </c>
      <c r="H65" s="22" t="inlineStr">
        <is>
          <t>Hablar con su compañero y guardar reserva si promete no repetirlo</t>
        </is>
      </c>
      <c r="I65" s="22" t="inlineStr">
        <is>
          <t>Poner los hechos en conocimiento de la autoridad competente</t>
        </is>
      </c>
      <c r="J65" s="22" t="inlineStr">
        <is>
          <t>Esperar a que un tercero presente la queja</t>
        </is>
      </c>
      <c r="K65" s="22" t="inlineStr">
        <is>
          <t>B</t>
        </is>
      </c>
      <c r="L65" s="22" t="inlineStr">
        <is>
          <t>Los servidores deben denunciar los delitos y faltas disciplinarias de los que tengan conocimiento.</t>
        </is>
      </c>
      <c r="M65" s="22" t="inlineStr">
        <is>
          <t>Guardar reserva a cambio de una promesa encubre la falta; esperar a que un tercero denuncie traslada un deber que es suyo como servidor.</t>
        </is>
      </c>
      <c r="N65" s="22" t="inlineStr">
        <is>
          <t>Ley 1952 de 2019, arts. 10, 14 y 48</t>
        </is>
      </c>
      <c r="O65" s="22" t="inlineStr">
        <is>
          <t>SI</t>
        </is>
      </c>
      <c r="P65" s="16" t="inlineStr">
        <is>
          <t>Basica</t>
        </is>
      </c>
      <c r="Q65" s="16" t="inlineStr">
        <is>
          <t>v2</t>
        </is>
      </c>
      <c r="R65" s="16" t="inlineStr">
        <is>
          <t>Básico</t>
        </is>
      </c>
    </row>
    <row r="66" ht="34.5" customHeight="1" s="12">
      <c r="A66" s="22" t="inlineStr">
        <is>
          <t>F022-2</t>
        </is>
      </c>
      <c r="B66" s="22" t="inlineStr">
        <is>
          <t>comun</t>
        </is>
      </c>
      <c r="C66" s="22" t="inlineStr">
        <is>
          <t>Régimen disciplinario</t>
        </is>
      </c>
      <c r="D66" s="22" t="inlineStr">
        <is>
          <t>C022</t>
        </is>
      </c>
      <c r="E66" s="22" t="inlineStr">
        <is>
          <t>Acta con la fecha alterada</t>
        </is>
      </c>
      <c r="F66" s="22" t="inlineStr">
        <is>
          <t>Usted descubre que un compañero cambió la fecha de un acta para que apareciera dentro del plazo. Él le pide silencio, dice que el vigilado no se afectó y que es la primera vez. La auditoría interna empieza el lunes.</t>
        </is>
      </c>
      <c r="G66" s="22" t="inlineStr">
        <is>
          <t>Durante la investigación, su compañero debe ser tratado bajo el principio de</t>
        </is>
      </c>
      <c r="H66" s="22" t="inlineStr">
        <is>
          <t>Responsabilidad objetiva</t>
        </is>
      </c>
      <c r="I66" s="22" t="inlineStr">
        <is>
          <t>Culpabilidad presunta del investigado</t>
        </is>
      </c>
      <c r="J66" s="22" t="inlineStr">
        <is>
          <t>Presunción de inocencia</t>
        </is>
      </c>
      <c r="K66" s="22" t="inlineStr">
        <is>
          <t>C</t>
        </is>
      </c>
      <c r="L66" s="22" t="inlineStr">
        <is>
          <t>En materia disciplinaria está proscrita la responsabilidad objetiva y rige la presunción de inocencia.</t>
        </is>
      </c>
      <c r="M66" s="22" t="inlineStr">
        <is>
          <t>La responsabilidad objetiva está proscrita en materia disciplinaria; presumir la culpabilidad invierte la carga de la prueba contra el investigado.</t>
        </is>
      </c>
      <c r="N66" s="22" t="inlineStr">
        <is>
          <t>Ley 1952 de 2019, arts. 10, 14 y 48</t>
        </is>
      </c>
      <c r="O66" s="22" t="inlineStr">
        <is>
          <t>SI</t>
        </is>
      </c>
      <c r="P66" s="16" t="inlineStr">
        <is>
          <t>Basica</t>
        </is>
      </c>
      <c r="Q66" s="16" t="inlineStr">
        <is>
          <t>v2</t>
        </is>
      </c>
      <c r="R66" s="16" t="inlineStr">
        <is>
          <t>Básico</t>
        </is>
      </c>
    </row>
    <row r="67" ht="23.25" customHeight="1" s="12">
      <c r="A67" s="22" t="inlineStr">
        <is>
          <t>F022-3</t>
        </is>
      </c>
      <c r="B67" s="22" t="inlineStr">
        <is>
          <t>comun</t>
        </is>
      </c>
      <c r="C67" s="22" t="inlineStr">
        <is>
          <t>Régimen disciplinario</t>
        </is>
      </c>
      <c r="D67" s="22" t="inlineStr">
        <is>
          <t>C022</t>
        </is>
      </c>
      <c r="E67" s="22" t="inlineStr">
        <is>
          <t>Acta con la fecha alterada</t>
        </is>
      </c>
      <c r="F67" s="22" t="inlineStr">
        <is>
          <t>Usted descubre que un compañero cambió la fecha de un acta para que apareciera dentro del plazo. Él le pide silencio, dice que el vigilado no se afectó y que es la primera vez. La auditoría interna empieza el lunes.</t>
        </is>
      </c>
      <c r="G67" s="22" t="inlineStr">
        <is>
          <t>Si se tratara de una falta leve cometida con culpa, la sanción prevista es</t>
        </is>
      </c>
      <c r="H67" s="22" t="inlineStr">
        <is>
          <t>Destitución e inhabilidad general</t>
        </is>
      </c>
      <c r="I67" s="22" t="inlineStr">
        <is>
          <t>Amonestación escrita</t>
        </is>
      </c>
      <c r="J67" s="22" t="inlineStr">
        <is>
          <t>Suspensión en el ejercicio del cargo</t>
        </is>
      </c>
      <c r="K67" s="22" t="inlineStr">
        <is>
          <t>B</t>
        </is>
      </c>
      <c r="L67" s="22" t="inlineStr">
        <is>
          <t>La Ley 1952 de 2019 asigna amonestación escrita a las faltas leves culposas.</t>
        </is>
      </c>
      <c r="M67" s="22" t="inlineStr">
        <is>
          <t>La destitución se reserva a las faltas gravísimas dolosas; la suspensión corresponde a las graves, no a una leve cometida con culpa.</t>
        </is>
      </c>
      <c r="N67" s="22" t="inlineStr">
        <is>
          <t>Ley 1952 de 2019, arts. 10, 14 y 48</t>
        </is>
      </c>
      <c r="O67" s="22" t="inlineStr">
        <is>
          <t>SI</t>
        </is>
      </c>
      <c r="P67" s="16" t="inlineStr">
        <is>
          <t>Basica</t>
        </is>
      </c>
      <c r="Q67" s="16" t="inlineStr">
        <is>
          <t>v2</t>
        </is>
      </c>
      <c r="R67" s="16" t="inlineStr">
        <is>
          <t>Básico</t>
        </is>
      </c>
    </row>
    <row r="68" ht="34.5" customHeight="1" s="12">
      <c r="A68" s="22" t="inlineStr">
        <is>
          <t>F023-1</t>
        </is>
      </c>
      <c r="B68" s="22" t="inlineStr">
        <is>
          <t>comun</t>
        </is>
      </c>
      <c r="C68" s="22" t="inlineStr">
        <is>
          <t>Gestión documental</t>
        </is>
      </c>
      <c r="D68" s="22" t="inlineStr">
        <is>
          <t>C023</t>
        </is>
      </c>
      <c r="E68" s="22" t="inlineStr">
        <is>
          <t>Catorce cajas sin inventario</t>
        </is>
      </c>
      <c r="F68" s="22" t="inlineStr">
        <is>
          <t>Su grupo tiene catorce cajas con expedientes de visitas de siete años, mezclados y sin inventario. Hay documentos que ya cumplieron su tiempo de retención y un compañero propone botar lo que 'ya no sirve'.</t>
        </is>
      </c>
      <c r="G68" s="22" t="inlineStr">
        <is>
          <t>El instrumento que indica cuánto tiempo se conserva cada serie documental y su disposición final es</t>
        </is>
      </c>
      <c r="H68" s="22" t="inlineStr">
        <is>
          <t>La tabla de retención documental</t>
        </is>
      </c>
      <c r="I68" s="22" t="inlineStr">
        <is>
          <t>El plan anual de adquisiciones</t>
        </is>
      </c>
      <c r="J68" s="22" t="inlineStr">
        <is>
          <t>El manual de funciones</t>
        </is>
      </c>
      <c r="K68" s="22" t="inlineStr">
        <is>
          <t>A</t>
        </is>
      </c>
      <c r="L68" s="22" t="inlineStr">
        <is>
          <t>La tabla de retención documental fija los tiempos de conservación y la disposición final de cada serie. Ley 594 de 2000, artículo 24 (obligatoriedad de las tablas de retención).</t>
        </is>
      </c>
      <c r="M68" s="22" t="inlineStr">
        <is>
          <t>El plan anual de adquisiciones programa compras, no conservación documental; el manual de funciones define empleos y responsabilidades.</t>
        </is>
      </c>
      <c r="N68" s="22" t="inlineStr">
        <is>
          <t>Ley 594 de 2000, art. 24</t>
        </is>
      </c>
      <c r="O68" s="22" t="inlineStr">
        <is>
          <t>SI</t>
        </is>
      </c>
      <c r="P68" s="16" t="inlineStr">
        <is>
          <t>Basica</t>
        </is>
      </c>
      <c r="Q68" s="16" t="inlineStr">
        <is>
          <t>repaso</t>
        </is>
      </c>
      <c r="R68" s="16" t="inlineStr">
        <is>
          <t>Básico</t>
        </is>
      </c>
    </row>
    <row r="69" ht="34.5" customHeight="1" s="12">
      <c r="A69" s="22" t="inlineStr">
        <is>
          <t>F023-2</t>
        </is>
      </c>
      <c r="B69" s="22" t="inlineStr">
        <is>
          <t>comun</t>
        </is>
      </c>
      <c r="C69" s="22" t="inlineStr">
        <is>
          <t>Gestión documental</t>
        </is>
      </c>
      <c r="D69" s="22" t="inlineStr">
        <is>
          <t>C023</t>
        </is>
      </c>
      <c r="E69" s="22" t="inlineStr">
        <is>
          <t>Catorce cajas sin inventario</t>
        </is>
      </c>
      <c r="F69" s="22" t="inlineStr">
        <is>
          <t>Su grupo tiene catorce cajas con expedientes de visitas de siete años, mezclados y sin inventario. Hay documentos que ya cumplieron su tiempo de retención y un compañero propone botar lo que 'ya no sirve'.</t>
        </is>
      </c>
      <c r="G69" s="22" t="inlineStr">
        <is>
          <t>Al ordenar cada expediente, debe respetarse el principio de</t>
        </is>
      </c>
      <c r="H69" s="22" t="inlineStr">
        <is>
          <t>Orden original y procedencia</t>
        </is>
      </c>
      <c r="I69" s="22" t="inlineStr">
        <is>
          <t>Orden cronológico y temático de los documentos</t>
        </is>
      </c>
      <c r="J69" s="22" t="inlineStr">
        <is>
          <t>Orden de importancia del documento</t>
        </is>
      </c>
      <c r="K69" s="22" t="inlineStr">
        <is>
          <t>A</t>
        </is>
      </c>
      <c r="L69" s="22" t="inlineStr">
        <is>
          <t>El principio de orden original y el de procedencia rigen la organización de los expedientes. Ley 594 de 2000, artículos 4 y 11.</t>
        </is>
      </c>
      <c r="M69" s="22" t="inlineStr">
        <is>
          <t>El orden cronológico y temático reorganiza los documentos con un criterio distinto al de su producción; ordenar por importancia deja a criterio de cada quien la estructura del archivo.</t>
        </is>
      </c>
      <c r="N69" s="22" t="inlineStr">
        <is>
          <t>Ley 594 de 2000, arts. 4 y 11</t>
        </is>
      </c>
      <c r="O69" s="22" t="inlineStr">
        <is>
          <t>SI</t>
        </is>
      </c>
      <c r="P69" s="16" t="inlineStr">
        <is>
          <t>Basica</t>
        </is>
      </c>
      <c r="Q69" s="16" t="inlineStr">
        <is>
          <t>v2</t>
        </is>
      </c>
      <c r="R69" s="16" t="inlineStr">
        <is>
          <t>Básico</t>
        </is>
      </c>
    </row>
    <row r="70" ht="34.5" customHeight="1" s="12">
      <c r="A70" s="22" t="inlineStr">
        <is>
          <t>F023-3</t>
        </is>
      </c>
      <c r="B70" s="22" t="inlineStr">
        <is>
          <t>comun</t>
        </is>
      </c>
      <c r="C70" s="22" t="inlineStr">
        <is>
          <t>Gestión documental</t>
        </is>
      </c>
      <c r="D70" s="22" t="inlineStr">
        <is>
          <t>C023</t>
        </is>
      </c>
      <c r="E70" s="22" t="inlineStr">
        <is>
          <t>Catorce cajas sin inventario</t>
        </is>
      </c>
      <c r="F70" s="22" t="inlineStr">
        <is>
          <t>Su grupo tiene catorce cajas con expedientes de visitas de siete años, mezclados y sin inventario. Hay documentos que ya cumplieron su tiempo de retención y un compañero propone botar lo que 'ya no sirve'.</t>
        </is>
      </c>
      <c r="G70" s="22" t="inlineStr">
        <is>
          <t>Encuentra documentos que ya cumplieron su tiempo de retención. Para eliminarlos se requiere</t>
        </is>
      </c>
      <c r="H70" s="22" t="inlineStr">
        <is>
          <t>Eliminarlos directamente</t>
        </is>
      </c>
      <c r="I70" s="22" t="inlineStr">
        <is>
          <t>Escanearlos y destruir los originales sin dejar registro</t>
        </is>
      </c>
      <c r="J70" s="22" t="inlineStr">
        <is>
          <t>Aplicar la TRD y contar con aprobación, dejando acta</t>
        </is>
      </c>
      <c r="K70" s="22" t="inlineStr">
        <is>
          <t>C</t>
        </is>
      </c>
      <c r="L70" s="22" t="inlineStr">
        <is>
          <t>La eliminación exige aplicar la tabla de retención, contar con la aprobación del comité y levantar acta. Ley 594 de 2000, artículos 24 y 28; acuerdos del Archivo General de la Nación.</t>
        </is>
      </c>
      <c r="M70" s="22" t="inlineStr">
        <is>
          <t>Eliminar directamente omite el procedimiento y la aprobación exigidos; digitalizar y destruir sin registro deja sin soporte la eliminación.</t>
        </is>
      </c>
      <c r="N70" s="22" t="inlineStr">
        <is>
          <t>Ley 594 de 2000, arts. 24 y 28</t>
        </is>
      </c>
      <c r="O70" s="22" t="inlineStr">
        <is>
          <t>SI</t>
        </is>
      </c>
      <c r="P70" s="16" t="inlineStr">
        <is>
          <t>Basica</t>
        </is>
      </c>
      <c r="Q70" s="16" t="inlineStr">
        <is>
          <t>v2</t>
        </is>
      </c>
      <c r="R70" s="16" t="inlineStr">
        <is>
          <t>Básico</t>
        </is>
      </c>
    </row>
    <row r="71" ht="34.5" customHeight="1" s="12">
      <c r="A71" s="22" t="inlineStr">
        <is>
          <t>F024-1</t>
        </is>
      </c>
      <c r="B71" s="22" t="inlineStr">
        <is>
          <t>comun</t>
        </is>
      </c>
      <c r="C71" s="22" t="inlineStr">
        <is>
          <t>Protección de datos y seguridad de la información</t>
        </is>
      </c>
      <c r="D71" s="22" t="inlineStr">
        <is>
          <t>C024</t>
        </is>
      </c>
      <c r="E71" s="22" t="inlineStr">
        <is>
          <t>Base de datos con información de salud</t>
        </is>
      </c>
      <c r="F71" s="22" t="inlineStr">
        <is>
          <t>Su grupo administra una base con datos de pacientes que reportaron eventos adversos. Un tercero pide copia 'para estadísticas'. La SIC sancionó a una EPS que remitió la historia clínica completa de un paciente, con su diagnóstico de VIH, a cuatro directivos de su empleador.</t>
        </is>
      </c>
      <c r="G71" s="22" t="inlineStr">
        <is>
          <t>La información sobre la salud de una persona se considera, según la Ley 1581 de 2012,</t>
        </is>
      </c>
      <c r="H71" s="22" t="inlineStr">
        <is>
          <t>Un dato sensible</t>
        </is>
      </c>
      <c r="I71" s="22" t="inlineStr">
        <is>
          <t>Un dato semiprivado de libre circulación</t>
        </is>
      </c>
      <c r="J71" s="22" t="inlineStr">
        <is>
          <t>Un dato de naturaleza pública</t>
        </is>
      </c>
      <c r="K71" s="22" t="inlineStr">
        <is>
          <t>A</t>
        </is>
      </c>
      <c r="L71" s="22" t="inlineStr">
        <is>
          <t>Los datos relativos a la salud son datos sensibles. Ley 1581 de 2012, artículo 5.</t>
        </is>
      </c>
      <c r="M71" s="22" t="inlineStr">
        <is>
          <t>Tratarlo como semiprivado permite una circulación que la ley restringe; considerarlo público desconoce la protección reforzada del dato de salud.</t>
        </is>
      </c>
      <c r="N71" s="22" t="inlineStr">
        <is>
          <t>Ley 1581 de 2012, art. 5</t>
        </is>
      </c>
      <c r="O71" s="22" t="inlineStr">
        <is>
          <t>SI</t>
        </is>
      </c>
      <c r="P71" s="16" t="inlineStr">
        <is>
          <t>Media</t>
        </is>
      </c>
      <c r="Q71" s="16" t="inlineStr">
        <is>
          <t>v2</t>
        </is>
      </c>
      <c r="R71" s="16" t="inlineStr">
        <is>
          <t>Básico</t>
        </is>
      </c>
    </row>
    <row r="72" ht="45.75" customHeight="1" s="12">
      <c r="A72" s="22" t="inlineStr">
        <is>
          <t>F024-2</t>
        </is>
      </c>
      <c r="B72" s="22" t="inlineStr">
        <is>
          <t>comun</t>
        </is>
      </c>
      <c r="C72" s="22" t="inlineStr">
        <is>
          <t>Protección de datos y seguridad de la información</t>
        </is>
      </c>
      <c r="D72" s="22" t="inlineStr">
        <is>
          <t>C024</t>
        </is>
      </c>
      <c r="E72" s="22" t="inlineStr">
        <is>
          <t>Base de datos con información de salud</t>
        </is>
      </c>
      <c r="F72" s="22" t="inlineStr">
        <is>
          <t>Su grupo administra una base con datos de pacientes que reportaron eventos adversos. Un tercero pide copia 'para estadísticas'. La SIC sancionó a una EPS que remitió la historia clínica completa de un paciente, con su diagnóstico de VIH, a cuatro directivos de su empleador.</t>
        </is>
      </c>
      <c r="G72" s="22" t="inlineStr">
        <is>
          <t>Frente a la solicitud del proveedor, lo correcto es</t>
        </is>
      </c>
      <c r="H72" s="22" t="inlineStr">
        <is>
          <t>Entregarla, porque las estadísticas benefician la salud pública</t>
        </is>
      </c>
      <c r="I72" s="22" t="inlineStr">
        <is>
          <t>Entregarla solo con fundamento legal, anonimizando los datos</t>
        </is>
      </c>
      <c r="J72" s="22" t="inlineStr">
        <is>
          <t>Entregarla con un acuerdo de confidencialidad firmado por el proveedor</t>
        </is>
      </c>
      <c r="K72" s="22" t="inlineStr">
        <is>
          <t>B</t>
        </is>
      </c>
      <c r="L72" s="22" t="inlineStr">
        <is>
          <t>El tratamiento de datos sensibles está prohibido, salvo las excepciones legales, y exige autorización explícita del titular. Ley 1581 de 2012, artículos 6 y 9.</t>
        </is>
      </c>
      <c r="M72" s="22" t="inlineStr">
        <is>
          <t>Entregarla por su utilidad estadística omite la finalidad legítima que exige la ley; un acuerdo de confidencialidad no sustituye el fundamento legal ni la anonimización.</t>
        </is>
      </c>
      <c r="N72" s="22" t="inlineStr">
        <is>
          <t>Ley 1581 de 2012, arts. 6 y 9</t>
        </is>
      </c>
      <c r="O72" s="22" t="inlineStr">
        <is>
          <t>SI</t>
        </is>
      </c>
      <c r="P72" s="16" t="inlineStr">
        <is>
          <t>Media</t>
        </is>
      </c>
      <c r="Q72" s="16" t="inlineStr">
        <is>
          <t>v2</t>
        </is>
      </c>
      <c r="R72" s="16" t="inlineStr">
        <is>
          <t>Básico</t>
        </is>
      </c>
    </row>
    <row r="73" ht="34.5" customHeight="1" s="12">
      <c r="A73" s="22" t="inlineStr">
        <is>
          <t>F024-3</t>
        </is>
      </c>
      <c r="B73" s="22" t="inlineStr">
        <is>
          <t>comun</t>
        </is>
      </c>
      <c r="C73" s="22" t="inlineStr">
        <is>
          <t>Protección de datos y seguridad de la información</t>
        </is>
      </c>
      <c r="D73" s="22" t="inlineStr">
        <is>
          <t>C024</t>
        </is>
      </c>
      <c r="E73" s="22" t="inlineStr">
        <is>
          <t>Base de datos con información de salud</t>
        </is>
      </c>
      <c r="F73" s="22" t="inlineStr">
        <is>
          <t>Su grupo administra una base con datos de pacientes que reportaron eventos adversos. Un tercero pide copia 'para estadísticas'. La SIC sancionó a una EPS que remitió la historia clínica completa de un paciente, con su diagnóstico de VIH, a cuatro directivos de su empleador.</t>
        </is>
      </c>
      <c r="G73" s="22" t="inlineStr">
        <is>
          <t>Recibe un correo que parece institucional y le pide ingresar su contraseña en un enlace. Usted</t>
        </is>
      </c>
      <c r="H73" s="22" t="inlineStr">
        <is>
          <t>Ingresa la contraseña, para comprobar si el enlace es legítimo</t>
        </is>
      </c>
      <c r="I73" s="22" t="inlineStr">
        <is>
          <t>Reporta el correo al área de seguridad sin ingresar ningún dato</t>
        </is>
      </c>
      <c r="J73" s="22" t="inlineStr">
        <is>
          <t>Reenvía el correo a sus compañeros</t>
        </is>
      </c>
      <c r="K73" s="22" t="inlineStr">
        <is>
          <t>B</t>
        </is>
      </c>
      <c r="L73" s="22" t="inlineStr">
        <is>
          <t>Ante un correo sospechoso se reporta al área de seguridad sin entregar credenciales; la entidad debe adoptar las medidas de seguridad que imparta la autoridad. Ley 1581 de 2012, artículos 17 y 19.</t>
        </is>
      </c>
      <c r="M73" s="22" t="inlineStr">
        <is>
          <t>Ingresar la contraseña entrega el acceso al atacante; reenviar el correo con el enlace activo multiplica el riesgo entre los compañeros.</t>
        </is>
      </c>
      <c r="N73" s="22" t="inlineStr">
        <is>
          <t>Ley 1581 de 2012, arts. 17 y 19</t>
        </is>
      </c>
      <c r="O73" s="22" t="inlineStr">
        <is>
          <t>SI</t>
        </is>
      </c>
      <c r="P73" s="16" t="inlineStr">
        <is>
          <t>Media</t>
        </is>
      </c>
      <c r="Q73" s="16" t="inlineStr">
        <is>
          <t>v2</t>
        </is>
      </c>
      <c r="R73" s="16" t="inlineStr">
        <is>
          <t>Básico</t>
        </is>
      </c>
    </row>
    <row r="74" ht="23.25" customHeight="1" s="12">
      <c r="A74" s="22" t="inlineStr">
        <is>
          <t>F025-1</t>
        </is>
      </c>
      <c r="B74" s="22" t="inlineStr">
        <is>
          <t>comun</t>
        </is>
      </c>
      <c r="C74" s="22" t="inlineStr">
        <is>
          <t>Planeación e indicadores</t>
        </is>
      </c>
      <c r="D74" s="22" t="inlineStr">
        <is>
          <t>C025</t>
        </is>
      </c>
      <c r="E74" s="22" t="inlineStr">
        <is>
          <t>Indicadores y plan de adquisiciones</t>
        </is>
      </c>
      <c r="F74" s="22" t="inlineStr">
        <is>
          <t>Le piden construir los indicadores del grupo antes del 31 de enero. La dirección quiere medir cuántas visitas se hicieron, cuánto costó cada una y qué compras se harán en el año.</t>
        </is>
      </c>
      <c r="G74" s="22" t="inlineStr">
        <is>
          <t>Un indicador que mide el porcentaje de visitas programadas que se realizaron es de</t>
        </is>
      </c>
      <c r="H74" s="22" t="inlineStr">
        <is>
          <t>Impacto en la población atendida</t>
        </is>
      </c>
      <c r="I74" s="22" t="inlineStr">
        <is>
          <t>Eficacia</t>
        </is>
      </c>
      <c r="J74" s="22" t="inlineStr">
        <is>
          <t>Eficiencia</t>
        </is>
      </c>
      <c r="K74" s="22" t="inlineStr">
        <is>
          <t>B</t>
        </is>
      </c>
      <c r="L74" s="22" t="inlineStr">
        <is>
          <t>La eficacia mide el cumplimiento de la meta programada. Decreto 1499 de 2017, dimensión de evaluación de resultados; guía de indicadores de Función Pública.</t>
        </is>
      </c>
      <c r="M74" s="22" t="inlineStr">
        <is>
          <t>El impacto mide el cambio logrado en la población, no el cumplimiento del plan; la eficiencia relaciona resultados con recursos y aquí no se están midiendo costos.</t>
        </is>
      </c>
      <c r="N74" s="22" t="inlineStr">
        <is>
          <t>Decreto 1499 de 2017, art. 2.2.22.3.2</t>
        </is>
      </c>
      <c r="O74" s="22" t="inlineStr">
        <is>
          <t>SI</t>
        </is>
      </c>
      <c r="P74" s="16" t="inlineStr">
        <is>
          <t>Basica</t>
        </is>
      </c>
      <c r="Q74" s="16" t="inlineStr">
        <is>
          <t>v2</t>
        </is>
      </c>
      <c r="R74" s="16" t="inlineStr">
        <is>
          <t>Básico</t>
        </is>
      </c>
    </row>
    <row r="75" ht="23.25" customHeight="1" s="12">
      <c r="A75" s="22" t="inlineStr">
        <is>
          <t>F025-2</t>
        </is>
      </c>
      <c r="B75" s="22" t="inlineStr">
        <is>
          <t>comun</t>
        </is>
      </c>
      <c r="C75" s="22" t="inlineStr">
        <is>
          <t>Planeación e indicadores</t>
        </is>
      </c>
      <c r="D75" s="22" t="inlineStr">
        <is>
          <t>C025</t>
        </is>
      </c>
      <c r="E75" s="22" t="inlineStr">
        <is>
          <t>Indicadores y plan de adquisiciones</t>
        </is>
      </c>
      <c r="F75" s="22" t="inlineStr">
        <is>
          <t>Le piden construir los indicadores del grupo antes del 31 de enero. La dirección quiere medir cuántas visitas se hicieron, cuánto costó cada una y qué compras se harán en el año.</t>
        </is>
      </c>
      <c r="G75" s="22" t="inlineStr">
        <is>
          <t>Un indicador que relaciona el costo total con el número de visitas realizadas mide la</t>
        </is>
      </c>
      <c r="H75" s="22" t="inlineStr">
        <is>
          <t>Eficiencia</t>
        </is>
      </c>
      <c r="I75" s="22" t="inlineStr">
        <is>
          <t>Eficacia</t>
        </is>
      </c>
      <c r="J75" s="22" t="inlineStr">
        <is>
          <t>Satisfacción</t>
        </is>
      </c>
      <c r="K75" s="22" t="inlineStr">
        <is>
          <t>A</t>
        </is>
      </c>
      <c r="L75" s="22" t="inlineStr">
        <is>
          <t>La eficiencia relaciona el resultado obtenido con los recursos empleados. Decreto 1499 de 2017, dimensión de evaluación de resultados; guía de indicadores de Función Pública.</t>
        </is>
      </c>
      <c r="M75" s="22" t="inlineStr">
        <is>
          <t>La eficacia mide el cumplimiento de la meta, sin mirar el costo; la satisfacción se mide con percepción del usuario, no con la relación entre gasto y visitas.</t>
        </is>
      </c>
      <c r="N75" s="22" t="inlineStr">
        <is>
          <t>Decreto 1499 de 2017, art. 2.2.22.3.2</t>
        </is>
      </c>
      <c r="O75" s="22" t="inlineStr">
        <is>
          <t>SI</t>
        </is>
      </c>
      <c r="P75" s="16" t="inlineStr">
        <is>
          <t>Basica</t>
        </is>
      </c>
      <c r="Q75" s="16" t="inlineStr">
        <is>
          <t>v2</t>
        </is>
      </c>
      <c r="R75" s="16" t="inlineStr">
        <is>
          <t>Básico</t>
        </is>
      </c>
    </row>
    <row r="76" ht="23.25" customHeight="1" s="12">
      <c r="A76" s="22" t="inlineStr">
        <is>
          <t>F025-3</t>
        </is>
      </c>
      <c r="B76" s="22" t="inlineStr">
        <is>
          <t>comun</t>
        </is>
      </c>
      <c r="C76" s="22" t="inlineStr">
        <is>
          <t>Planeación e indicadores</t>
        </is>
      </c>
      <c r="D76" s="22" t="inlineStr">
        <is>
          <t>C025</t>
        </is>
      </c>
      <c r="E76" s="22" t="inlineStr">
        <is>
          <t>Indicadores y plan de adquisiciones</t>
        </is>
      </c>
      <c r="F76" s="22" t="inlineStr">
        <is>
          <t>Le piden construir los indicadores del grupo antes del 31 de enero. La dirección quiere medir cuántas visitas se hicieron, cuánto costó cada una y qué compras se harán en el año.</t>
        </is>
      </c>
      <c r="G76" s="22" t="inlineStr">
        <is>
          <t>El plan anual de adquisiciones de la entidad debe publicarse en el SECOP</t>
        </is>
      </c>
      <c r="H76" s="22" t="inlineStr">
        <is>
          <t>A más tardar el 30 de junio de cada año</t>
        </is>
      </c>
      <c r="I76" s="22" t="inlineStr">
        <is>
          <t>Al terminar la primera contratación del año</t>
        </is>
      </c>
      <c r="J76" s="22" t="inlineStr">
        <is>
          <t>A más tardar el 31 de enero de cada año</t>
        </is>
      </c>
      <c r="K76" s="22" t="inlineStr">
        <is>
          <t>C</t>
        </is>
      </c>
      <c r="L76" s="22" t="inlineStr">
        <is>
          <t>El plan anual de adquisiciones se publica a más tardar el 31 de enero. Decreto 1082 de 2015, artículos 2.2.1.1.1.4.1 a 2.2.1.1.1.4.4.</t>
        </is>
      </c>
      <c r="M76" s="22" t="inlineStr">
        <is>
          <t>Junio es la mitad del año, cuando el plan ya debió orientar las compras; atarlo a la primera contratación deja sin planeación las anteriores a ella.</t>
        </is>
      </c>
      <c r="N76" s="22" t="inlineStr">
        <is>
          <t>Decreto 1082 de 2015, arts. 2.2.1.1.1.4.1 a 2.2.1.1.1.4.4</t>
        </is>
      </c>
      <c r="O76" s="22" t="inlineStr">
        <is>
          <t>SI</t>
        </is>
      </c>
      <c r="P76" s="16" t="inlineStr">
        <is>
          <t>Basica</t>
        </is>
      </c>
      <c r="Q76" s="16" t="inlineStr">
        <is>
          <t>v2</t>
        </is>
      </c>
      <c r="R76" s="16" t="inlineStr">
        <is>
          <t>Básico</t>
        </is>
      </c>
    </row>
    <row r="77" ht="34.5" customHeight="1" s="12">
      <c r="A77" s="22" t="inlineStr">
        <is>
          <t>F026-1</t>
        </is>
      </c>
      <c r="B77" s="22" t="inlineStr">
        <is>
          <t>comun</t>
        </is>
      </c>
      <c r="C77" s="22" t="inlineStr">
        <is>
          <t>Contratación estatal y supervisión</t>
        </is>
      </c>
      <c r="D77" s="22" t="inlineStr">
        <is>
          <t>C026</t>
        </is>
      </c>
      <c r="E77" s="22" t="inlineStr">
        <is>
          <t>Tres contrataciones antes de fin de año</t>
        </is>
      </c>
      <c r="F77" s="22" t="inlineStr">
        <is>
          <t>La entidad necesita contratar tres cosas antes de fin de año: una consultoría para rediseñar el proceso de visitas, un abogado que apoye la gestión jurídica y la adecuación del laboratorio, que cuesta 2.000 millones.</t>
        </is>
      </c>
      <c r="G77" s="22" t="inlineStr">
        <is>
          <t>Para la consultoría, la modalidad de selección aplicable es</t>
        </is>
      </c>
      <c r="H77" s="22" t="inlineStr">
        <is>
          <t>La mínima cuantía</t>
        </is>
      </c>
      <c r="I77" s="22" t="inlineStr">
        <is>
          <t>El concurso de méritos</t>
        </is>
      </c>
      <c r="J77" s="22" t="inlineStr">
        <is>
          <t>La subasta inversa</t>
        </is>
      </c>
      <c r="K77" s="22" t="inlineStr">
        <is>
          <t>B</t>
        </is>
      </c>
      <c r="L77" s="22" t="inlineStr">
        <is>
          <t>La consultoría se contrata por concurso de méritos. Ley 1150 de 2007, artículo 2, numeral 3.</t>
        </is>
      </c>
      <c r="M77" s="22" t="inlineStr">
        <is>
          <t>La mínima cuantía se define por el valor, no por el objeto; la subasta inversa se usa para bienes de características técnicas uniformes, no para consultorías.</t>
        </is>
      </c>
      <c r="N77" s="22" t="inlineStr">
        <is>
          <t>Ley 1150 de 2007, art. 2, num. 3</t>
        </is>
      </c>
      <c r="O77" s="22" t="inlineStr">
        <is>
          <t>SI</t>
        </is>
      </c>
      <c r="P77" s="16" t="inlineStr">
        <is>
          <t>Basica</t>
        </is>
      </c>
      <c r="Q77" s="16" t="inlineStr">
        <is>
          <t>v2</t>
        </is>
      </c>
      <c r="R77" s="16" t="inlineStr">
        <is>
          <t>Básico</t>
        </is>
      </c>
    </row>
    <row r="78" ht="34.5" customHeight="1" s="12">
      <c r="A78" s="22" t="inlineStr">
        <is>
          <t>F026-2</t>
        </is>
      </c>
      <c r="B78" s="22" t="inlineStr">
        <is>
          <t>comun</t>
        </is>
      </c>
      <c r="C78" s="22" t="inlineStr">
        <is>
          <t>Contratación estatal y supervisión</t>
        </is>
      </c>
      <c r="D78" s="22" t="inlineStr">
        <is>
          <t>C026</t>
        </is>
      </c>
      <c r="E78" s="22" t="inlineStr">
        <is>
          <t>Tres contrataciones antes de fin de año</t>
        </is>
      </c>
      <c r="F78" s="22" t="inlineStr">
        <is>
          <t>La entidad necesita contratar tres cosas antes de fin de año: una consultoría para rediseñar el proceso de visitas, un abogado que apoye la gestión jurídica y la adecuación del laboratorio, que cuesta 2.000 millones.</t>
        </is>
      </c>
      <c r="G78" s="22" t="inlineStr">
        <is>
          <t>Para el abogado persona natural que prestará servicios profesionales, procede</t>
        </is>
      </c>
      <c r="H78" s="22" t="inlineStr">
        <is>
          <t>El concurso de méritos abierto</t>
        </is>
      </c>
      <c r="I78" s="22" t="inlineStr">
        <is>
          <t>La licitación pública</t>
        </is>
      </c>
      <c r="J78" s="22" t="inlineStr">
        <is>
          <t>La contratación directa</t>
        </is>
      </c>
      <c r="K78" s="22" t="inlineStr">
        <is>
          <t>C</t>
        </is>
      </c>
      <c r="L78" s="22" t="inlineStr">
        <is>
          <t>El contrato de prestación de servicios profesionales y de apoyo a la gestión se celebra por contratación directa. Ley 1150 de 2007, artículo 2, numeral 4, literal h.</t>
        </is>
      </c>
      <c r="M78" s="22" t="inlineStr">
        <is>
          <t>El concurso de méritos se reserva a consultorías; la licitación pública es la regla general y resulta desproporcionada para un contrato de apoyo a la gestión.</t>
        </is>
      </c>
      <c r="N78" s="22" t="inlineStr">
        <is>
          <t>Ley 1150 de 2007, art. 2, num. 4, lit. h</t>
        </is>
      </c>
      <c r="O78" s="22" t="inlineStr">
        <is>
          <t>SI</t>
        </is>
      </c>
      <c r="P78" s="16" t="inlineStr">
        <is>
          <t>Basica</t>
        </is>
      </c>
      <c r="Q78" s="16" t="inlineStr">
        <is>
          <t>v2</t>
        </is>
      </c>
      <c r="R78" s="16" t="inlineStr">
        <is>
          <t>Básico</t>
        </is>
      </c>
    </row>
    <row r="79" ht="34.5" customHeight="1" s="12">
      <c r="A79" s="22" t="inlineStr">
        <is>
          <t>F026-3</t>
        </is>
      </c>
      <c r="B79" s="22" t="inlineStr">
        <is>
          <t>comun</t>
        </is>
      </c>
      <c r="C79" s="22" t="inlineStr">
        <is>
          <t>Contratación estatal y supervisión</t>
        </is>
      </c>
      <c r="D79" s="22" t="inlineStr">
        <is>
          <t>C026</t>
        </is>
      </c>
      <c r="E79" s="22" t="inlineStr">
        <is>
          <t>Tres contrataciones antes de fin de año</t>
        </is>
      </c>
      <c r="F79" s="22" t="inlineStr">
        <is>
          <t>La entidad necesita contratar tres cosas antes de fin de año: una consultoría para rediseñar el proceso de visitas, un abogado que apoye la gestión jurídica y la adecuación del laboratorio, que cuesta 2.000 millones.</t>
        </is>
      </c>
      <c r="G79" s="22" t="inlineStr">
        <is>
          <t>La regla general para seleccionar contratistas en el Estado es</t>
        </is>
      </c>
      <c r="H79" s="22" t="inlineStr">
        <is>
          <t>La licitación pública</t>
        </is>
      </c>
      <c r="I79" s="22" t="inlineStr">
        <is>
          <t>La contratación directa</t>
        </is>
      </c>
      <c r="J79" s="22" t="inlineStr">
        <is>
          <t>La invitación privada</t>
        </is>
      </c>
      <c r="K79" s="22" t="inlineStr">
        <is>
          <t>A</t>
        </is>
      </c>
      <c r="L79" s="22" t="inlineStr">
        <is>
          <t>Las bases con datos de salud solo pueden tratarse con fundamento legal y autorización explícita del titular. Ley 1581 de 2012, artículos 5, 6 y 9.</t>
        </is>
      </c>
      <c r="M79" s="22" t="inlineStr">
        <is>
          <t>La contratación directa opera solo en las causales taxativas de la ley; la invitación privada no existe como modalidad en el estatuto contractual.</t>
        </is>
      </c>
      <c r="N79" s="22" t="inlineStr">
        <is>
          <t>Ley 1581 de 2012, arts. 5, 6 y 9</t>
        </is>
      </c>
      <c r="O79" s="22" t="inlineStr">
        <is>
          <t>SI</t>
        </is>
      </c>
      <c r="P79" s="16" t="inlineStr">
        <is>
          <t>Basica</t>
        </is>
      </c>
      <c r="Q79" s="16" t="inlineStr">
        <is>
          <t>v2</t>
        </is>
      </c>
      <c r="R79" s="16" t="inlineStr">
        <is>
          <t>Básico</t>
        </is>
      </c>
    </row>
    <row r="80" ht="45.75" customHeight="1" s="12">
      <c r="A80" s="22" t="inlineStr">
        <is>
          <t>F027-1</t>
        </is>
      </c>
      <c r="B80" s="22" t="inlineStr">
        <is>
          <t>comun</t>
        </is>
      </c>
      <c r="C80" s="22" t="inlineStr">
        <is>
          <t>Atención al ciudadano y derecho de petición</t>
        </is>
      </c>
      <c r="D80" s="22" t="inlineStr">
        <is>
          <t>C027</t>
        </is>
      </c>
      <c r="E80" s="22" t="inlineStr">
        <is>
          <t>Usuaria sorda en la ventanilla</t>
        </is>
      </c>
      <c r="F80" s="22" t="inlineStr">
        <is>
          <t>Una mujer sorda llega a radicar una queja contra un funcionario. Nadie en la sede sabe lengua de señas, hay ocho personas en fila y ella insiste en que no volverá otro día porque vive a tres horas.</t>
        </is>
      </c>
      <c r="G80" s="22" t="inlineStr">
        <is>
          <t>La actuación adecuada es</t>
        </is>
      </c>
      <c r="H80" s="22" t="inlineStr">
        <is>
          <t>Pedirle que regrese acompañado de alguien que hable por ella</t>
        </is>
      </c>
      <c r="I80" s="22" t="inlineStr">
        <is>
          <t>Recibir la queja con apoyo de intérprete o del Centro de Relevo</t>
        </is>
      </c>
      <c r="J80" s="22" t="inlineStr">
        <is>
          <t>Indicarle que presente la queja por escrito en la sede principal</t>
        </is>
      </c>
      <c r="K80" s="22" t="inlineStr">
        <is>
          <t>B</t>
        </is>
      </c>
      <c r="L80" s="22" t="inlineStr">
        <is>
          <t>La entidad debe garantizar el acceso a la información y a los trámites con apoyos como el intérprete o el Centro de Relevo. Ley 1618 de 2013, artículos 14 y 16.</t>
        </is>
      </c>
      <c r="M80" s="22" t="inlineStr">
        <is>
          <t>Exigir que venga acompañada traslada a la ciudadana la carga de la accesibilidad; remitirla a otra sede por escrito le niega la atención que pide hoy.</t>
        </is>
      </c>
      <c r="N80" s="22" t="inlineStr">
        <is>
          <t>Ley 1618 de 2013, arts. 14 y 16</t>
        </is>
      </c>
      <c r="O80" s="22" t="inlineStr">
        <is>
          <t>SI</t>
        </is>
      </c>
      <c r="P80" s="16" t="inlineStr">
        <is>
          <t>Media</t>
        </is>
      </c>
      <c r="Q80" s="16" t="inlineStr">
        <is>
          <t>v2</t>
        </is>
      </c>
      <c r="R80" s="16" t="inlineStr">
        <is>
          <t>Básico</t>
        </is>
      </c>
    </row>
    <row r="81" ht="23.25" customHeight="1" s="12">
      <c r="A81" s="22" t="inlineStr">
        <is>
          <t>F027-2</t>
        </is>
      </c>
      <c r="B81" s="22" t="inlineStr">
        <is>
          <t>comun</t>
        </is>
      </c>
      <c r="C81" s="22" t="inlineStr">
        <is>
          <t>Atención al ciudadano y derecho de petición</t>
        </is>
      </c>
      <c r="D81" s="22" t="inlineStr">
        <is>
          <t>C027</t>
        </is>
      </c>
      <c r="E81" s="22" t="inlineStr">
        <is>
          <t>Usuaria sorda en la ventanilla</t>
        </is>
      </c>
      <c r="F81" s="22" t="inlineStr">
        <is>
          <t>Una mujer sorda llega a radicar una queja contra un funcionario. Nadie en la sede sabe lengua de señas, hay ocho personas en fila y ella insiste en que no volverá otro día porque vive a tres horas.</t>
        </is>
      </c>
      <c r="G81" s="22" t="inlineStr">
        <is>
          <t>Una queja se diferencia de un reclamo en que la queja</t>
        </is>
      </c>
      <c r="H81" s="22" t="inlineStr">
        <is>
          <t>Exige la solución de una deficiencia en la prestación del servicio</t>
        </is>
      </c>
      <c r="I81" s="22" t="inlineStr">
        <is>
          <t>Expresa inconformidad con la conducta de un servidor público</t>
        </is>
      </c>
      <c r="J81" s="22" t="inlineStr">
        <is>
          <t>Propone una mejora en la forma de atender a los ciudadanos</t>
        </is>
      </c>
      <c r="K81" s="22" t="inlineStr">
        <is>
          <t>B</t>
        </is>
      </c>
      <c r="L81" s="22" t="inlineStr">
        <is>
          <t>La queja expresa la inconformidad con la conducta de un servidor; el reclamo exige solucionar una deficiencia del servicio. Ley 1755 de 2015, artículo 13; Decreto 1081 de 2015.</t>
        </is>
      </c>
      <c r="M81" s="22" t="inlineStr">
        <is>
          <t>Exigir la solución de una deficiencia del servicio describe el reclamo; proponer una mejora corresponde a la sugerencia, no a la queja.</t>
        </is>
      </c>
      <c r="N81" s="22" t="inlineStr">
        <is>
          <t>Ley 1755 de 2015, art. 13</t>
        </is>
      </c>
      <c r="O81" s="22" t="inlineStr">
        <is>
          <t>SI</t>
        </is>
      </c>
      <c r="P81" s="16" t="inlineStr">
        <is>
          <t>Media</t>
        </is>
      </c>
      <c r="Q81" s="16" t="inlineStr">
        <is>
          <t>v2</t>
        </is>
      </c>
      <c r="R81" s="16" t="inlineStr">
        <is>
          <t>Básico</t>
        </is>
      </c>
    </row>
    <row r="82" ht="23.25" customHeight="1" s="12">
      <c r="A82" s="22" t="inlineStr">
        <is>
          <t>F027-3</t>
        </is>
      </c>
      <c r="B82" s="22" t="inlineStr">
        <is>
          <t>comun</t>
        </is>
      </c>
      <c r="C82" s="22" t="inlineStr">
        <is>
          <t>Atención al ciudadano y derecho de petición</t>
        </is>
      </c>
      <c r="D82" s="22" t="inlineStr">
        <is>
          <t>C027</t>
        </is>
      </c>
      <c r="E82" s="22" t="inlineStr">
        <is>
          <t>Usuaria sorda en la ventanilla</t>
        </is>
      </c>
      <c r="F82" s="22" t="inlineStr">
        <is>
          <t>Una mujer sorda llega a radicar una queja contra un funcionario. Nadie en la sede sabe lengua de señas, hay ocho personas en fila y ella insiste en que no volverá otro día porque vive a tres horas.</t>
        </is>
      </c>
      <c r="G82" s="22" t="inlineStr">
        <is>
          <t>Al redactar la respuesta, el principio de lenguaje claro implica</t>
        </is>
      </c>
      <c r="H82" s="22" t="inlineStr">
        <is>
          <t>Transcribir la norma aplicable y citar su fecha de expedición</t>
        </is>
      </c>
      <c r="I82" s="22" t="inlineStr">
        <is>
          <t>Usar frases cortas y explicar qué debe hacer la persona</t>
        </is>
      </c>
      <c r="J82" s="22" t="inlineStr">
        <is>
          <t>Usar el lenguaje técnico completo, para evitar ambigüedades</t>
        </is>
      </c>
      <c r="K82" s="22" t="inlineStr">
        <is>
          <t>B</t>
        </is>
      </c>
      <c r="L82" s="22" t="inlineStr">
        <is>
          <t>La respuesta debe ser clara y comprensible para el ciudadano, en lenguaje sencillo. Ley 1755 de 2015, artículo 14; Ley 1618 de 2013, artículo 14.</t>
        </is>
      </c>
      <c r="M82" s="22" t="inlineStr">
        <is>
          <t>Transcribir la norma sin explicarla deja al ciudadano igual de perdido; usar todo el lenguaje técnico busca precisión, pero impide entender qué debe hacer.</t>
        </is>
      </c>
      <c r="N82" s="22" t="inlineStr">
        <is>
          <t>Ley 1755 de 2015, art. 14; Ley 1618 de 2013, art. 14</t>
        </is>
      </c>
      <c r="O82" s="22" t="inlineStr">
        <is>
          <t>SI</t>
        </is>
      </c>
      <c r="P82" s="16" t="inlineStr">
        <is>
          <t>Media</t>
        </is>
      </c>
      <c r="Q82" s="16" t="inlineStr">
        <is>
          <t>v2</t>
        </is>
      </c>
      <c r="R82" s="16" t="inlineStr">
        <is>
          <t>Básico</t>
        </is>
      </c>
    </row>
    <row r="83" ht="34.5" customHeight="1" s="12">
      <c r="A83" s="22" t="inlineStr">
        <is>
          <t>F028-1</t>
        </is>
      </c>
      <c r="B83" s="22" t="inlineStr">
        <is>
          <t>comun</t>
        </is>
      </c>
      <c r="C83" s="22" t="inlineStr">
        <is>
          <t>Empleo público y carrera administrativa</t>
        </is>
      </c>
      <c r="D83" s="22" t="inlineStr">
        <is>
          <t>C028</t>
        </is>
      </c>
      <c r="E83" s="22" t="inlineStr">
        <is>
          <t>Nombramiento en período de prueba</t>
        </is>
      </c>
      <c r="F83" s="22" t="inlineStr">
        <is>
          <t>Usted gana el concurso y la entidad demora el nombramiento alegando una medida cautelar dictada en otro proceso. En un caso igual, la Corte ordenó proceder con la designación, porque la cautelar no afectaba las listas de elegibles en firme ni los trámites siguientes.</t>
        </is>
      </c>
      <c r="G83" s="22" t="inlineStr">
        <is>
          <t>La entidad responsable de administrar y vigilar la carrera administrativa es</t>
        </is>
      </c>
      <c r="H83" s="22" t="inlineStr">
        <is>
          <t>Cada entidad de forma autónoma</t>
        </is>
      </c>
      <c r="I83" s="22" t="inlineStr">
        <is>
          <t>El Departamento Administrativo de la Función Pública</t>
        </is>
      </c>
      <c r="J83" s="22" t="inlineStr">
        <is>
          <t>La Comisión Nacional del Servicio Civil</t>
        </is>
      </c>
      <c r="K83" s="22" t="inlineStr">
        <is>
          <t>C</t>
        </is>
      </c>
      <c r="L83" s="22" t="inlineStr">
        <is>
          <t>La Constitución y la Ley 909 de 2004 asignan a la CNSC la administración y vigilancia de la carrera.</t>
        </is>
      </c>
      <c r="M83" s="22" t="inlineStr">
        <is>
          <t>Cada entidad administra su planta, pero no la carrera; Función Pública fija política de empleo público y no vigila los concursos.</t>
        </is>
      </c>
      <c r="N83" s="22" t="inlineStr">
        <is>
          <t>Ley 909 de 2004, art. 31; Corte Constitucional, T-104 de 2020</t>
        </is>
      </c>
      <c r="O83" s="22" t="inlineStr">
        <is>
          <t>SI</t>
        </is>
      </c>
      <c r="P83" s="16" t="inlineStr">
        <is>
          <t>Basica</t>
        </is>
      </c>
      <c r="Q83" s="16" t="inlineStr">
        <is>
          <t>v2</t>
        </is>
      </c>
      <c r="R83" s="16" t="inlineStr">
        <is>
          <t>Básico</t>
        </is>
      </c>
    </row>
    <row r="84" ht="34.5" customHeight="1" s="12">
      <c r="A84" s="22" t="inlineStr">
        <is>
          <t>F028-2</t>
        </is>
      </c>
      <c r="B84" s="22" t="inlineStr">
        <is>
          <t>comun</t>
        </is>
      </c>
      <c r="C84" s="22" t="inlineStr">
        <is>
          <t>Empleo público y carrera administrativa</t>
        </is>
      </c>
      <c r="D84" s="22" t="inlineStr">
        <is>
          <t>C028</t>
        </is>
      </c>
      <c r="E84" s="22" t="inlineStr">
        <is>
          <t>Nombramiento en período de prueba</t>
        </is>
      </c>
      <c r="F84" s="22" t="inlineStr">
        <is>
          <t>Usted gana el concurso y la entidad demora el nombramiento alegando una medida cautelar dictada en otro proceso. En un caso igual, la Corte ordenó proceder con la designación, porque la cautelar no afectaba las listas de elegibles en firme ni los trámites siguientes.</t>
        </is>
      </c>
      <c r="G84" s="22" t="inlineStr">
        <is>
          <t>El período de prueba tiene una duración de</t>
        </is>
      </c>
      <c r="H84" s="22" t="inlineStr">
        <is>
          <t>Un (1) año</t>
        </is>
      </c>
      <c r="I84" s="22" t="inlineStr">
        <is>
          <t>Tres (3) meses</t>
        </is>
      </c>
      <c r="J84" s="22" t="inlineStr">
        <is>
          <t>Seis (6) meses</t>
        </is>
      </c>
      <c r="K84" s="22" t="inlineStr">
        <is>
          <t>C</t>
        </is>
      </c>
      <c r="L84" s="22" t="inlineStr">
        <is>
          <t>Seis (6) meses de período de prueba para quien es nombrado en carrera. Ley 909 de 2004, artículo 31, numeral 6.</t>
        </is>
      </c>
      <c r="M84" s="22" t="inlineStr">
        <is>
          <t>Un año excede el término legal; tres meses corresponde a otras figuras y no alcanza para la evaluación del período de prueba.</t>
        </is>
      </c>
      <c r="N84" s="22" t="inlineStr">
        <is>
          <t>Ley 909 de 2004, art. 31, num. 6; Corte Constitucional, T-104 de 2020</t>
        </is>
      </c>
      <c r="O84" s="22" t="inlineStr">
        <is>
          <t>SI</t>
        </is>
      </c>
      <c r="P84" s="16" t="inlineStr">
        <is>
          <t>Basica</t>
        </is>
      </c>
      <c r="Q84" s="16" t="inlineStr">
        <is>
          <t>v2</t>
        </is>
      </c>
      <c r="R84" s="16" t="inlineStr">
        <is>
          <t>Básico</t>
        </is>
      </c>
    </row>
    <row r="85" ht="34.5" customHeight="1" s="12">
      <c r="A85" s="22" t="inlineStr">
        <is>
          <t>F028-3</t>
        </is>
      </c>
      <c r="B85" s="22" t="inlineStr">
        <is>
          <t>comun</t>
        </is>
      </c>
      <c r="C85" s="22" t="inlineStr">
        <is>
          <t>Empleo público y carrera administrativa</t>
        </is>
      </c>
      <c r="D85" s="22" t="inlineStr">
        <is>
          <t>C028</t>
        </is>
      </c>
      <c r="E85" s="22" t="inlineStr">
        <is>
          <t>Nombramiento en período de prueba</t>
        </is>
      </c>
      <c r="F85" s="22" t="inlineStr">
        <is>
          <t>Usted gana el concurso y la entidad demora el nombramiento alegando una medida cautelar dictada en otro proceso. En un caso igual, la Corte ordenó proceder con la designación, porque la cautelar no afectaba las listas de elegibles en firme ni los trámites siguientes.</t>
        </is>
      </c>
      <c r="G85" s="22" t="inlineStr">
        <is>
          <t>Si al final del período de prueba la evaluación del desempeño es satisfactoria, el empleado</t>
        </is>
      </c>
      <c r="H85" s="22" t="inlineStr">
        <is>
          <t>Adquiere derechos de carrera, con inscripción en el registro</t>
        </is>
      </c>
      <c r="I85" s="22" t="inlineStr">
        <is>
          <t>Debe presentar un nuevo concurso</t>
        </is>
      </c>
      <c r="J85" s="22" t="inlineStr">
        <is>
          <t>Pasa a ser provisional, mientras se evalúa de nuevo su desempeño</t>
        </is>
      </c>
      <c r="K85" s="22" t="inlineStr">
        <is>
          <t>A</t>
        </is>
      </c>
      <c r="L85" s="22" t="inlineStr">
        <is>
          <t>Superado el período de prueba, el empleado es inscrito en el Registro Público de Carrera.</t>
        </is>
      </c>
      <c r="M85" s="22" t="inlineStr">
        <is>
          <t>Exigir un nuevo concurso desconoce el que ya ganó; pasar a provisionalidad es la situación contraria a la inscripción en carrera.</t>
        </is>
      </c>
      <c r="N85" s="22" t="inlineStr">
        <is>
          <t>Ley 909 de 2004, art. 31; Corte Constitucional, T-104 de 2020</t>
        </is>
      </c>
      <c r="O85" s="22" t="inlineStr">
        <is>
          <t>SI</t>
        </is>
      </c>
      <c r="P85" s="16" t="inlineStr">
        <is>
          <t>Basica</t>
        </is>
      </c>
      <c r="Q85" s="16" t="inlineStr">
        <is>
          <t>v2</t>
        </is>
      </c>
      <c r="R85" s="16" t="inlineStr">
        <is>
          <t>Básico</t>
        </is>
      </c>
    </row>
    <row r="86" ht="34.5" customHeight="1" s="12">
      <c r="A86" s="22" t="inlineStr">
        <is>
          <t>F029-1</t>
        </is>
      </c>
      <c r="B86" s="22" t="inlineStr">
        <is>
          <t>invima</t>
        </is>
      </c>
      <c r="C86" s="22" t="inlineStr">
        <is>
          <t>Dispositivos médicos y tecnovigilancia</t>
        </is>
      </c>
      <c r="D86" s="22" t="inlineStr">
        <is>
          <t>C029</t>
        </is>
      </c>
      <c r="E86" s="22" t="inlineStr">
        <is>
          <t>Guantes y marcapasos en un mismo trámite</t>
        </is>
      </c>
      <c r="F86" s="22" t="inlineStr">
        <is>
          <t>Una empresa importará guantes de examen y, en el mismo trámite, un marcapasos. Pregunta si ambos siguen la misma ruta, cuál exige más requisitos y a dónde reportar si un paciente sufre un incidente.</t>
        </is>
      </c>
      <c r="G86" s="22" t="inlineStr">
        <is>
          <t>Según el Decreto 4725 de 2005, los dispositivos médicos se clasifican por riesgo en las clases</t>
        </is>
      </c>
      <c r="H86" s="22" t="inlineStr">
        <is>
          <t>A, B, C y D</t>
        </is>
      </c>
      <c r="I86" s="22" t="inlineStr">
        <is>
          <t>Básico, intermedio y avanzado</t>
        </is>
      </c>
      <c r="J86" s="22" t="inlineStr">
        <is>
          <t>I, IIa, IIb y III</t>
        </is>
      </c>
      <c r="K86" s="22" t="inlineStr">
        <is>
          <t>C</t>
        </is>
      </c>
      <c r="L86" s="22" t="inlineStr">
        <is>
          <t>Las clases son I, IIa, IIb y III, según el riesgo. Decreto 4725 de 2005, artículo 7.</t>
        </is>
      </c>
      <c r="M86" s="22" t="inlineStr">
        <is>
          <t>Las letras A, B, C y D corresponden a otras clasificaciones internacionales; la escala básico, intermedio y avanzado no existe en la norma colombiana.</t>
        </is>
      </c>
      <c r="N86" s="22" t="inlineStr">
        <is>
          <t>Decreto 4725 de 2005, art. 7</t>
        </is>
      </c>
      <c r="O86" s="22" t="inlineStr">
        <is>
          <t>SI</t>
        </is>
      </c>
      <c r="P86" s="16" t="inlineStr">
        <is>
          <t>Basica</t>
        </is>
      </c>
      <c r="Q86" s="16" t="inlineStr">
        <is>
          <t>v2</t>
        </is>
      </c>
      <c r="R86" s="16" t="inlineStr">
        <is>
          <t>Específico</t>
        </is>
      </c>
    </row>
    <row r="87" ht="34.5" customHeight="1" s="12">
      <c r="A87" s="22" t="inlineStr">
        <is>
          <t>F029-2</t>
        </is>
      </c>
      <c r="B87" s="22" t="inlineStr">
        <is>
          <t>invima</t>
        </is>
      </c>
      <c r="C87" s="22" t="inlineStr">
        <is>
          <t>Dispositivos médicos y tecnovigilancia</t>
        </is>
      </c>
      <c r="D87" s="22" t="inlineStr">
        <is>
          <t>C029</t>
        </is>
      </c>
      <c r="E87" s="22" t="inlineStr">
        <is>
          <t>Guantes y marcapasos en un mismo trámite</t>
        </is>
      </c>
      <c r="F87" s="22" t="inlineStr">
        <is>
          <t>Una empresa importará guantes de examen y, en el mismo trámite, un marcapasos. Pregunta si ambos siguen la misma ruta, cuál exige más requisitos y a dónde reportar si un paciente sufre un incidente.</t>
        </is>
      </c>
      <c r="G87" s="22" t="inlineStr">
        <is>
          <t>La clase que representa el mayor riesgo es la</t>
        </is>
      </c>
      <c r="H87" s="22" t="inlineStr">
        <is>
          <t>III</t>
        </is>
      </c>
      <c r="I87" s="22" t="inlineStr">
        <is>
          <t>I</t>
        </is>
      </c>
      <c r="J87" s="22" t="inlineStr">
        <is>
          <t>IIa</t>
        </is>
      </c>
      <c r="K87" s="22" t="inlineStr">
        <is>
          <t>A</t>
        </is>
      </c>
      <c r="L87" s="22" t="inlineStr">
        <is>
          <t>La clase III agrupa el mayor riesgo. Decreto 4725 de 2005, artículo 7.</t>
        </is>
      </c>
      <c r="M87" s="22" t="inlineStr">
        <is>
          <t>La clase I agrupa el riesgo bajo; la IIa el riesgo moderado, que exige menos control que los dispositivos implantables.</t>
        </is>
      </c>
      <c r="N87" s="22" t="inlineStr">
        <is>
          <t>Decreto 4725 de 2005, art. 7</t>
        </is>
      </c>
      <c r="O87" s="22" t="inlineStr">
        <is>
          <t>SI</t>
        </is>
      </c>
      <c r="P87" s="16" t="inlineStr">
        <is>
          <t>Basica</t>
        </is>
      </c>
      <c r="Q87" s="16" t="inlineStr">
        <is>
          <t>v2</t>
        </is>
      </c>
      <c r="R87" s="16" t="inlineStr">
        <is>
          <t>Específico</t>
        </is>
      </c>
    </row>
    <row r="88" ht="34.5" customHeight="1" s="12">
      <c r="A88" s="22" t="inlineStr">
        <is>
          <t>F029-3</t>
        </is>
      </c>
      <c r="B88" s="22" t="inlineStr">
        <is>
          <t>invima</t>
        </is>
      </c>
      <c r="C88" s="22" t="inlineStr">
        <is>
          <t>Dispositivos médicos y tecnovigilancia</t>
        </is>
      </c>
      <c r="D88" s="22" t="inlineStr">
        <is>
          <t>C029</t>
        </is>
      </c>
      <c r="E88" s="22" t="inlineStr">
        <is>
          <t>Guantes y marcapasos en un mismo trámite</t>
        </is>
      </c>
      <c r="F88" s="22" t="inlineStr">
        <is>
          <t>Una empresa importará guantes de examen y, en el mismo trámite, un marcapasos. Pregunta si ambos siguen la misma ruta, cuál exige más requisitos y a dónde reportar si un paciente sufre un incidente.</t>
        </is>
      </c>
      <c r="G88" s="22" t="inlineStr">
        <is>
          <t>Si un dispositivo implantado se asocia a un incidente adverso serio, la institución debe reportarlo al</t>
        </is>
      </c>
      <c r="H88" s="22" t="inlineStr">
        <is>
          <t>Programa de tecnovigilancia</t>
        </is>
      </c>
      <c r="I88" s="22" t="inlineStr">
        <is>
          <t>Programa de farmacovigilancia</t>
        </is>
      </c>
      <c r="J88" s="22" t="inlineStr">
        <is>
          <t>Área de compras del proveedor</t>
        </is>
      </c>
      <c r="K88" s="22" t="inlineStr">
        <is>
          <t>A</t>
        </is>
      </c>
      <c r="L88" s="22" t="inlineStr">
        <is>
          <t>El evento o incidente adverso serio se reporta al Programa Nacional de Tecnovigilancia, dentro de las setenta y dos (72) horas siguientes a su ocurrencia. Resolución 4816 de 2008, artículos 13 y 15.</t>
        </is>
      </c>
      <c r="M88" s="22" t="inlineStr">
        <is>
          <t>La farmacovigilancia cubre medicamentos, no dispositivos; el área de compras del proveedor no es autoridad ni recibe reportes oficiales dentro de las 72 horas.</t>
        </is>
      </c>
      <c r="N88" s="22" t="inlineStr">
        <is>
          <t>Resolución 4816 de 2008, arts. 13 y 15</t>
        </is>
      </c>
      <c r="O88" s="22" t="inlineStr">
        <is>
          <t>SI</t>
        </is>
      </c>
      <c r="P88" s="16" t="inlineStr">
        <is>
          <t>Basica</t>
        </is>
      </c>
      <c r="Q88" s="16" t="inlineStr">
        <is>
          <t>v2</t>
        </is>
      </c>
      <c r="R88" s="16" t="inlineStr">
        <is>
          <t>Específico</t>
        </is>
      </c>
    </row>
    <row r="89" ht="34.5" customHeight="1" s="12">
      <c r="A89" s="22" t="inlineStr">
        <is>
          <t>F030-1</t>
        </is>
      </c>
      <c r="B89" s="22" t="inlineStr">
        <is>
          <t>invima</t>
        </is>
      </c>
      <c r="C89" s="22" t="inlineStr">
        <is>
          <t>Cosméticos</t>
        </is>
      </c>
      <c r="D89" s="22" t="inlineStr">
        <is>
          <t>C030</t>
        </is>
      </c>
      <c r="E89" s="22" t="inlineStr">
        <is>
          <t>Reenvase de perfumes importados</t>
        </is>
      </c>
      <c r="F89" s="22" t="inlineStr">
        <is>
          <t>Una empresa reenvasa y acondiciona perfumes importados en dos locales de centros comerciales. Un inspector propone suspender la actividad y congelar el producto. El caso recuerda uno en que el juez anuló las medidas por desconocer la normativa andina de cosméticos.</t>
        </is>
      </c>
      <c r="G89" s="22" t="inlineStr">
        <is>
          <t>Para comercializar un cosmético en Colombia se requiere</t>
        </is>
      </c>
      <c r="H89" s="22" t="inlineStr">
        <is>
          <t>La notificación sanitaria obligatoria prevista en la norma andina</t>
        </is>
      </c>
      <c r="I89" s="22" t="inlineStr">
        <is>
          <t>El permiso de la cámara de comercio del domicilio del fabricante</t>
        </is>
      </c>
      <c r="J89" s="22" t="inlineStr">
        <is>
          <t>El registro sanitario con evaluación farmacológica del producto</t>
        </is>
      </c>
      <c r="K89" s="22" t="inlineStr">
        <is>
          <t>A</t>
        </is>
      </c>
      <c r="L89" s="22" t="inlineStr">
        <is>
          <t>Los cosméticos requieren notificación sanitaria obligatoria, no registro con evaluación farmacológica. Decisión Andina 833 de 2018, artículos 6 y 18.</t>
        </is>
      </c>
      <c r="M89" s="22" t="inlineStr">
        <is>
          <t>El permiso de la cámara de comercio acredita la existencia de la empresa, no la del producto; el registro con evaluación farmacológica corresponde a medicamentos.</t>
        </is>
      </c>
      <c r="N89" s="22" t="inlineStr">
        <is>
          <t>Decisión Andina 833 de 2018, arts. 6 y 18</t>
        </is>
      </c>
      <c r="O89" s="22" t="inlineStr">
        <is>
          <t>SI</t>
        </is>
      </c>
      <c r="P89" s="16" t="inlineStr">
        <is>
          <t>Media</t>
        </is>
      </c>
      <c r="Q89" s="16" t="inlineStr">
        <is>
          <t>v2</t>
        </is>
      </c>
      <c r="R89" s="16" t="inlineStr">
        <is>
          <t>Específico</t>
        </is>
      </c>
    </row>
    <row r="90" ht="34.5" customHeight="1" s="12">
      <c r="A90" s="22" t="inlineStr">
        <is>
          <t>F030-2</t>
        </is>
      </c>
      <c r="B90" s="22" t="inlineStr">
        <is>
          <t>invima</t>
        </is>
      </c>
      <c r="C90" s="22" t="inlineStr">
        <is>
          <t>Cosméticos</t>
        </is>
      </c>
      <c r="D90" s="22" t="inlineStr">
        <is>
          <t>C030</t>
        </is>
      </c>
      <c r="E90" s="22" t="inlineStr">
        <is>
          <t>Reenvase de perfumes importados</t>
        </is>
      </c>
      <c r="F90" s="22" t="inlineStr">
        <is>
          <t>Una empresa reenvasa y acondiciona perfumes importados en dos locales de centros comerciales. Un inspector propone suspender la actividad y congelar el producto. El caso recuerda uno en que el juez anuló las medidas por desconocer la normativa andina de cosméticos.</t>
        </is>
      </c>
      <c r="G90" s="22" t="inlineStr">
        <is>
          <t>La promesa de 'curar la psoriasis' en un cosmético es</t>
        </is>
      </c>
      <c r="H90" s="22" t="inlineStr">
        <is>
          <t>Válida, si el fabricante cuenta con estudios clínicos propios</t>
        </is>
      </c>
      <c r="I90" s="22" t="inlineStr">
        <is>
          <t>Válida, si la advertencia aparece en la etiqueta del producto</t>
        </is>
      </c>
      <c r="J90" s="22" t="inlineStr">
        <is>
          <t>Improcedente, porque un cosmético no tiene fines terapéuticos</t>
        </is>
      </c>
      <c r="K90" s="22" t="inlineStr">
        <is>
          <t>C</t>
        </is>
      </c>
      <c r="L90" s="22" t="inlineStr">
        <is>
          <t>El cosmético no puede atribuirse acción terapéutica: esa promesa lo convierte en otro tipo de producto. Decisión Andina 833 de 2018, artículos 1 y 33.</t>
        </is>
      </c>
      <c r="M90" s="22" t="inlineStr">
        <is>
          <t>Tener estudios propios no habilita una promesa terapéutica en un cosmético; una advertencia en la etiqueta no convierte en válida la afirmación prohibida.</t>
        </is>
      </c>
      <c r="N90" s="22" t="inlineStr">
        <is>
          <t>Decisión Andina 833 de 2018, arts. 1 y 33</t>
        </is>
      </c>
      <c r="O90" s="22" t="inlineStr">
        <is>
          <t>SI</t>
        </is>
      </c>
      <c r="P90" s="16" t="inlineStr">
        <is>
          <t>Media</t>
        </is>
      </c>
      <c r="Q90" s="16" t="inlineStr">
        <is>
          <t>v2</t>
        </is>
      </c>
      <c r="R90" s="16" t="inlineStr">
        <is>
          <t>Específico</t>
        </is>
      </c>
    </row>
    <row r="91" ht="34.5" customHeight="1" s="12">
      <c r="A91" s="22" t="inlineStr">
        <is>
          <t>F030-3</t>
        </is>
      </c>
      <c r="B91" s="22" t="inlineStr">
        <is>
          <t>invima</t>
        </is>
      </c>
      <c r="C91" s="22" t="inlineStr">
        <is>
          <t>Cosméticos</t>
        </is>
      </c>
      <c r="D91" s="22" t="inlineStr">
        <is>
          <t>C030</t>
        </is>
      </c>
      <c r="E91" s="22" t="inlineStr">
        <is>
          <t>Reenvase de perfumes importados</t>
        </is>
      </c>
      <c r="F91" s="22" t="inlineStr">
        <is>
          <t>Una empresa reenvasa y acondiciona perfumes importados en dos locales de centros comerciales. Un inspector propone suspender la actividad y congelar el producto. El caso recuerda uno en que el juez anuló las medidas por desconocer la normativa andina de cosméticos.</t>
        </is>
      </c>
      <c r="G91" s="22" t="inlineStr">
        <is>
          <t>Una actuación adecuada frente al hallazgo es</t>
        </is>
      </c>
      <c r="H91" s="22" t="inlineStr">
        <is>
          <t>Adquirir una unidad del producto y verificar su efecto real</t>
        </is>
      </c>
      <c r="I91" s="22" t="inlineStr">
        <is>
          <t>Documentar la evidencia y adelantar las acciones de IVC del caso</t>
        </is>
      </c>
      <c r="J91" s="22" t="inlineStr">
        <is>
          <t>Remitir el caso a la plataforma para que retire la publicación</t>
        </is>
      </c>
      <c r="K91" s="22" t="inlineStr">
        <is>
          <t>B</t>
        </is>
      </c>
      <c r="L91" s="22" t="inlineStr">
        <is>
          <t>La actuación procede por el canal sanitario, con las medidas del artículo 39 de la Decisión 833 y las de la Ley 9 de 1979, artículo 576.</t>
        </is>
      </c>
      <c r="M91" s="22" t="inlineStr">
        <is>
          <t>Comprar el producto y probarlo no es una actuación de control; remitir el caso a la plataforma deja la decisión sanitaria en manos de un particular.</t>
        </is>
      </c>
      <c r="N91" s="22" t="inlineStr">
        <is>
          <t>Decisión Andina 833 de 2018, art. 39; Ley 9 de 1979, art. 576</t>
        </is>
      </c>
      <c r="O91" s="22" t="inlineStr">
        <is>
          <t>SI</t>
        </is>
      </c>
      <c r="P91" s="16" t="inlineStr">
        <is>
          <t>Media</t>
        </is>
      </c>
      <c r="Q91" s="16" t="inlineStr">
        <is>
          <t>repaso</t>
        </is>
      </c>
      <c r="R91" s="16" t="inlineStr">
        <is>
          <t>Específico</t>
        </is>
      </c>
    </row>
    <row r="92" ht="34.5" customHeight="1" s="12">
      <c r="A92" s="22" t="inlineStr">
        <is>
          <t>F031-1</t>
        </is>
      </c>
      <c r="B92" s="22" t="inlineStr">
        <is>
          <t>invima</t>
        </is>
      </c>
      <c r="C92" s="22" t="inlineStr">
        <is>
          <t>Publicidad de productos</t>
        </is>
      </c>
      <c r="D92" s="22" t="inlineStr">
        <is>
          <t>C031</t>
        </is>
      </c>
      <c r="E92" s="22" t="inlineStr">
        <is>
          <t>Publicidad dirigida a droguistas</t>
        </is>
      </c>
      <c r="F92" s="22" t="inlineStr">
        <is>
          <t>Un laboratorio pauta en televisión un medicamento de venta bajo fórmula médica y, además, publica sus indicaciones en una revista dirigida a droguistas y regentes de farmacia. En un caso así, el juez respaldó la sanción, porque esos destinatarios no son receptores autorizados de ese tipo de publicidad.</t>
        </is>
      </c>
      <c r="G92" s="22" t="inlineStr">
        <is>
          <t>La publicidad dirigida al público general está permitida para medicamentos</t>
        </is>
      </c>
      <c r="H92" s="22" t="inlineStr">
        <is>
          <t>De venta bajo fórmula médica</t>
        </is>
      </c>
      <c r="I92" s="22" t="inlineStr">
        <is>
          <t>De control especial</t>
        </is>
      </c>
      <c r="J92" s="22" t="inlineStr">
        <is>
          <t>De venta libre</t>
        </is>
      </c>
      <c r="K92" s="22" t="inlineStr">
        <is>
          <t>C</t>
        </is>
      </c>
      <c r="L92" s="22" t="inlineStr">
        <is>
          <t>La publicidad de medicamentos de venta bajo fórmula facultativa solo procede en publicaciones de distribución restringida y dirigida a profesionales en medicina y odontología. Decreto 334 de 2022, artículo 11.</t>
        </is>
      </c>
      <c r="M92" s="22" t="inlineStr">
        <is>
          <t>Los medicamentos de fórmula médica solo pueden promocionarse ante profesionales; los de control especial tienen prohibida la publicidad masiva.</t>
        </is>
      </c>
      <c r="N92" s="22" t="inlineStr">
        <is>
          <t>Decreto 334 de 2022, art. 11</t>
        </is>
      </c>
      <c r="O92" s="22" t="inlineStr">
        <is>
          <t>SI</t>
        </is>
      </c>
      <c r="P92" s="16" t="inlineStr">
        <is>
          <t>Media</t>
        </is>
      </c>
      <c r="Q92" s="16" t="inlineStr">
        <is>
          <t>v2</t>
        </is>
      </c>
      <c r="R92" s="16" t="inlineStr">
        <is>
          <t>Específico</t>
        </is>
      </c>
    </row>
    <row r="93" ht="34.5" customHeight="1" s="12">
      <c r="A93" s="22" t="inlineStr">
        <is>
          <t>F031-2</t>
        </is>
      </c>
      <c r="B93" s="22" t="inlineStr">
        <is>
          <t>invima</t>
        </is>
      </c>
      <c r="C93" s="22" t="inlineStr">
        <is>
          <t>Publicidad de productos</t>
        </is>
      </c>
      <c r="D93" s="22" t="inlineStr">
        <is>
          <t>C031</t>
        </is>
      </c>
      <c r="E93" s="22" t="inlineStr">
        <is>
          <t>Publicidad dirigida a droguistas</t>
        </is>
      </c>
      <c r="F93" s="22" t="inlineStr">
        <is>
          <t>Un laboratorio pauta en televisión un medicamento de venta bajo fórmula médica y, además, publica sus indicaciones en una revista dirigida a droguistas y regentes de farmacia. En un caso así, el juez respaldó la sanción, porque esos destinatarios no son receptores autorizados de ese tipo de publicidad.</t>
        </is>
      </c>
      <c r="G93" s="22" t="inlineStr">
        <is>
          <t>Sobre el suplemento dietario, es correcto afirmar que</t>
        </is>
      </c>
      <c r="H93" s="22" t="inlineStr">
        <is>
          <t>No puede atribuirse propiedades para prevenir enfermedades</t>
        </is>
      </c>
      <c r="I93" s="22" t="inlineStr">
        <is>
          <t>Puede atribuirlas si incluye la leyenda «consulte a su médico»</t>
        </is>
      </c>
      <c r="J93" s="22" t="inlineStr">
        <is>
          <t>Puede atribuirlas si cuenta con registro sanitario vigente</t>
        </is>
      </c>
      <c r="K93" s="22" t="inlineStr">
        <is>
          <t>A</t>
        </is>
      </c>
      <c r="L93" s="22" t="inlineStr">
        <is>
          <t>Se prohíbe divulgar información no aprobada en el registro y usar frases que induzcan a error o creen falsas expectativas. Decreto 334 de 2022, artículo 16, numerales 16.1 y 16.3.</t>
        </is>
      </c>
      <c r="M93" s="22" t="inlineStr">
        <is>
          <t>La leyenda de consultar al médico no habilita una promesa de prevención; tener registro sanitario tampoco autoriza atribuir propiedades terapéuticas.</t>
        </is>
      </c>
      <c r="N93" s="22" t="inlineStr">
        <is>
          <t>Decreto 334 de 2022, art. 16, nums. 16.1 y 16.3</t>
        </is>
      </c>
      <c r="O93" s="22" t="inlineStr">
        <is>
          <t>SI</t>
        </is>
      </c>
      <c r="P93" s="16" t="inlineStr">
        <is>
          <t>Media</t>
        </is>
      </c>
      <c r="Q93" s="16" t="inlineStr">
        <is>
          <t>v2</t>
        </is>
      </c>
      <c r="R93" s="16" t="inlineStr">
        <is>
          <t>Específico</t>
        </is>
      </c>
    </row>
    <row r="94" ht="34.5" customHeight="1" s="12">
      <c r="A94" s="22" t="inlineStr">
        <is>
          <t>F031-3</t>
        </is>
      </c>
      <c r="B94" s="22" t="inlineStr">
        <is>
          <t>invima</t>
        </is>
      </c>
      <c r="C94" s="22" t="inlineStr">
        <is>
          <t>Publicidad de productos</t>
        </is>
      </c>
      <c r="D94" s="22" t="inlineStr">
        <is>
          <t>C031</t>
        </is>
      </c>
      <c r="E94" s="22" t="inlineStr">
        <is>
          <t>Publicidad dirigida a droguistas</t>
        </is>
      </c>
      <c r="F94" s="22" t="inlineStr">
        <is>
          <t>Un laboratorio pauta en televisión un medicamento de venta bajo fórmula médica y, además, publica sus indicaciones en una revista dirigida a droguistas y regentes de farmacia. En un caso así, el juez respaldó la sanción, porque esos destinatarios no son receptores autorizados de ese tipo de publicidad.</t>
        </is>
      </c>
      <c r="G94" s="22" t="inlineStr">
        <is>
          <t>Frente a la pauta del medicamento bajo fórmula médica, la actuación que corresponde es</t>
        </is>
      </c>
      <c r="H94" s="22" t="inlineStr">
        <is>
          <t>Solicitar que la pauta se transmita en horario nocturno solamente</t>
        </is>
      </c>
      <c r="I94" s="22" t="inlineStr">
        <is>
          <t>Iniciar las actuaciones de control a la publicidad no autorizada</t>
        </is>
      </c>
      <c r="J94" s="22" t="inlineStr">
        <is>
          <t>Esperar a que un consumidor presente la queja correspondiente</t>
        </is>
      </c>
      <c r="K94" s="22" t="inlineStr">
        <is>
          <t>B</t>
        </is>
      </c>
      <c r="L94" s="22" t="inlineStr">
        <is>
          <t>La publicidad no requiere aprobación previa: el Invima ejerce control posterior, con las entidades territoriales. Decreto 334 de 2022, artículos 9 y 10.</t>
        </is>
      </c>
      <c r="M94" s="22" t="inlineStr">
        <is>
          <t>Cambiar el horario de la pauta no corrige la infracción de fondo; esperar la queja de un consumidor renuncia al control de oficio.</t>
        </is>
      </c>
      <c r="N94" s="22" t="inlineStr">
        <is>
          <t>Decreto 334 de 2022, arts. 9 y 10</t>
        </is>
      </c>
      <c r="O94" s="22" t="inlineStr">
        <is>
          <t>SI</t>
        </is>
      </c>
      <c r="P94" s="16" t="inlineStr">
        <is>
          <t>Media</t>
        </is>
      </c>
      <c r="Q94" s="16" t="inlineStr">
        <is>
          <t>v2</t>
        </is>
      </c>
      <c r="R94" s="16" t="inlineStr">
        <is>
          <t>Específico</t>
        </is>
      </c>
    </row>
    <row r="95" ht="23.25" customHeight="1" s="12">
      <c r="A95" s="22" t="inlineStr">
        <is>
          <t>F032-1</t>
        </is>
      </c>
      <c r="B95" s="22" t="inlineStr">
        <is>
          <t>invima</t>
        </is>
      </c>
      <c r="C95" s="22" t="inlineStr">
        <is>
          <t>Alimentos: etiquetado y rotulado</t>
        </is>
      </c>
      <c r="D95" s="22" t="inlineStr">
        <is>
          <t>C032</t>
        </is>
      </c>
      <c r="E95" s="22" t="inlineStr">
        <is>
          <t>Etiqueta de un snack salado</t>
        </is>
      </c>
      <c r="F95" s="22" t="inlineStr">
        <is>
          <t>Revisa la etiqueta de un snack salado: los ingredientes aparecen en orden alfabético, no trae número de lote y el contenido de sodio supera el límite pese a que el producto lleva sal añadida.</t>
        </is>
      </c>
      <c r="G95" s="22" t="inlineStr">
        <is>
          <t>En la lista de ingredientes, estos deben declararse</t>
        </is>
      </c>
      <c r="H95" s="22" t="inlineStr">
        <is>
          <t>En orden alfabético, para facilitar la lectura al consumidor</t>
        </is>
      </c>
      <c r="I95" s="22" t="inlineStr">
        <is>
          <t>En orden decreciente de peso</t>
        </is>
      </c>
      <c r="J95" s="22" t="inlineStr">
        <is>
          <t>En el orden que prefiera el fabricante, según su formulación</t>
        </is>
      </c>
      <c r="K95" s="22" t="inlineStr">
        <is>
          <t>B</t>
        </is>
      </c>
      <c r="L95" s="22" t="inlineStr">
        <is>
          <t>Los ingredientes se declaran en orden decreciente de peso inicial (m/m) al momento de la fabricación. Resolución 5109 de 2005, artículo 5, numeral 5.2.</t>
        </is>
      </c>
      <c r="M95" s="22" t="inlineStr">
        <is>
          <t>El orden alfabético oculta cuál ingrediente predomina; dejarlo al criterio del fabricante impide comparar productos entre sí.</t>
        </is>
      </c>
      <c r="N95" s="22" t="inlineStr">
        <is>
          <t>Resolución 5109 de 2005, art. 5, num. 5.2</t>
        </is>
      </c>
      <c r="O95" s="22" t="inlineStr">
        <is>
          <t>SI</t>
        </is>
      </c>
      <c r="P95" s="16" t="inlineStr">
        <is>
          <t>Basica</t>
        </is>
      </c>
      <c r="Q95" s="16" t="inlineStr">
        <is>
          <t>v2</t>
        </is>
      </c>
      <c r="R95" s="16" t="inlineStr">
        <is>
          <t>Específico</t>
        </is>
      </c>
    </row>
    <row r="96" ht="34.5" customHeight="1" s="12">
      <c r="A96" s="22" t="inlineStr">
        <is>
          <t>F032-2</t>
        </is>
      </c>
      <c r="B96" s="22" t="inlineStr">
        <is>
          <t>invima</t>
        </is>
      </c>
      <c r="C96" s="22" t="inlineStr">
        <is>
          <t>Alimentos: etiquetado y rotulado</t>
        </is>
      </c>
      <c r="D96" s="22" t="inlineStr">
        <is>
          <t>C032</t>
        </is>
      </c>
      <c r="E96" s="22" t="inlineStr">
        <is>
          <t>Etiqueta de un snack salado</t>
        </is>
      </c>
      <c r="F96" s="22" t="inlineStr">
        <is>
          <t>Revisa la etiqueta de un snack salado: los ingredientes aparecen en orden alfabético, no trae número de lote y el contenido de sodio supera el límite pese a que el producto lleva sal añadida.</t>
        </is>
      </c>
      <c r="G96" s="22" t="inlineStr">
        <is>
          <t>Si al producto se le adicionó sal y supera los límites de sodio de la norma de etiquetado nutricional, debe llevar</t>
        </is>
      </c>
      <c r="H96" s="22" t="inlineStr">
        <is>
          <t>Un sello frontal de advertencia 'EXCESO EN SODIO'</t>
        </is>
      </c>
      <c r="I96" s="22" t="inlineStr">
        <is>
          <t>Una leyenda en la parte posterior que diga 'contiene sal'</t>
        </is>
      </c>
      <c r="J96" s="22" t="inlineStr">
        <is>
          <t>Un logo verde de producto natural</t>
        </is>
      </c>
      <c r="K96" s="22" t="inlineStr">
        <is>
          <t>A</t>
        </is>
      </c>
      <c r="L96" s="22" t="inlineStr">
        <is>
          <t>El sello frontal de advertencia se ubica en la cara principal cuando el nutriente adicionado supera los límites. Resolución 810 de 2021, artículo 32 (corregido por el artículo 1 de la Resolución 254 de 2023).</t>
        </is>
      </c>
      <c r="M96" s="22" t="inlineStr">
        <is>
          <t>Una leyenda posterior no cumple la función del sello frontal; un logo de producto natural induce a error sobre el contenido del alimento.</t>
        </is>
      </c>
      <c r="N96" s="22" t="inlineStr">
        <is>
          <t>Resolución 810 de 2021, art. 32 (corr. Resolución 254 de 2023)</t>
        </is>
      </c>
      <c r="O96" s="22" t="inlineStr">
        <is>
          <t>SI</t>
        </is>
      </c>
      <c r="P96" s="16" t="inlineStr">
        <is>
          <t>Basica</t>
        </is>
      </c>
      <c r="Q96" s="16" t="inlineStr">
        <is>
          <t>v2</t>
        </is>
      </c>
      <c r="R96" s="16" t="inlineStr">
        <is>
          <t>Específico</t>
        </is>
      </c>
    </row>
    <row r="97" ht="23.25" customHeight="1" s="12">
      <c r="A97" s="22" t="inlineStr">
        <is>
          <t>F032-3</t>
        </is>
      </c>
      <c r="B97" s="22" t="inlineStr">
        <is>
          <t>invima</t>
        </is>
      </c>
      <c r="C97" s="22" t="inlineStr">
        <is>
          <t>Alimentos: etiquetado y rotulado</t>
        </is>
      </c>
      <c r="D97" s="22" t="inlineStr">
        <is>
          <t>C032</t>
        </is>
      </c>
      <c r="E97" s="22" t="inlineStr">
        <is>
          <t>Etiqueta de un snack salado</t>
        </is>
      </c>
      <c r="F97" s="22" t="inlineStr">
        <is>
          <t>Revisa la etiqueta de un snack salado: los ingredientes aparecen en orden alfabético, no trae número de lote y el contenido de sodio supera el límite pese a que el producto lleva sal añadida.</t>
        </is>
      </c>
      <c r="G97" s="22" t="inlineStr">
        <is>
          <t>La etiqueta no trae número de lote. Esto es relevante porque el lote</t>
        </is>
      </c>
      <c r="H97" s="22" t="inlineStr">
        <is>
          <t>Sirve al fabricante para el control contable y la rotación de su bodega</t>
        </is>
      </c>
      <c r="I97" s="22" t="inlineStr">
        <is>
          <t>Identifica la planta</t>
        </is>
      </c>
      <c r="J97" s="22" t="inlineStr">
        <is>
          <t>Permite la trazabilidad y el retiro focalizado del producto</t>
        </is>
      </c>
      <c r="K97" s="22" t="inlineStr">
        <is>
          <t>C</t>
        </is>
      </c>
      <c r="L97" s="22" t="inlineStr">
        <is>
          <t>El lote permite la trazabilidad y el retiro focalizado del producto. Resolución 5109 de 2005, artículo 5, numeral 5.6; Resolución 2674 de 2013, artículo 19, numeral 2.</t>
        </is>
      </c>
      <c r="M97" s="22" t="inlineStr">
        <is>
          <t>El control contable es un uso interno del fabricante; identificar la línea de producción es útil, pero no es la razón por la que la norma exige el lote.</t>
        </is>
      </c>
      <c r="N97" s="22" t="inlineStr">
        <is>
          <t>Resolución 5109 de 2005, art. 5, num. 5.6; Resolución 2674 de 2013, art. 19</t>
        </is>
      </c>
      <c r="O97" s="22" t="inlineStr">
        <is>
          <t>SI</t>
        </is>
      </c>
      <c r="P97" s="16" t="inlineStr">
        <is>
          <t>Basica</t>
        </is>
      </c>
      <c r="Q97" s="16" t="inlineStr">
        <is>
          <t>v2</t>
        </is>
      </c>
      <c r="R97" s="16" t="inlineStr">
        <is>
          <t>Específico</t>
        </is>
      </c>
    </row>
    <row r="98" ht="34.5" customHeight="1" s="12">
      <c r="A98" s="22" t="inlineStr">
        <is>
          <t>F033-1</t>
        </is>
      </c>
      <c r="B98" s="22" t="inlineStr">
        <is>
          <t>invima</t>
        </is>
      </c>
      <c r="C98" s="22" t="inlineStr">
        <is>
          <t>Carne y productos cárnicos</t>
        </is>
      </c>
      <c r="D98" s="22" t="inlineStr">
        <is>
          <t>C033</t>
        </is>
      </c>
      <c r="E98" s="22" t="inlineStr">
        <is>
          <t>Carne de sacrificio en finca</t>
        </is>
      </c>
      <c r="F98" s="22" t="inlineStr">
        <is>
          <t>Un camión sin refrigeración transporta canales de res sin sellos. El conductor afirma que el animal se sacrificó en la finca y que un veterinario particular lo revisó antes de despresarlo.</t>
        </is>
      </c>
      <c r="G98" s="22" t="inlineStr">
        <is>
          <t>El sistema oficial de inspección, vigilancia y control de la carne en Colombia está reglamentado principalmente por</t>
        </is>
      </c>
      <c r="H98" s="22" t="inlineStr">
        <is>
          <t>La Resolución 2674 de 2013</t>
        </is>
      </c>
      <c r="I98" s="22" t="inlineStr">
        <is>
          <t>El Decreto 1500 de 2007</t>
        </is>
      </c>
      <c r="J98" s="22" t="inlineStr">
        <is>
          <t>El Decreto 677 de 1995</t>
        </is>
      </c>
      <c r="K98" s="22" t="inlineStr">
        <is>
          <t>B</t>
        </is>
      </c>
      <c r="L98" s="22" t="inlineStr">
        <is>
          <t>El sistema oficial de inspección, vigilancia y control de la carne es el del Decreto 1500 de 2007, modificado, entre otros, por los Decretos 2965 de 2008, 2380, 4131 y 4974 de 2009, 3961 de 2011 y 917 y 2270 de 2012.</t>
        </is>
      </c>
      <c r="M98" s="22" t="inlineStr">
        <is>
          <t>La Resolución 2674 de 2013 regula alimentos en general, no el sistema de la carne; el Decreto 677 de 1995 corresponde a medicamentos.</t>
        </is>
      </c>
      <c r="N98" s="22" t="inlineStr">
        <is>
          <t>Decreto 1500 de 2007, art. 1 (modificado por el Decreto 2270 de 2012)</t>
        </is>
      </c>
      <c r="O98" s="22" t="inlineStr">
        <is>
          <t>SI</t>
        </is>
      </c>
      <c r="P98" s="16" t="inlineStr">
        <is>
          <t>Basica</t>
        </is>
      </c>
      <c r="Q98" s="16" t="inlineStr">
        <is>
          <t>v2</t>
        </is>
      </c>
      <c r="R98" s="16" t="inlineStr">
        <is>
          <t>Específico</t>
        </is>
      </c>
    </row>
    <row r="99" ht="34.5" customHeight="1" s="12">
      <c r="A99" s="22" t="inlineStr">
        <is>
          <t>F033-2</t>
        </is>
      </c>
      <c r="B99" s="22" t="inlineStr">
        <is>
          <t>invima</t>
        </is>
      </c>
      <c r="C99" s="22" t="inlineStr">
        <is>
          <t>Carne y productos cárnicos</t>
        </is>
      </c>
      <c r="D99" s="22" t="inlineStr">
        <is>
          <t>C033</t>
        </is>
      </c>
      <c r="E99" s="22" t="inlineStr">
        <is>
          <t>Carne de sacrificio en finca</t>
        </is>
      </c>
      <c r="F99" s="22" t="inlineStr">
        <is>
          <t>Un camión sin refrigeración transporta canales de res sin sellos. El conductor afirma que el animal se sacrificó en la finca y que un veterinario particular lo revisó antes de despresarlo.</t>
        </is>
      </c>
      <c r="G99" s="22" t="inlineStr">
        <is>
          <t>La carne apta para consumo debe provenir de plantas autorizadas donde se realiza</t>
        </is>
      </c>
      <c r="H99" s="22" t="inlineStr">
        <is>
          <t>Inspección del producto en el expendio y en el transporte</t>
        </is>
      </c>
      <c r="I99" s="22" t="inlineStr">
        <is>
          <t>Inspección documental y de rotulado de cada remesa</t>
        </is>
      </c>
      <c r="J99" s="22" t="inlineStr">
        <is>
          <t>Inspección ante mortem y post mortem</t>
        </is>
      </c>
      <c r="K99" s="22" t="inlineStr">
        <is>
          <t>C</t>
        </is>
      </c>
      <c r="L99" s="22" t="inlineStr">
        <is>
          <t>Todos los animales que ingresan a la planta se someten a inspección ante mortem y sus partes, al final del proceso, a inspección post mortem. Decreto 1500 de 2007, artículo 31.</t>
        </is>
      </c>
      <c r="M99" s="22" t="inlineStr">
        <is>
          <t>La inspección en el expendio ocurre cuando la carne ya está en venta; la revisión documental no verifica el estado sanitario del animal ni de la canal.</t>
        </is>
      </c>
      <c r="N99" s="22" t="inlineStr">
        <is>
          <t>Decreto 1500 de 2007, art. 31</t>
        </is>
      </c>
      <c r="O99" s="22" t="inlineStr">
        <is>
          <t>SI</t>
        </is>
      </c>
      <c r="P99" s="16" t="inlineStr">
        <is>
          <t>Basica</t>
        </is>
      </c>
      <c r="Q99" s="16" t="inlineStr">
        <is>
          <t>v2</t>
        </is>
      </c>
      <c r="R99" s="16" t="inlineStr">
        <is>
          <t>Específico</t>
        </is>
      </c>
    </row>
    <row r="100" ht="34.5" customHeight="1" s="12">
      <c r="A100" s="22" t="inlineStr">
        <is>
          <t>F033-3</t>
        </is>
      </c>
      <c r="B100" s="22" t="inlineStr">
        <is>
          <t>invima</t>
        </is>
      </c>
      <c r="C100" s="22" t="inlineStr">
        <is>
          <t>Carne y productos cárnicos</t>
        </is>
      </c>
      <c r="D100" s="22" t="inlineStr">
        <is>
          <t>C033</t>
        </is>
      </c>
      <c r="E100" s="22" t="inlineStr">
        <is>
          <t>Carne de sacrificio en finca</t>
        </is>
      </c>
      <c r="F100" s="22" t="inlineStr">
        <is>
          <t>Un camión sin refrigeración transporta canales de res sin sellos. El conductor afirma que el animal se sacrificó en la finca y que un veterinario particular lo revisó antes de despresarlo.</t>
        </is>
      </c>
      <c r="G100" s="22" t="inlineStr">
        <is>
          <t>Frente al hallazgo, la actuación sanitaria procedente es</t>
        </is>
      </c>
      <c r="H100" s="22" t="inlineStr">
        <is>
          <t>Ordenar que la carne se refrigere de inmediato y se venda con descuento en el expendio</t>
        </is>
      </c>
      <c r="I100" s="22" t="inlineStr">
        <is>
          <t>Aplicar el decomiso y documentarlo</t>
        </is>
      </c>
      <c r="J100" s="22" t="inlineStr">
        <is>
          <t>Verificar la factura de compra y permitir que el vehículo continúe hacia el expendio</t>
        </is>
      </c>
      <c r="K100" s="22" t="inlineStr">
        <is>
          <t>B</t>
        </is>
      </c>
      <c r="L100" s="22" t="inlineStr">
        <is>
          <t>El decomiso o condena se aplica al animal en la inspección ante mortem y a la carne en la post mortem, y se documenta. Decreto 1500 de 2007, artículos 3 y 31; Ley 9 de 1979, artículo 576.</t>
        </is>
      </c>
      <c r="M100" s="22" t="inlineStr">
        <is>
          <t>Refrigerar y vender con descuento pone en el mercado un producto sin inspección; la factura de compra no acredita el origen sanitario de la carne.</t>
        </is>
      </c>
      <c r="N100" s="22" t="inlineStr">
        <is>
          <t>Decreto 1500 de 2007, arts. 3 y 31; Ley 9 de 1979, art. 576</t>
        </is>
      </c>
      <c r="O100" s="22" t="inlineStr">
        <is>
          <t>SI</t>
        </is>
      </c>
      <c r="P100" s="16" t="inlineStr">
        <is>
          <t>Basica</t>
        </is>
      </c>
      <c r="Q100" s="16" t="inlineStr">
        <is>
          <t>v2</t>
        </is>
      </c>
      <c r="R100" s="16" t="inlineStr">
        <is>
          <t>Específico</t>
        </is>
      </c>
    </row>
    <row r="101" ht="34.5" customHeight="1" s="12">
      <c r="A101" s="22" t="inlineStr">
        <is>
          <t>F034-1</t>
        </is>
      </c>
      <c r="B101" s="22" t="inlineStr">
        <is>
          <t>invima</t>
        </is>
      </c>
      <c r="C101" s="22" t="inlineStr">
        <is>
          <t>Importaciones y puntos de entrada</t>
        </is>
      </c>
      <c r="D101" s="22" t="inlineStr">
        <is>
          <t>C034</t>
        </is>
      </c>
      <c r="E101" s="22" t="inlineStr">
        <is>
          <t>Leche en polvo con temperatura perdida</t>
        </is>
      </c>
      <c r="F101" s="22" t="inlineStr">
        <is>
          <t>Un contenedor de leche en polvo llega a Buenaventura con rótulos que no cumplen la norma nacional y con registros de temperatura fuera de rango durante 18 horas. El importador tiene un contrato con tres colegios.</t>
        </is>
      </c>
      <c r="G101" s="22" t="inlineStr">
        <is>
          <t>Para nacionalizar alimentos importados se requiere, entre otros, la</t>
        </is>
      </c>
      <c r="H101" s="22" t="inlineStr">
        <is>
          <t>Certificación del transportador sobre la calidad del producto</t>
        </is>
      </c>
      <c r="I101" s="22" t="inlineStr">
        <is>
          <t>Inspección sanitaria de la autoridad competente en el punto de entrada</t>
        </is>
      </c>
      <c r="J101" s="22" t="inlineStr">
        <is>
          <t>Autorización de la alcaldía del municipio de destino</t>
        </is>
      </c>
      <c r="K101" s="22" t="inlineStr">
        <is>
          <t>B</t>
        </is>
      </c>
      <c r="L101" s="22" t="inlineStr">
        <is>
          <t>Los alimentos importados se someten a inspección sanitaria en puertos, aeropuertos y pasos de frontera.</t>
        </is>
      </c>
      <c r="M101" s="22" t="inlineStr">
        <is>
          <t>La certificación del transportador proviene del interesado y no reemplaza la inspección oficial; la alcaldía de destino no tiene competencia en el punto de entrada.</t>
        </is>
      </c>
      <c r="N101" s="22" t="inlineStr">
        <is>
          <t>Decreto 2478 de 2018; Ley 1122 de 2007, art. 34</t>
        </is>
      </c>
      <c r="O101" s="22" t="inlineStr">
        <is>
          <t>SI</t>
        </is>
      </c>
      <c r="P101" s="16" t="inlineStr">
        <is>
          <t>Media</t>
        </is>
      </c>
      <c r="Q101" s="16" t="inlineStr">
        <is>
          <t>v2</t>
        </is>
      </c>
      <c r="R101" s="16" t="inlineStr">
        <is>
          <t>Específico</t>
        </is>
      </c>
    </row>
    <row r="102" ht="34.5" customHeight="1" s="12">
      <c r="A102" s="22" t="inlineStr">
        <is>
          <t>F034-2</t>
        </is>
      </c>
      <c r="B102" s="22" t="inlineStr">
        <is>
          <t>invima</t>
        </is>
      </c>
      <c r="C102" s="22" t="inlineStr">
        <is>
          <t>Importaciones y puntos de entrada</t>
        </is>
      </c>
      <c r="D102" s="22" t="inlineStr">
        <is>
          <t>C034</t>
        </is>
      </c>
      <c r="E102" s="22" t="inlineStr">
        <is>
          <t>Leche en polvo con temperatura perdida</t>
        </is>
      </c>
      <c r="F102" s="22" t="inlineStr">
        <is>
          <t>Un contenedor de leche en polvo llega a Buenaventura con rótulos que no cumplen la norma nacional y con registros de temperatura fuera de rango durante 18 horas. El importador tiene un contrato con tres colegios.</t>
        </is>
      </c>
      <c r="G102" s="22" t="inlineStr">
        <is>
          <t>Frente a la falla en la temperatura de transporte, lo prioritario es</t>
        </is>
      </c>
      <c r="H102" s="22" t="inlineStr">
        <is>
          <t>Autorizar el ingreso y exigir que se refrigere en bodega destino</t>
        </is>
      </c>
      <c r="I102" s="22" t="inlineStr">
        <is>
          <t>Rechazar los próximos envíos de ese importador por un semestre</t>
        </is>
      </c>
      <c r="J102" s="22" t="inlineStr">
        <is>
          <t>Evaluar el riesgo para la inocuidad y decidir con ese resultado</t>
        </is>
      </c>
      <c r="K102" s="22" t="inlineStr">
        <is>
          <t>C</t>
        </is>
      </c>
      <c r="L102" s="22" t="inlineStr">
        <is>
          <t>La decisión sanitaria se basa en la evaluación del riesgo sobre el lote inspeccionado.</t>
        </is>
      </c>
      <c r="M102" s="22" t="inlineStr">
        <is>
          <t>Autorizar el ingreso y refrigerar después traslada el riesgo al destino; rechazar los envíos futuros sanciona sin decidir sobre el contenedor que está en el puerto.</t>
        </is>
      </c>
      <c r="N102" s="22" t="inlineStr">
        <is>
          <t>Decreto 2478 de 2018; Ley 1122 de 2007, art. 34</t>
        </is>
      </c>
      <c r="O102" s="22" t="inlineStr">
        <is>
          <t>SI</t>
        </is>
      </c>
      <c r="P102" s="16" t="inlineStr">
        <is>
          <t>Media</t>
        </is>
      </c>
      <c r="Q102" s="16" t="inlineStr">
        <is>
          <t>v2</t>
        </is>
      </c>
      <c r="R102" s="16" t="inlineStr">
        <is>
          <t>Específico</t>
        </is>
      </c>
    </row>
    <row r="103" ht="34.5" customHeight="1" s="12">
      <c r="A103" s="22" t="inlineStr">
        <is>
          <t>F034-3</t>
        </is>
      </c>
      <c r="B103" s="22" t="inlineStr">
        <is>
          <t>invima</t>
        </is>
      </c>
      <c r="C103" s="22" t="inlineStr">
        <is>
          <t>Importaciones y puntos de entrada</t>
        </is>
      </c>
      <c r="D103" s="22" t="inlineStr">
        <is>
          <t>C034</t>
        </is>
      </c>
      <c r="E103" s="22" t="inlineStr">
        <is>
          <t>Leche en polvo con temperatura perdida</t>
        </is>
      </c>
      <c r="F103" s="22" t="inlineStr">
        <is>
          <t>Un contenedor de leche en polvo llega a Buenaventura con rótulos que no cumplen la norma nacional y con registros de temperatura fuera de rango durante 18 horas. El importador tiene un contrato con tres colegios.</t>
        </is>
      </c>
      <c r="G103" s="22" t="inlineStr">
        <is>
          <t>Si se concluye que el producto no puede ingresar, las alternativas usuales son</t>
        </is>
      </c>
      <c r="H103" s="22" t="inlineStr">
        <is>
          <t>Su venta a menor precio</t>
        </is>
      </c>
      <c r="I103" s="22" t="inlineStr">
        <is>
          <t>El reembarque o la destrucción, según corresponda</t>
        </is>
      </c>
      <c r="J103" s="22" t="inlineStr">
        <is>
          <t>Su donación a comedores comunitarios y a bancos de alimentos</t>
        </is>
      </c>
      <c r="K103" s="22" t="inlineStr">
        <is>
          <t>B</t>
        </is>
      </c>
      <c r="L103" s="22" t="inlineStr">
        <is>
          <t>Un producto importado rechazado no se nacionaliza; se reembarca o se destruye.</t>
        </is>
      </c>
      <c r="M103" s="22" t="inlineStr">
        <is>
          <t>Venderlo más barato pone en el mercado un producto rechazado; donarlo traslada el mismo riesgo a población que suele ser más vulnerable.</t>
        </is>
      </c>
      <c r="N103" s="22" t="inlineStr">
        <is>
          <t>Decreto 2478 de 2018; Ley 1122 de 2007, art. 34</t>
        </is>
      </c>
      <c r="O103" s="22" t="inlineStr">
        <is>
          <t>SI</t>
        </is>
      </c>
      <c r="P103" s="16" t="inlineStr">
        <is>
          <t>Media</t>
        </is>
      </c>
      <c r="Q103" s="16" t="inlineStr">
        <is>
          <t>v2</t>
        </is>
      </c>
      <c r="R103" s="16" t="inlineStr">
        <is>
          <t>Específico</t>
        </is>
      </c>
    </row>
    <row r="104" ht="34.5" customHeight="1" s="12">
      <c r="A104" s="22" t="inlineStr">
        <is>
          <t>F035-1</t>
        </is>
      </c>
      <c r="B104" s="22" t="inlineStr">
        <is>
          <t>invima</t>
        </is>
      </c>
      <c r="C104" s="22" t="inlineStr">
        <is>
          <t>Inspección, vigilancia y control sanitario</t>
        </is>
      </c>
      <c r="D104" s="22" t="inlineStr">
        <is>
          <t>C035</t>
        </is>
      </c>
      <c r="E104" s="22" t="inlineStr">
        <is>
          <t>Cuarenta visitas para 120 establecimientos</t>
        </is>
      </c>
      <c r="F104" s="22" t="inlineStr">
        <is>
          <t>Su grupo tiene capacidad para 40 visitas este mes y 120 establecimientos pendientes. Entre ellos hay una planta de alimentos de alto riesgo con hallazgos críticos el año pasado y doce tiendas de barrio cercanas a la sede.</t>
        </is>
      </c>
      <c r="G104" s="22" t="inlineStr">
        <is>
          <t>El criterio más adecuado para priorizar las visitas es</t>
        </is>
      </c>
      <c r="H104" s="22" t="inlineStr">
        <is>
          <t>La cercanía a la sede y el costo de desplazamiento de cada visita</t>
        </is>
      </c>
      <c r="I104" s="22" t="inlineStr">
        <is>
          <t>El orden de antigüedad del registro, de mayor a menor</t>
        </is>
      </c>
      <c r="J104" s="22" t="inlineStr">
        <is>
          <t>El nivel de riesgo sanitario y el historial de cumplimiento</t>
        </is>
      </c>
      <c r="K104" s="22" t="inlineStr">
        <is>
          <t>C</t>
        </is>
      </c>
      <c r="L104" s="22" t="inlineStr">
        <is>
          <t>La programación se basa en el riesgo del producto y el historial de cumplimiento del establecimiento. Resolución 1229 de 2013, artículos 5 y 6 (modelo de IVC basado en riesgo).</t>
        </is>
      </c>
      <c r="M104" s="22" t="inlineStr">
        <is>
          <t>La cercanía a la sede facilita la logística, pero no mide el riesgo; la antigüedad del registro no dice nada sobre las condiciones actuales del establecimiento.</t>
        </is>
      </c>
      <c r="N104" s="22" t="inlineStr">
        <is>
          <t>Resolución 1229 de 2013, arts. 5 y 6</t>
        </is>
      </c>
      <c r="O104" s="22" t="inlineStr">
        <is>
          <t>SI</t>
        </is>
      </c>
      <c r="P104" s="16" t="inlineStr">
        <is>
          <t>Media</t>
        </is>
      </c>
      <c r="Q104" s="16" t="inlineStr">
        <is>
          <t>v2</t>
        </is>
      </c>
      <c r="R104" s="16" t="inlineStr">
        <is>
          <t>Específico</t>
        </is>
      </c>
    </row>
    <row r="105" ht="34.5" customHeight="1" s="12">
      <c r="A105" s="22" t="inlineStr">
        <is>
          <t>F035-2</t>
        </is>
      </c>
      <c r="B105" s="22" t="inlineStr">
        <is>
          <t>invima</t>
        </is>
      </c>
      <c r="C105" s="22" t="inlineStr">
        <is>
          <t>Inspección, vigilancia y control sanitario</t>
        </is>
      </c>
      <c r="D105" s="22" t="inlineStr">
        <is>
          <t>C035</t>
        </is>
      </c>
      <c r="E105" s="22" t="inlineStr">
        <is>
          <t>Cuarenta visitas para 120 establecimientos</t>
        </is>
      </c>
      <c r="F105" s="22" t="inlineStr">
        <is>
          <t>Su grupo tiene capacidad para 40 visitas este mes y 120 establecimientos pendientes. Entre ellos hay una planta de alimentos de alto riesgo con hallazgos críticos el año pasado y doce tiendas de barrio cercanas a la sede.</t>
        </is>
      </c>
      <c r="G105" s="22" t="inlineStr">
        <is>
          <t>Un establecimiento que fabrica alimentos de alto riesgo y tuvo hallazgos críticos en la última visita debe</t>
        </is>
      </c>
      <c r="H105" s="22" t="inlineStr">
        <is>
          <t>Quedar entre las primeras visitas programadas del mes</t>
        </is>
      </c>
      <c r="I105" s="22" t="inlineStr">
        <is>
          <t>Visitarse cuando se reciba una queja de los consumidores</t>
        </is>
      </c>
      <c r="J105" s="22" t="inlineStr">
        <is>
          <t>Esperar la programación ordinaria del año siguiente</t>
        </is>
      </c>
      <c r="K105" s="22" t="inlineStr">
        <is>
          <t>A</t>
        </is>
      </c>
      <c r="L105" s="22" t="inlineStr">
        <is>
          <t>El alto riesgo con hallazgos críticos previos sube en la priorización de visitas. Resolución 1229 de 2013, artículos 5 y 6; Resolución 2674 de 2013, artículo 51.</t>
        </is>
      </c>
      <c r="M105" s="22" t="inlineStr">
        <is>
          <t>Condicionar la visita a una queja deja el riesgo a la iniciativa del ciudadano; postergarla al año siguiente desconoce los hallazgos críticos ya documentados.</t>
        </is>
      </c>
      <c r="N105" s="22" t="inlineStr">
        <is>
          <t>Resolución 1229 de 2013, arts. 5 y 6; Resolución 2674 de 2013, art. 51</t>
        </is>
      </c>
      <c r="O105" s="22" t="inlineStr">
        <is>
          <t>SI</t>
        </is>
      </c>
      <c r="P105" s="16" t="inlineStr">
        <is>
          <t>Media</t>
        </is>
      </c>
      <c r="Q105" s="16" t="inlineStr">
        <is>
          <t>v2</t>
        </is>
      </c>
      <c r="R105" s="16" t="inlineStr">
        <is>
          <t>Específico</t>
        </is>
      </c>
    </row>
    <row r="106" ht="34.5" customHeight="1" s="12">
      <c r="A106" s="22" t="inlineStr">
        <is>
          <t>F035-3</t>
        </is>
      </c>
      <c r="B106" s="22" t="inlineStr">
        <is>
          <t>invima</t>
        </is>
      </c>
      <c r="C106" s="22" t="inlineStr">
        <is>
          <t>Inspección, vigilancia y control sanitario</t>
        </is>
      </c>
      <c r="D106" s="22" t="inlineStr">
        <is>
          <t>C035</t>
        </is>
      </c>
      <c r="E106" s="22" t="inlineStr">
        <is>
          <t>Cuarenta visitas para 120 establecimientos</t>
        </is>
      </c>
      <c r="F106" s="22" t="inlineStr">
        <is>
          <t>Su grupo tiene capacidad para 40 visitas este mes y 120 establecimientos pendientes. Entre ellos hay una planta de alimentos de alto riesgo con hallazgos críticos el año pasado y doce tiendas de barrio cercanas a la sede.</t>
        </is>
      </c>
      <c r="G106" s="22" t="inlineStr">
        <is>
          <t>El enfoque de riesgo en IVC busca principalmente</t>
        </is>
      </c>
      <c r="H106" s="22" t="inlineStr">
        <is>
          <t>Concentrar los recursos donde el riesgo para la gente es mayor</t>
        </is>
      </c>
      <c r="I106" s="22" t="inlineStr">
        <is>
          <t>Visitar el mismo número de veces a todos los establecimientos</t>
        </is>
      </c>
      <c r="J106" s="22" t="inlineStr">
        <is>
          <t>Aligerar la vigilancia sobre las empresas de mayor tamaño</t>
        </is>
      </c>
      <c r="K106" s="22" t="inlineStr">
        <is>
          <t>A</t>
        </is>
      </c>
      <c r="L106" s="22" t="inlineStr">
        <is>
          <t>El enfoque de riesgo concentra los recursos donde el daño potencial en salud es mayor. Resolución 1229 de 2013, artículo 4.</t>
        </is>
      </c>
      <c r="M106" s="22" t="inlineStr">
        <is>
          <t>Visitar a todos el mismo número de veces reparte igual recursos frente a riesgos distintos; aligerar la vigilancia de las grandes no es un criterio sanitario.</t>
        </is>
      </c>
      <c r="N106" s="22" t="inlineStr">
        <is>
          <t>Resolución 1229 de 2013, art. 4</t>
        </is>
      </c>
      <c r="O106" s="22" t="inlineStr">
        <is>
          <t>SI</t>
        </is>
      </c>
      <c r="P106" s="16" t="inlineStr">
        <is>
          <t>Media</t>
        </is>
      </c>
      <c r="Q106" s="16" t="inlineStr">
        <is>
          <t>v2</t>
        </is>
      </c>
      <c r="R106" s="16" t="inlineStr">
        <is>
          <t>Específico</t>
        </is>
      </c>
    </row>
    <row r="107" ht="34.5" customHeight="1" s="12">
      <c r="A107" s="22" t="inlineStr">
        <is>
          <t>F036-1</t>
        </is>
      </c>
      <c r="B107" s="22" t="inlineStr">
        <is>
          <t>invima</t>
        </is>
      </c>
      <c r="C107" s="22" t="inlineStr">
        <is>
          <t>Inspección, vigilancia y control sanitario</t>
        </is>
      </c>
      <c r="D107" s="22" t="inlineStr">
        <is>
          <t>C036</t>
        </is>
      </c>
      <c r="E107" s="22" t="inlineStr">
        <is>
          <t>Acta que el vigilado no firma</t>
        </is>
      </c>
      <c r="F107" s="22" t="inlineStr">
        <is>
          <t>Al cerrar la visita, el representante se niega a firmar el acta y anuncia que impugnará todo lo actuado. En la sala hay dos empleados que presenciaron la diligencia y el acta registra cinco hallazgos con evidencia fotográfica.</t>
        </is>
      </c>
      <c r="G107" s="22" t="inlineStr">
        <is>
          <t>Ante la negativa a firmar, lo correcto es</t>
        </is>
      </c>
      <c r="H107" s="22" t="inlineStr">
        <is>
          <t>Consultar al jefe, anular el acta y programar otra visita</t>
        </is>
      </c>
      <c r="I107" s="22" t="inlineStr">
        <is>
          <t>Ajustar los hallazgos hasta lograr la firma del vigilado</t>
        </is>
      </c>
      <c r="J107" s="22" t="inlineStr">
        <is>
          <t>Dejar constancia de la negativa y entregar copia del acta</t>
        </is>
      </c>
      <c r="K107" s="22" t="inlineStr">
        <is>
          <t>C</t>
        </is>
      </c>
      <c r="L107" s="22" t="inlineStr">
        <is>
          <t>La negativa a firmar no invalida la actuación; se deja constancia.</t>
        </is>
      </c>
      <c r="M107" s="22" t="inlineStr">
        <is>
          <t>Anular el acta borra una diligencia válida; ajustar los hallazgos para lograr la firma falsea la prueba y compromete al funcionario.</t>
        </is>
      </c>
      <c r="N107" s="22" t="inlineStr">
        <is>
          <t>Ley 9 de 1979; debido proceso, Constitución Política, art. 29</t>
        </is>
      </c>
      <c r="O107" s="22" t="inlineStr">
        <is>
          <t>SI</t>
        </is>
      </c>
      <c r="P107" s="16" t="inlineStr">
        <is>
          <t>Media</t>
        </is>
      </c>
      <c r="Q107" s="16" t="inlineStr">
        <is>
          <t>v2</t>
        </is>
      </c>
      <c r="R107" s="16" t="inlineStr">
        <is>
          <t>Específico</t>
        </is>
      </c>
    </row>
    <row r="108" ht="34.5" customHeight="1" s="12">
      <c r="A108" s="22" t="inlineStr">
        <is>
          <t>F036-2</t>
        </is>
      </c>
      <c r="B108" s="22" t="inlineStr">
        <is>
          <t>invima</t>
        </is>
      </c>
      <c r="C108" s="22" t="inlineStr">
        <is>
          <t>Inspección, vigilancia y control sanitario</t>
        </is>
      </c>
      <c r="D108" s="22" t="inlineStr">
        <is>
          <t>C036</t>
        </is>
      </c>
      <c r="E108" s="22" t="inlineStr">
        <is>
          <t>Acta que el vigilado no firma</t>
        </is>
      </c>
      <c r="F108" s="22" t="inlineStr">
        <is>
          <t>Al cerrar la visita, el representante se niega a firmar el acta y anuncia que impugnará todo lo actuado. En la sala hay dos empleados que presenciaron la diligencia y el acta registra cinco hallazgos con evidencia fotográfica.</t>
        </is>
      </c>
      <c r="G108" s="22" t="inlineStr">
        <is>
          <t>Para que el acta sea útil como prueba, debe</t>
        </is>
      </c>
      <c r="H108" s="22" t="inlineStr">
        <is>
          <t>Incluir la valoración del inspector y su recomendación sobre la empresa</t>
        </is>
      </c>
      <c r="I108" s="22" t="inlineStr">
        <is>
          <t>Describir los hallazgos con fecha, lugar, testigos y evidencias</t>
        </is>
      </c>
      <c r="J108" s="22" t="inlineStr">
        <is>
          <t>Redactarse en la oficina, con calma, los días siguientes</t>
        </is>
      </c>
      <c r="K108" s="22" t="inlineStr">
        <is>
          <t>B</t>
        </is>
      </c>
      <c r="L108" s="22" t="inlineStr">
        <is>
          <t>Un acta precisa y contemporánea a la visita soporta las decisiones posteriores.</t>
        </is>
      </c>
      <c r="M108" s="22" t="inlineStr">
        <is>
          <t>Incluir valoraciones personales resta objetividad y da pie a controversia; redactarla días después debilita el valor probatorio de lo observado.</t>
        </is>
      </c>
      <c r="N108" s="22" t="inlineStr">
        <is>
          <t>Ley 9 de 1979; debido proceso, Constitución Política, art. 29</t>
        </is>
      </c>
      <c r="O108" s="22" t="inlineStr">
        <is>
          <t>SI</t>
        </is>
      </c>
      <c r="P108" s="16" t="inlineStr">
        <is>
          <t>Media</t>
        </is>
      </c>
      <c r="Q108" s="16" t="inlineStr">
        <is>
          <t>v2</t>
        </is>
      </c>
      <c r="R108" s="16" t="inlineStr">
        <is>
          <t>Específico</t>
        </is>
      </c>
    </row>
    <row r="109" ht="34.5" customHeight="1" s="12">
      <c r="A109" s="22" t="inlineStr">
        <is>
          <t>F036-3</t>
        </is>
      </c>
      <c r="B109" s="22" t="inlineStr">
        <is>
          <t>invima</t>
        </is>
      </c>
      <c r="C109" s="22" t="inlineStr">
        <is>
          <t>Inspección, vigilancia y control sanitario</t>
        </is>
      </c>
      <c r="D109" s="22" t="inlineStr">
        <is>
          <t>C036</t>
        </is>
      </c>
      <c r="E109" s="22" t="inlineStr">
        <is>
          <t>Acta que el vigilado no firma</t>
        </is>
      </c>
      <c r="F109" s="22" t="inlineStr">
        <is>
          <t>Al cerrar la visita, el representante se niega a firmar el acta y anuncia que impugnará todo lo actuado. En la sala hay dos empleados que presenciaron la diligencia y el acta registra cinco hallazgos con evidencia fotográfica.</t>
        </is>
      </c>
      <c r="G109" s="22" t="inlineStr">
        <is>
          <t>La persona pregunta cómo puede controvertir los hallazgos. Usted le indica que</t>
        </is>
      </c>
      <c r="H109" s="22" t="inlineStr">
        <is>
          <t>Puede controvertir el acta mediante acción de tutela</t>
        </is>
      </c>
      <c r="I109" s="22" t="inlineStr">
        <is>
          <t>Puede dejar observaciones para ejercer su defensa en la actuación</t>
        </is>
      </c>
      <c r="J109" s="22" t="inlineStr">
        <is>
          <t>No puede controvertir el acta, por ser documento público</t>
        </is>
      </c>
      <c r="K109" s="22" t="inlineStr">
        <is>
          <t>B</t>
        </is>
      </c>
      <c r="L109" s="22" t="inlineStr">
        <is>
          <t>El derecho de defensa se ejerce en la visita y en el procedimiento que se adelante.</t>
        </is>
      </c>
      <c r="M109" s="22" t="inlineStr">
        <is>
          <t>La tutela es subsidiaria y no procede mientras existan los medios ordinarios; negar toda controversia desconoce el derecho de defensa del vigilado.</t>
        </is>
      </c>
      <c r="N109" s="22" t="inlineStr">
        <is>
          <t>Ley 9 de 1979; debido proceso, Constitución Política, art. 29</t>
        </is>
      </c>
      <c r="O109" s="22" t="inlineStr">
        <is>
          <t>SI</t>
        </is>
      </c>
      <c r="P109" s="16" t="inlineStr">
        <is>
          <t>Media</t>
        </is>
      </c>
      <c r="Q109" s="16" t="inlineStr">
        <is>
          <t>v2</t>
        </is>
      </c>
      <c r="R109" s="16" t="inlineStr">
        <is>
          <t>Específico</t>
        </is>
      </c>
    </row>
    <row r="110" ht="34.5" customHeight="1" s="12">
      <c r="A110" s="22" t="inlineStr">
        <is>
          <t>F037-1</t>
        </is>
      </c>
      <c r="B110" s="22" t="inlineStr">
        <is>
          <t>invima</t>
        </is>
      </c>
      <c r="C110" s="22" t="inlineStr">
        <is>
          <t>Medicamentos y registro sanitario</t>
        </is>
      </c>
      <c r="D110" s="22" t="inlineStr">
        <is>
          <t>C037</t>
        </is>
      </c>
      <c r="E110" s="22" t="inlineStr">
        <is>
          <t>Certificación de BPM con hallazgos</t>
        </is>
      </c>
      <c r="F110" s="22" t="inlineStr">
        <is>
          <t>En la visita de certificación de buenas prácticas a un laboratorio, los registros de producción de tres lotes están incompletos y el área de llenado no tiene control de partículas. El gerente pide la certificación igual, porque tiene un contrato con el Estado.</t>
        </is>
      </c>
      <c r="G110" s="22" t="inlineStr">
        <is>
          <t>Las buenas prácticas de manufactura buscan principalmente</t>
        </is>
      </c>
      <c r="H110" s="22" t="inlineStr">
        <is>
          <t>Asegurar calidad consistente en cada lote fabricado</t>
        </is>
      </c>
      <c r="I110" s="22" t="inlineStr">
        <is>
          <t>Aumentar las ventas del laboratorio en el mercado local</t>
        </is>
      </c>
      <c r="J110" s="22" t="inlineStr">
        <is>
          <t>Reducir los costos de producción de cada lote fabricado</t>
        </is>
      </c>
      <c r="K110" s="22" t="inlineStr">
        <is>
          <t>A</t>
        </is>
      </c>
      <c r="L110" s="22" t="inlineStr">
        <is>
          <t>Las BPM buscan asegurar que el medicamento se fabrique con la calidad y las condiciones aprobadas en el registro. Decreto 549 de 2001, artículos 1 y 2; Resolución 1160 de 2016.</t>
        </is>
      </c>
      <c r="M110" s="22" t="inlineStr">
        <is>
          <t>Aumentar ventas es un objetivo comercial ajeno a las BPM; reducir costos puede ser un efecto, pero no el fin de la norma de calidad.</t>
        </is>
      </c>
      <c r="N110" s="22" t="inlineStr">
        <is>
          <t>Decreto 549 de 2001, arts. 1 y 2; Resolución 1160 de 2016</t>
        </is>
      </c>
      <c r="O110" s="22" t="inlineStr">
        <is>
          <t>SI</t>
        </is>
      </c>
      <c r="P110" s="16" t="inlineStr">
        <is>
          <t>Media</t>
        </is>
      </c>
      <c r="Q110" s="16" t="inlineStr">
        <is>
          <t>v2</t>
        </is>
      </c>
      <c r="R110" s="16" t="inlineStr">
        <is>
          <t>Específico</t>
        </is>
      </c>
    </row>
    <row r="111" ht="34.5" customHeight="1" s="12">
      <c r="A111" s="22" t="inlineStr">
        <is>
          <t>F037-2</t>
        </is>
      </c>
      <c r="B111" s="22" t="inlineStr">
        <is>
          <t>invima</t>
        </is>
      </c>
      <c r="C111" s="22" t="inlineStr">
        <is>
          <t>Medicamentos y registro sanitario</t>
        </is>
      </c>
      <c r="D111" s="22" t="inlineStr">
        <is>
          <t>C037</t>
        </is>
      </c>
      <c r="E111" s="22" t="inlineStr">
        <is>
          <t>Certificación de BPM con hallazgos</t>
        </is>
      </c>
      <c r="F111" s="22" t="inlineStr">
        <is>
          <t>En la visita de certificación de buenas prácticas a un laboratorio, los registros de producción de tres lotes están incompletos y el área de llenado no tiene control de partículas. El gerente pide la certificación igual, porque tiene un contrato con el Estado.</t>
        </is>
      </c>
      <c r="G111" s="22" t="inlineStr">
        <is>
          <t>Frente a hallazgos que afectan la calidad del producto, el laboratorio debe</t>
        </is>
      </c>
      <c r="H111" s="22" t="inlineStr">
        <is>
          <t>Presentar un plan de acciones correctivas verificable</t>
        </is>
      </c>
      <c r="I111" s="22" t="inlineStr">
        <is>
          <t>Continuar la producción mientras se discute el acta, para no incumplir los contratos</t>
        </is>
      </c>
      <c r="J111" s="22" t="inlineStr">
        <is>
          <t>Comprometerse verbalmente a mejorar antes de la próxima visita de seguimiento</t>
        </is>
      </c>
      <c r="K111" s="22" t="inlineStr">
        <is>
          <t>A</t>
        </is>
      </c>
      <c r="L111" s="22" t="inlineStr">
        <is>
          <t>Ante hallazgos, el laboratorio debe presentar un plan de acciones correctivas verificable, no seguir produciendo. Decreto 549 de 2001, artículo 6; Resolución 1160 de 2016.</t>
        </is>
      </c>
      <c r="M111" s="22" t="inlineStr">
        <is>
          <t>Seguir produciendo mientras se discute el acta mantiene el riesgo en el mercado; un compromiso verbal no permite verificar la corrección.</t>
        </is>
      </c>
      <c r="N111" s="22" t="inlineStr">
        <is>
          <t>Decreto 549 de 2001, art. 6; Resolución 1160 de 2016</t>
        </is>
      </c>
      <c r="O111" s="22" t="inlineStr">
        <is>
          <t>SI</t>
        </is>
      </c>
      <c r="P111" s="16" t="inlineStr">
        <is>
          <t>Media</t>
        </is>
      </c>
      <c r="Q111" s="16" t="inlineStr">
        <is>
          <t>v2</t>
        </is>
      </c>
      <c r="R111" s="16" t="inlineStr">
        <is>
          <t>Específico</t>
        </is>
      </c>
    </row>
    <row r="112" ht="34.5" customHeight="1" s="12">
      <c r="A112" s="22" t="inlineStr">
        <is>
          <t>F037-3</t>
        </is>
      </c>
      <c r="B112" s="22" t="inlineStr">
        <is>
          <t>invima</t>
        </is>
      </c>
      <c r="C112" s="22" t="inlineStr">
        <is>
          <t>Medicamentos y registro sanitario</t>
        </is>
      </c>
      <c r="D112" s="22" t="inlineStr">
        <is>
          <t>C037</t>
        </is>
      </c>
      <c r="E112" s="22" t="inlineStr">
        <is>
          <t>Certificación de BPM con hallazgos</t>
        </is>
      </c>
      <c r="F112" s="22" t="inlineStr">
        <is>
          <t>En la visita de certificación de buenas prácticas a un laboratorio, los registros de producción de tres lotes están incompletos y el área de llenado no tiene control de partículas. El gerente pide la certificación igual, porque tiene un contrato con el Estado.</t>
        </is>
      </c>
      <c r="G112" s="22" t="inlineStr">
        <is>
          <t>Si los hallazgos representan un riesgo para la calidad del producto, la autoridad puede</t>
        </is>
      </c>
      <c r="H112" s="22" t="inlineStr">
        <is>
          <t>Abstenerse de certificar y aplicar las medidas del caso</t>
        </is>
      </c>
      <c r="I112" s="22" t="inlineStr">
        <is>
          <t>Certificar solo las áreas que cumplen y visitar las demás en un año</t>
        </is>
      </c>
      <c r="J112" s="22" t="inlineStr">
        <is>
          <t>Certificar con la condición de que el laboratorio corrija los hallazgos en un año</t>
        </is>
      </c>
      <c r="K112" s="22" t="inlineStr">
        <is>
          <t>A</t>
        </is>
      </c>
      <c r="L112" s="22" t="inlineStr">
        <is>
          <t>Sin cumplimiento de BPM no procede certificar: se aplican las medidas del caso. Decreto 549 de 2001, artículo 6; Ley 9 de 1979, artículo 576.</t>
        </is>
      </c>
      <c r="M112" s="22" t="inlineStr">
        <is>
          <t>Certificar solo las áreas que cumplen fragmenta una certificación que es del laboratorio; dar un año para corregir un riesgo de calidad lo deja vigente ese tiempo.</t>
        </is>
      </c>
      <c r="N112" s="22" t="inlineStr">
        <is>
          <t>Decreto 549 de 2001, art. 6; Ley 9 de 1979, art. 576</t>
        </is>
      </c>
      <c r="O112" s="22" t="inlineStr">
        <is>
          <t>SI</t>
        </is>
      </c>
      <c r="P112" s="16" t="inlineStr">
        <is>
          <t>Media</t>
        </is>
      </c>
      <c r="Q112" s="16" t="inlineStr">
        <is>
          <t>v2</t>
        </is>
      </c>
      <c r="R112" s="16" t="inlineStr">
        <is>
          <t>Específico</t>
        </is>
      </c>
    </row>
    <row r="113" ht="34.5" customHeight="1" s="12">
      <c r="A113" s="22" t="inlineStr">
        <is>
          <t>F038-1</t>
        </is>
      </c>
      <c r="B113" s="22" t="inlineStr">
        <is>
          <t>invima</t>
        </is>
      </c>
      <c r="C113" s="22" t="inlineStr">
        <is>
          <t>Vigilancia poscomercialización y alertas</t>
        </is>
      </c>
      <c r="D113" s="22" t="inlineStr">
        <is>
          <t>C038</t>
        </is>
      </c>
      <c r="E113" s="22" t="inlineStr">
        <is>
          <t>Alerta extranjera por jarabe pediátrico</t>
        </is>
      </c>
      <c r="F113" s="22" t="inlineStr">
        <is>
          <t>Una agencia sanitaria extranjera alerta por contaminación microbiológica en un lote de jarabe pediátrico. El titular tiene registro en Colombia y la alerta se difunde en redes antes de que la entidad verifique nada.</t>
        </is>
      </c>
      <c r="G113" s="22" t="inlineStr">
        <is>
          <t>La primera acción es</t>
        </is>
      </c>
      <c r="H113" s="22" t="inlineStr">
        <is>
          <t>Archivar el caso, por tratarse de un hallazgo de otro país</t>
        </is>
      </c>
      <c r="I113" s="22" t="inlineStr">
        <is>
          <t>Informar de inmediato la alerta nacional con los datos del lote</t>
        </is>
      </c>
      <c r="J113" s="22" t="inlineStr">
        <is>
          <t>Verificar si ese lote tiene registro o se comercializa en el país</t>
        </is>
      </c>
      <c r="K113" s="22" t="inlineStr">
        <is>
          <t>C</t>
        </is>
      </c>
      <c r="L113" s="22" t="inlineStr">
        <is>
          <t>Las alertas internacionales se verifican frente al mercado nacional antes de actuar.</t>
        </is>
      </c>
      <c r="M113" s="22" t="inlineStr">
        <is>
          <t>Archivar por tratarse de otro país ignora que el titular puede tener registro aquí; alertar sin verificar puede señalar un producto que no circula en Colombia.</t>
        </is>
      </c>
      <c r="N113" s="22" t="inlineStr">
        <is>
          <t>Vigilancia poscomercialización; Ley 9 de 1979, art. 578</t>
        </is>
      </c>
      <c r="O113" s="22" t="inlineStr">
        <is>
          <t>SI</t>
        </is>
      </c>
      <c r="P113" s="16" t="inlineStr">
        <is>
          <t>Media</t>
        </is>
      </c>
      <c r="Q113" s="16" t="inlineStr">
        <is>
          <t>repaso</t>
        </is>
      </c>
      <c r="R113" s="16" t="inlineStr">
        <is>
          <t>Específico</t>
        </is>
      </c>
    </row>
    <row r="114" ht="34.5" customHeight="1" s="12">
      <c r="A114" s="22" t="inlineStr">
        <is>
          <t>F038-2</t>
        </is>
      </c>
      <c r="B114" s="22" t="inlineStr">
        <is>
          <t>invima</t>
        </is>
      </c>
      <c r="C114" s="22" t="inlineStr">
        <is>
          <t>Vigilancia poscomercialización y alertas</t>
        </is>
      </c>
      <c r="D114" s="22" t="inlineStr">
        <is>
          <t>C038</t>
        </is>
      </c>
      <c r="E114" s="22" t="inlineStr">
        <is>
          <t>Alerta extranjera por jarabe pediátrico</t>
        </is>
      </c>
      <c r="F114" s="22" t="inlineStr">
        <is>
          <t>Una agencia sanitaria extranjera alerta por contaminación microbiológica en un lote de jarabe pediátrico. El titular tiene registro en Colombia y la alerta se difunde en redes antes de que la entidad verifique nada.</t>
        </is>
      </c>
      <c r="G114" s="22" t="inlineStr">
        <is>
          <t>Si se confirma que el lote está en el país, lo procedente es</t>
        </is>
      </c>
      <c r="H114" s="22" t="inlineStr">
        <is>
          <t>Coordinar el retiro del lote y comunicar el riesgo a la población</t>
        </is>
      </c>
      <c r="I114" s="22" t="inlineStr">
        <is>
          <t>Verificar si aparecen casos en el país y luego alertar</t>
        </is>
      </c>
      <c r="J114" s="22" t="inlineStr">
        <is>
          <t>Suspender el ingreso de productos de ese origen y revisar sus registros</t>
        </is>
      </c>
      <c r="K114" s="22" t="inlineStr">
        <is>
          <t>A</t>
        </is>
      </c>
      <c r="L114" s="22" t="inlineStr">
        <is>
          <t>La acción se focaliza en el producto afectado y en la comunicación oportuna del riesgo.</t>
        </is>
      </c>
      <c r="M114" s="22" t="inlineStr">
        <is>
          <t>Esperar casos en el país exige que alguien se enferme primero; suspender todos los productos de ese origen excede lo necesario frente a un lote identificado.</t>
        </is>
      </c>
      <c r="N114" s="22" t="inlineStr">
        <is>
          <t>Vigilancia poscomercialización; Ley 9 de 1979, art. 578</t>
        </is>
      </c>
      <c r="O114" s="22" t="inlineStr">
        <is>
          <t>SI</t>
        </is>
      </c>
      <c r="P114" s="16" t="inlineStr">
        <is>
          <t>Media</t>
        </is>
      </c>
      <c r="Q114" s="16" t="inlineStr">
        <is>
          <t>v2</t>
        </is>
      </c>
      <c r="R114" s="16" t="inlineStr">
        <is>
          <t>Específico</t>
        </is>
      </c>
    </row>
    <row r="115" ht="34.5" customHeight="1" s="12">
      <c r="A115" s="22" t="inlineStr">
        <is>
          <t>F038-3</t>
        </is>
      </c>
      <c r="B115" s="22" t="inlineStr">
        <is>
          <t>invima</t>
        </is>
      </c>
      <c r="C115" s="22" t="inlineStr">
        <is>
          <t>Vigilancia poscomercialización y alertas</t>
        </is>
      </c>
      <c r="D115" s="22" t="inlineStr">
        <is>
          <t>C038</t>
        </is>
      </c>
      <c r="E115" s="22" t="inlineStr">
        <is>
          <t>Alerta extranjera por jarabe pediátrico</t>
        </is>
      </c>
      <c r="F115" s="22" t="inlineStr">
        <is>
          <t>Una agencia sanitaria extranjera alerta por contaminación microbiológica en un lote de jarabe pediátrico. El titular tiene registro en Colombia y la alerta se difunde en redes antes de que la entidad verifique nada.</t>
        </is>
      </c>
      <c r="G115" s="22" t="inlineStr">
        <is>
          <t>Para verificar la efectividad del retiro, la autoridad debe</t>
        </is>
      </c>
      <c r="H115" s="22" t="inlineStr">
        <is>
          <t>Pedir al titular el informe anual de retiros del año siguiente</t>
        </is>
      </c>
      <c r="I115" s="22" t="inlineStr">
        <is>
          <t>Comparar las cantidades recogidas frente a las que se distribuyeron</t>
        </is>
      </c>
      <c r="J115" s="22" t="inlineStr">
        <is>
          <t>Aceptar el reporte del titular sobre el avance de la recolección</t>
        </is>
      </c>
      <c r="K115" s="22" t="inlineStr">
        <is>
          <t>B</t>
        </is>
      </c>
      <c r="L115" s="22" t="inlineStr">
        <is>
          <t>El seguimiento del retiro compara lo recuperado con lo distribuido.</t>
        </is>
      </c>
      <c r="M115" s="22" t="inlineStr">
        <is>
          <t>El informe anual del titular llega tarde para verificar un retiro en curso; aceptar su reporte sin contrastar deja la verificación en manos del interesado.</t>
        </is>
      </c>
      <c r="N115" s="22" t="inlineStr">
        <is>
          <t>Vigilancia poscomercialización; Ley 9 de 1979, art. 578</t>
        </is>
      </c>
      <c r="O115" s="22" t="inlineStr">
        <is>
          <t>SI</t>
        </is>
      </c>
      <c r="P115" s="16" t="inlineStr">
        <is>
          <t>Media</t>
        </is>
      </c>
      <c r="Q115" s="16" t="inlineStr">
        <is>
          <t>v2</t>
        </is>
      </c>
      <c r="R115" s="16" t="inlineStr">
        <is>
          <t>Específico</t>
        </is>
      </c>
    </row>
    <row r="116" ht="34.5" customHeight="1" s="12">
      <c r="A116" s="22" t="inlineStr">
        <is>
          <t>F039-1</t>
        </is>
      </c>
      <c r="B116" s="22" t="inlineStr">
        <is>
          <t>invima</t>
        </is>
      </c>
      <c r="C116" s="22" t="inlineStr">
        <is>
          <t>Inspección, vigilancia y control sanitario</t>
        </is>
      </c>
      <c r="D116" s="22" t="inlineStr">
        <is>
          <t>C039</t>
        </is>
      </c>
      <c r="E116" s="22" t="inlineStr">
        <is>
          <t>Venta de productos ilegales en redes</t>
        </is>
      </c>
      <c r="F116" s="22" t="inlineStr">
        <is>
          <t>Un perfil de redes ofrece medicamentos para bajar de peso sin registro sanitario, con envíos a todo el país y pago por transferencia. Ya hay tres quejas de consumidoras con efectos adversos y el perfil cambia de nombre cada semana.</t>
        </is>
      </c>
      <c r="G116" s="22" t="inlineStr">
        <is>
          <t>El principal riesgo de estos productos es que</t>
        </is>
      </c>
      <c r="H116" s="22" t="inlineStr">
        <is>
          <t>Se desconoce su composición, su calidad y su seguridad</t>
        </is>
      </c>
      <c r="I116" s="22" t="inlineStr">
        <is>
          <t>Se ofrecen a menor precio y sin garantía</t>
        </is>
      </c>
      <c r="J116" s="22" t="inlineStr">
        <is>
          <t>Se venden sin factura, lo que afecta el recaudo de impuestos</t>
        </is>
      </c>
      <c r="K116" s="22" t="inlineStr">
        <is>
          <t>A</t>
        </is>
      </c>
      <c r="L116" s="22" t="inlineStr">
        <is>
          <t>De un medicamento sin registro sanitario se desconoce su composición, su calidad y su seguridad. Decreto 677 de 1995, artículos 2 y 19.</t>
        </is>
      </c>
      <c r="M116" s="22" t="inlineStr">
        <is>
          <t>El precio bajo y la falta de factura son problemas comerciales; el riesgo sanitario está en no saber qué contiene ni cómo se fabricó el producto.</t>
        </is>
      </c>
      <c r="N116" s="22" t="inlineStr">
        <is>
          <t>Decreto 677 de 1995, arts. 2 y 19</t>
        </is>
      </c>
      <c r="O116" s="22" t="inlineStr">
        <is>
          <t>SI</t>
        </is>
      </c>
      <c r="P116" s="16" t="inlineStr">
        <is>
          <t>Media</t>
        </is>
      </c>
      <c r="Q116" s="16" t="inlineStr">
        <is>
          <t>v2</t>
        </is>
      </c>
      <c r="R116" s="16" t="inlineStr">
        <is>
          <t>Específico</t>
        </is>
      </c>
    </row>
    <row r="117" ht="34.5" customHeight="1" s="12">
      <c r="A117" s="22" t="inlineStr">
        <is>
          <t>F039-2</t>
        </is>
      </c>
      <c r="B117" s="22" t="inlineStr">
        <is>
          <t>invima</t>
        </is>
      </c>
      <c r="C117" s="22" t="inlineStr">
        <is>
          <t>Inspección, vigilancia y control sanitario</t>
        </is>
      </c>
      <c r="D117" s="22" t="inlineStr">
        <is>
          <t>C039</t>
        </is>
      </c>
      <c r="E117" s="22" t="inlineStr">
        <is>
          <t>Venta de productos ilegales en redes</t>
        </is>
      </c>
      <c r="F117" s="22" t="inlineStr">
        <is>
          <t>Un perfil de redes ofrece medicamentos para bajar de peso sin registro sanitario, con envíos a todo el país y pago por transferencia. Ya hay tres quejas de consumidoras con efectos adversos y el perfil cambia de nombre cada semana.</t>
        </is>
      </c>
      <c r="G117" s="22" t="inlineStr">
        <is>
          <t>Una actuación coordinada adecuada incluye</t>
        </is>
      </c>
      <c r="H117" s="22" t="inlineStr">
        <is>
          <t>Adquirir y retirar los productos de circulación y destruirlos por su cuenta</t>
        </is>
      </c>
      <c r="I117" s="22" t="inlineStr">
        <is>
          <t>Documentar los datos del vendedor y publicarlos para advertir</t>
        </is>
      </c>
      <c r="J117" s="22" t="inlineStr">
        <is>
          <t>Documentar la evidencia y coordinar con la plataforma y la policía</t>
        </is>
      </c>
      <c r="K117" s="22" t="inlineStr">
        <is>
          <t>C</t>
        </is>
      </c>
      <c r="L117" s="22" t="inlineStr">
        <is>
          <t>La actuación coordinada documenta la evidencia y articula a la plataforma y a la policía, sin sustituir la competencia sanitaria. Ley 9 de 1979, artículos 576 y 577; Decreto 677 de 1995, artículo 19.</t>
        </is>
      </c>
      <c r="M117" s="22" t="inlineStr">
        <is>
          <t>Comprar los productos financia al vendedor y no es una actuación de control; publicar sus datos personales vulnera la ley de protección de datos.</t>
        </is>
      </c>
      <c r="N117" s="22" t="inlineStr">
        <is>
          <t>Ley 9 de 1979, arts. 576 y 577; Decreto 677 de 1995, art. 19</t>
        </is>
      </c>
      <c r="O117" s="22" t="inlineStr">
        <is>
          <t>SI</t>
        </is>
      </c>
      <c r="P117" s="16" t="inlineStr">
        <is>
          <t>Media</t>
        </is>
      </c>
      <c r="Q117" s="16" t="inlineStr">
        <is>
          <t>v2</t>
        </is>
      </c>
      <c r="R117" s="16" t="inlineStr">
        <is>
          <t>Específico</t>
        </is>
      </c>
    </row>
    <row r="118" ht="34.5" customHeight="1" s="12">
      <c r="A118" s="22" t="inlineStr">
        <is>
          <t>F039-3</t>
        </is>
      </c>
      <c r="B118" s="22" t="inlineStr">
        <is>
          <t>invima</t>
        </is>
      </c>
      <c r="C118" s="22" t="inlineStr">
        <is>
          <t>Inspección, vigilancia y control sanitario</t>
        </is>
      </c>
      <c r="D118" s="22" t="inlineStr">
        <is>
          <t>C039</t>
        </is>
      </c>
      <c r="E118" s="22" t="inlineStr">
        <is>
          <t>Venta de productos ilegales en redes</t>
        </is>
      </c>
      <c r="F118" s="22" t="inlineStr">
        <is>
          <t>Un perfil de redes ofrece medicamentos para bajar de peso sin registro sanitario, con envíos a todo el país y pago por transferencia. Ya hay tres quejas de consumidoras con efectos adversos y el perfil cambia de nombre cada semana.</t>
        </is>
      </c>
      <c r="G118" s="22" t="inlineStr">
        <is>
          <t>Al comunicar el riesgo a la ciudadanía, conviene</t>
        </is>
      </c>
      <c r="H118" s="22" t="inlineStr">
        <is>
          <t>Advertir que los productos vendidos por internet no son confiables</t>
        </is>
      </c>
      <c r="I118" s="22" t="inlineStr">
        <is>
          <t>Describir el hallazgo con los términos técnicos de la actuación</t>
        </is>
      </c>
      <c r="J118" s="22" t="inlineStr">
        <is>
          <t>Explicar cómo verificar el registro sanitario en la consulta oficial</t>
        </is>
      </c>
      <c r="K118" s="22" t="inlineStr">
        <is>
          <t>C</t>
        </is>
      </c>
      <c r="L118" s="22" t="inlineStr">
        <is>
          <t>Conviene explicar cómo verificar el registro sanitario en la consulta pública del Invima, porque todo medicamento lo requiere. Decreto 677 de 1995, artículo 19.</t>
        </is>
      </c>
      <c r="M118" s="22" t="inlineStr">
        <is>
          <t>Decir que nada de internet es confiable desinforma, porque hay comercio legal en línea; usar términos técnicos impide que el ciudadano pueda verificar por sí mismo.</t>
        </is>
      </c>
      <c r="N118" s="22" t="inlineStr">
        <is>
          <t>Decreto 677 de 1995, art. 19</t>
        </is>
      </c>
      <c r="O118" s="22" t="inlineStr">
        <is>
          <t>SI</t>
        </is>
      </c>
      <c r="P118" s="16" t="inlineStr">
        <is>
          <t>Media</t>
        </is>
      </c>
      <c r="Q118" s="16" t="inlineStr">
        <is>
          <t>repaso</t>
        </is>
      </c>
      <c r="R118" s="16" t="inlineStr">
        <is>
          <t>Específico</t>
        </is>
      </c>
    </row>
    <row r="119" ht="34.5" customHeight="1" s="12">
      <c r="A119" s="22" t="inlineStr">
        <is>
          <t>F040-1</t>
        </is>
      </c>
      <c r="B119" s="22" t="inlineStr">
        <is>
          <t>fne</t>
        </is>
      </c>
      <c r="C119" s="22" t="inlineStr">
        <is>
          <t>Comercio internacional de sustancias fiscalizadas</t>
        </is>
      </c>
      <c r="D119" s="22" t="inlineStr">
        <is>
          <t>C040</t>
        </is>
      </c>
      <c r="E119" s="22" t="inlineStr">
        <is>
          <t>Tres tratados en una mesa técnica</t>
        </is>
      </c>
      <c r="F119" s="22" t="inlineStr">
        <is>
          <t>En una mesa interinstitucional le piden explicar por qué la morfina, las benzodiacepinas y los precursores químicos no se rigen por el mismo instrumento internacional. Un delegado sostiene que todo está en un solo tratado.</t>
        </is>
      </c>
      <c r="G119" s="22" t="inlineStr">
        <is>
          <t>El tratado que fiscaliza sustancias como la morfina y la metadona es</t>
        </is>
      </c>
      <c r="H119" s="22" t="inlineStr">
        <is>
          <t>El Convenio de 1971 sobre Sustancias Sicotrópicas</t>
        </is>
      </c>
      <c r="I119" s="22" t="inlineStr">
        <is>
          <t>La Convención de 1988 sobre Tráfico Ilícito</t>
        </is>
      </c>
      <c r="J119" s="22" t="inlineStr">
        <is>
          <t>La Convención Única de 1961 sobre Estupefacientes</t>
        </is>
      </c>
      <c r="K119" s="22" t="inlineStr">
        <is>
          <t>C</t>
        </is>
      </c>
      <c r="L119" s="22" t="inlineStr">
        <is>
          <t>La morfina, como estupefaciente, se fiscaliza por la Convención Única de 1961 sobre Estupefacientes, enmendada por el Protocolo de 1972.</t>
        </is>
      </c>
      <c r="M119" s="22" t="inlineStr">
        <is>
          <t>El Convenio de 1971 cubre sustancias sicotrópicas, no los opioides; la Convención de 1988 se ocupa del tráfico ilícito y de los precursores.</t>
        </is>
      </c>
      <c r="N119" s="22" t="inlineStr">
        <is>
          <t>Convención Única de 1961, arts. 2 y 19 a 21</t>
        </is>
      </c>
      <c r="O119" s="22" t="inlineStr">
        <is>
          <t>SI</t>
        </is>
      </c>
      <c r="P119" s="16" t="inlineStr">
        <is>
          <t>Alta</t>
        </is>
      </c>
      <c r="Q119" s="16" t="inlineStr">
        <is>
          <t>v2</t>
        </is>
      </c>
      <c r="R119" s="16" t="inlineStr">
        <is>
          <t>Específico</t>
        </is>
      </c>
    </row>
    <row r="120" ht="23.25" customHeight="1" s="12">
      <c r="A120" s="22" t="inlineStr">
        <is>
          <t>F040-2</t>
        </is>
      </c>
      <c r="B120" s="22" t="inlineStr">
        <is>
          <t>fne</t>
        </is>
      </c>
      <c r="C120" s="22" t="inlineStr">
        <is>
          <t>Comercio internacional de sustancias fiscalizadas</t>
        </is>
      </c>
      <c r="D120" s="22" t="inlineStr">
        <is>
          <t>C040</t>
        </is>
      </c>
      <c r="E120" s="22" t="inlineStr">
        <is>
          <t>Tres tratados en una mesa técnica</t>
        </is>
      </c>
      <c r="F120" s="22" t="inlineStr">
        <is>
          <t>En una mesa interinstitucional le piden explicar por qué la morfina, las benzodiacepinas y los precursores químicos no se rigen por el mismo instrumento internacional. Un delegado sostiene que todo está en un solo tratado.</t>
        </is>
      </c>
      <c r="G120" s="22" t="inlineStr">
        <is>
          <t>Las benzodiacepinas y otros psicotrópicos están fiscalizados principalmente por</t>
        </is>
      </c>
      <c r="H120" s="22" t="inlineStr">
        <is>
          <t>El Convenio de 1971 sobre Sustancias Sicotrópicas</t>
        </is>
      </c>
      <c r="I120" s="22" t="inlineStr">
        <is>
          <t>La Convención Única de 1961 sobre Estupefacientes</t>
        </is>
      </c>
      <c r="J120" s="22" t="inlineStr">
        <is>
          <t>La Convención de 1988 sobre Tráfico Ilícito</t>
        </is>
      </c>
      <c r="K120" s="22" t="inlineStr">
        <is>
          <t>A</t>
        </is>
      </c>
      <c r="L120" s="22" t="inlineStr">
        <is>
          <t>Las sustancias sicotrópicas, como las benzodiacepinas, se fiscalizan por el Convenio sobre Sustancias Sicotrópicas de 1971.</t>
        </is>
      </c>
      <c r="M120" s="22" t="inlineStr">
        <is>
          <t>La Convención de 1961 fiscaliza estupefacientes como la morfina; la de 1988 atiende el tráfico ilícito, no la clasificación de psicotrópicos.</t>
        </is>
      </c>
      <c r="N120" s="22" t="inlineStr">
        <is>
          <t>Convenio sobre Sustancias Sicotrópicas de 1971, art. 2</t>
        </is>
      </c>
      <c r="O120" s="22" t="inlineStr">
        <is>
          <t>SI</t>
        </is>
      </c>
      <c r="P120" s="16" t="inlineStr">
        <is>
          <t>Alta</t>
        </is>
      </c>
      <c r="Q120" s="16" t="inlineStr">
        <is>
          <t>v2</t>
        </is>
      </c>
      <c r="R120" s="16" t="inlineStr">
        <is>
          <t>Específico</t>
        </is>
      </c>
    </row>
    <row r="121" ht="23.25" customHeight="1" s="12">
      <c r="A121" s="22" t="inlineStr">
        <is>
          <t>F040-3</t>
        </is>
      </c>
      <c r="B121" s="22" t="inlineStr">
        <is>
          <t>fne</t>
        </is>
      </c>
      <c r="C121" s="22" t="inlineStr">
        <is>
          <t>Comercio internacional de sustancias fiscalizadas</t>
        </is>
      </c>
      <c r="D121" s="22" t="inlineStr">
        <is>
          <t>C040</t>
        </is>
      </c>
      <c r="E121" s="22" t="inlineStr">
        <is>
          <t>Tres tratados en una mesa técnica</t>
        </is>
      </c>
      <c r="F121" s="22" t="inlineStr">
        <is>
          <t>En una mesa interinstitucional le piden explicar por qué la morfina, las benzodiacepinas y los precursores químicos no se rigen por el mismo instrumento internacional. Un delegado sostiene que todo está en un solo tratado.</t>
        </is>
      </c>
      <c r="G121" s="22" t="inlineStr">
        <is>
          <t>La Convención de 1988 se centra en</t>
        </is>
      </c>
      <c r="H121" s="22" t="inlineStr">
        <is>
          <t>La fiscalización de opioides y benzodiacepinas de uso médico</t>
        </is>
      </c>
      <c r="I121" s="22" t="inlineStr">
        <is>
          <t>La lucha contra el tráfico ilícito y el control de precursores</t>
        </is>
      </c>
      <c r="J121" s="22" t="inlineStr">
        <is>
          <t>La regulación del precio y la publicidad de los fiscalizados</t>
        </is>
      </c>
      <c r="K121" s="22" t="inlineStr">
        <is>
          <t>B</t>
        </is>
      </c>
      <c r="L121" s="22" t="inlineStr">
        <is>
          <t>Los precursores químicos se fiscalizan por la Convención de las Naciones Unidas contra el Tráfico Ilícito de 1988, artículo 12.</t>
        </is>
      </c>
      <c r="M121" s="22" t="inlineStr">
        <is>
          <t>La fiscalización de opioides para uso médico viene de la Convención de 1961; el precio de los medicamentos no es materia de estos tratados.</t>
        </is>
      </c>
      <c r="N121" s="22" t="inlineStr">
        <is>
          <t>Convención de las Naciones Unidas de 1988, art. 12</t>
        </is>
      </c>
      <c r="O121" s="22" t="inlineStr">
        <is>
          <t>SI</t>
        </is>
      </c>
      <c r="P121" s="16" t="inlineStr">
        <is>
          <t>Alta</t>
        </is>
      </c>
      <c r="Q121" s="16" t="inlineStr">
        <is>
          <t>v2</t>
        </is>
      </c>
      <c r="R121" s="16" t="inlineStr">
        <is>
          <t>Específico</t>
        </is>
      </c>
    </row>
    <row r="122" ht="34.5" customHeight="1" s="12">
      <c r="A122" s="22" t="inlineStr">
        <is>
          <t>F041-1</t>
        </is>
      </c>
      <c r="B122" s="22" t="inlineStr">
        <is>
          <t>fne</t>
        </is>
      </c>
      <c r="C122" s="22" t="inlineStr">
        <is>
          <t>Control y fiscalización de medicamentos de control especial</t>
        </is>
      </c>
      <c r="D122" s="22" t="inlineStr">
        <is>
          <t>C041</t>
        </is>
      </c>
      <c r="E122" s="22" t="inlineStr">
        <is>
          <t>Una llamada con dos denuncias</t>
        </is>
      </c>
      <c r="F122" s="22" t="inlineStr">
        <is>
          <t>Un ciudadano llama para denunciar que una empresa química vende solventes a personas sospechosas y, en la misma llamada, pregunta por la disponibilidad de un medicamento de control especial en su municipio.</t>
        </is>
      </c>
      <c r="G122" s="22" t="inlineStr">
        <is>
          <t>El Estatuto Nacional de Estupefacientes corresponde a</t>
        </is>
      </c>
      <c r="H122" s="22" t="inlineStr">
        <is>
          <t>La Ley 1751 de 2015</t>
        </is>
      </c>
      <c r="I122" s="22" t="inlineStr">
        <is>
          <t>La Ley 100 de 1993</t>
        </is>
      </c>
      <c r="J122" s="22" t="inlineStr">
        <is>
          <t>La Ley 30 de 1986</t>
        </is>
      </c>
      <c r="K122" s="22" t="inlineStr">
        <is>
          <t>C</t>
        </is>
      </c>
      <c r="L122" s="22" t="inlineStr">
        <is>
          <t>El estatuto nacional de estupefacientes es la Ley 30 de 1986, que define droga, estupefaciente y sicotrópico y crea el Consejo Nacional de Estupefacientes. Ley 30 de 1986, artículos 2 y 91.</t>
        </is>
      </c>
      <c r="M122" s="22" t="inlineStr">
        <is>
          <t>La Ley 1751 de 2015 es la estatutaria de salud; la Ley 100 de 1993 creó el sistema de seguridad social, no el estatuto de estupefacientes.</t>
        </is>
      </c>
      <c r="N122" s="22" t="inlineStr">
        <is>
          <t>Ley 30 de 1986, arts. 2 y 91</t>
        </is>
      </c>
      <c r="O122" s="22" t="inlineStr">
        <is>
          <t>SI</t>
        </is>
      </c>
      <c r="P122" s="16" t="inlineStr">
        <is>
          <t>Basica</t>
        </is>
      </c>
      <c r="Q122" s="16" t="inlineStr">
        <is>
          <t>v2</t>
        </is>
      </c>
      <c r="R122" s="16" t="inlineStr">
        <is>
          <t>Específico</t>
        </is>
      </c>
    </row>
    <row r="123" ht="34.5" customHeight="1" s="12">
      <c r="A123" s="22" t="inlineStr">
        <is>
          <t>F041-2</t>
        </is>
      </c>
      <c r="B123" s="22" t="inlineStr">
        <is>
          <t>fne</t>
        </is>
      </c>
      <c r="C123" s="22" t="inlineStr">
        <is>
          <t>Control y fiscalización de medicamentos de control especial</t>
        </is>
      </c>
      <c r="D123" s="22" t="inlineStr">
        <is>
          <t>C041</t>
        </is>
      </c>
      <c r="E123" s="22" t="inlineStr">
        <is>
          <t>Una llamada con dos denuncias</t>
        </is>
      </c>
      <c r="F123" s="22" t="inlineStr">
        <is>
          <t>Un ciudadano llama para denunciar que una empresa química vende solventes a personas sospechosas y, en la misma llamada, pregunta por la disponibilidad de un medicamento de control especial en su municipio.</t>
        </is>
      </c>
      <c r="G123" s="22" t="inlineStr">
        <is>
          <t>El control de sustancias químicas que pueden usarse para producir drogas ilícitas corresponde principalmente a</t>
        </is>
      </c>
      <c r="H123" s="22" t="inlineStr">
        <is>
          <t>El Ministerio de Comercio, Industria y Turismo</t>
        </is>
      </c>
      <c r="I123" s="22" t="inlineStr">
        <is>
          <t>El Fondo Nacional de Estupefacientes</t>
        </is>
      </c>
      <c r="J123" s="22" t="inlineStr">
        <is>
          <t>El Ministerio de Justicia y del Derecho</t>
        </is>
      </c>
      <c r="K123" s="22" t="inlineStr">
        <is>
          <t>C</t>
        </is>
      </c>
      <c r="L123" s="22" t="inlineStr">
        <is>
          <t>El control de las sustancias químicas que pueden usarse en la producción de drogas ilícitas corresponde al Ministerio de Justicia y del Derecho, con el Consejo Nacional de Estupefacientes. Ley 30 de 1986, artículos 20 y 91.</t>
        </is>
      </c>
      <c r="M123" s="22" t="inlineStr">
        <is>
          <t>El Ministerio de Comercio, Industria y Turismo regula el comercio exterior, no el control de sustancias químicas; el Fondo controla medicamentos fiscalizados, no los insumos de producción ilícita.</t>
        </is>
      </c>
      <c r="N123" s="22" t="inlineStr">
        <is>
          <t>Ley 30 de 1986, arts. 20 y 91</t>
        </is>
      </c>
      <c r="O123" s="22" t="inlineStr">
        <is>
          <t>SI</t>
        </is>
      </c>
      <c r="P123" s="16" t="inlineStr">
        <is>
          <t>Basica</t>
        </is>
      </c>
      <c r="Q123" s="16" t="inlineStr">
        <is>
          <t>v2</t>
        </is>
      </c>
      <c r="R123" s="16" t="inlineStr">
        <is>
          <t>Específico</t>
        </is>
      </c>
    </row>
    <row r="124" ht="34.5" customHeight="1" s="12">
      <c r="A124" s="22" t="inlineStr">
        <is>
          <t>F041-3</t>
        </is>
      </c>
      <c r="B124" s="22" t="inlineStr">
        <is>
          <t>fne</t>
        </is>
      </c>
      <c r="C124" s="22" t="inlineStr">
        <is>
          <t>Control y fiscalización de medicamentos de control especial</t>
        </is>
      </c>
      <c r="D124" s="22" t="inlineStr">
        <is>
          <t>C041</t>
        </is>
      </c>
      <c r="E124" s="22" t="inlineStr">
        <is>
          <t>Una llamada con dos denuncias</t>
        </is>
      </c>
      <c r="F124" s="22" t="inlineStr">
        <is>
          <t>Un ciudadano llama para denunciar que una empresa química vende solventes a personas sospechosas y, en la misma llamada, pregunta por la disponibilidad de un medicamento de control especial en su municipio.</t>
        </is>
      </c>
      <c r="G124" s="22" t="inlineStr">
        <is>
          <t>La mejor forma de atender la denuncia sobre los solventes es</t>
        </is>
      </c>
      <c r="H124" s="22" t="inlineStr">
        <is>
          <t>Decirle que no es tema del Fondo y darle el número de la policía</t>
        </is>
      </c>
      <c r="I124" s="22" t="inlineStr">
        <is>
          <t>Recibirla y remitirla a la autoridad competente</t>
        </is>
      </c>
      <c r="J124" s="22" t="inlineStr">
        <is>
          <t>Investigar por su cuenta a la empresa, visitándola con apoyo del Fondo Rotatorio</t>
        </is>
      </c>
      <c r="K124" s="22" t="inlineStr">
        <is>
          <t>B</t>
        </is>
      </c>
      <c r="L124" s="22" t="inlineStr">
        <is>
          <t>La denuncia se recibe y se traslada a la autoridad competente dentro de los cinco días. Ley 1755 de 2015, artículo 21; Ley 30 de 1986, artículo 91.</t>
        </is>
      </c>
      <c r="M124" s="22" t="inlineStr">
        <is>
          <t>Remitirlo a la Policía sin recibir la denuncia incumple el deber de atención y traslado; investigar por cuenta propia invade una competencia que es de otra autoridad.</t>
        </is>
      </c>
      <c r="N124" s="22" t="inlineStr">
        <is>
          <t>Ley 1755 de 2015, art. 21; Ley 30 de 1986, art. 91</t>
        </is>
      </c>
      <c r="O124" s="22" t="inlineStr">
        <is>
          <t>SI</t>
        </is>
      </c>
      <c r="P124" s="16" t="inlineStr">
        <is>
          <t>Basica</t>
        </is>
      </c>
      <c r="Q124" s="16" t="inlineStr">
        <is>
          <t>v2</t>
        </is>
      </c>
      <c r="R124" s="16" t="inlineStr">
        <is>
          <t>Específico</t>
        </is>
      </c>
    </row>
    <row r="125" ht="34.5" customHeight="1" s="12">
      <c r="A125" s="22" t="inlineStr">
        <is>
          <t>F042-1</t>
        </is>
      </c>
      <c r="B125" s="22" t="inlineStr">
        <is>
          <t>fne</t>
        </is>
      </c>
      <c r="C125" s="22" t="inlineStr">
        <is>
          <t>Control y fiscalización de medicamentos de control especial</t>
        </is>
      </c>
      <c r="D125" s="22" t="inlineStr">
        <is>
          <t>C042</t>
        </is>
      </c>
      <c r="E125" s="22" t="inlineStr">
        <is>
          <t>Propuesta de restringir la morfina</t>
        </is>
      </c>
      <c r="F125" s="22" t="inlineStr">
        <is>
          <t>En un consejo de política antidrogas, un delegado propone restringir al máximo la morfina para evitar desvíos. La red de cuidados paliativos del departamento reporta que ya hay pacientes sin analgesia.</t>
        </is>
      </c>
      <c r="G125" s="22" t="inlineStr">
        <is>
          <t>La Ley 30 de 1986 creó como órgano para formular políticas en materia de estupefacientes al</t>
        </is>
      </c>
      <c r="H125" s="22" t="inlineStr">
        <is>
          <t>Consejo Nacional de Política Económica y Social</t>
        </is>
      </c>
      <c r="I125" s="22" t="inlineStr">
        <is>
          <t>Consejo Superior de la Judicatura</t>
        </is>
      </c>
      <c r="J125" s="22" t="inlineStr">
        <is>
          <t>Consejo Nacional de Estupefacientes</t>
        </is>
      </c>
      <c r="K125" s="22" t="inlineStr">
        <is>
          <t>C</t>
        </is>
      </c>
      <c r="L125" s="22" t="inlineStr">
        <is>
          <t>El Consejo Nacional de Estupefacientes formula las políticas, planes y programas de la lucha contra las drogas. Ley 30 de 1986, artículo 91.</t>
        </is>
      </c>
      <c r="M125" s="22" t="inlineStr">
        <is>
          <t>El CONPES orienta la política económica y social; el Consejo Superior de la Judicatura administra la rama judicial.</t>
        </is>
      </c>
      <c r="N125" s="22" t="inlineStr">
        <is>
          <t>Ley 30 de 1986, art. 91</t>
        </is>
      </c>
      <c r="O125" s="22" t="inlineStr">
        <is>
          <t>SI</t>
        </is>
      </c>
      <c r="P125" s="16" t="inlineStr">
        <is>
          <t>Media</t>
        </is>
      </c>
      <c r="Q125" s="16" t="inlineStr">
        <is>
          <t>v2</t>
        </is>
      </c>
      <c r="R125" s="16" t="inlineStr">
        <is>
          <t>Específico</t>
        </is>
      </c>
    </row>
    <row r="126" ht="34.5" customHeight="1" s="12">
      <c r="A126" s="22" t="inlineStr">
        <is>
          <t>F042-2</t>
        </is>
      </c>
      <c r="B126" s="22" t="inlineStr">
        <is>
          <t>fne</t>
        </is>
      </c>
      <c r="C126" s="22" t="inlineStr">
        <is>
          <t>Control y fiscalización de medicamentos de control especial</t>
        </is>
      </c>
      <c r="D126" s="22" t="inlineStr">
        <is>
          <t>C042</t>
        </is>
      </c>
      <c r="E126" s="22" t="inlineStr">
        <is>
          <t>Propuesta de restringir la morfina</t>
        </is>
      </c>
      <c r="F126" s="22" t="inlineStr">
        <is>
          <t>En un consejo de política antidrogas, un delegado propone restringir al máximo la morfina para evitar desvíos. La red de cuidados paliativos del departamento reporta que ya hay pacientes sin analgesia.</t>
        </is>
      </c>
      <c r="G126" s="22" t="inlineStr">
        <is>
          <t>En esa discusión, el aporte técnico del Fondo se centra en</t>
        </is>
      </c>
      <c r="H126" s="22" t="inlineStr">
        <is>
          <t>Perseguir penalmente las conductas de narcotráfico</t>
        </is>
      </c>
      <c r="I126" s="22" t="inlineStr">
        <is>
          <t>Garantizar la disponibilidad de estos para uso médico</t>
        </is>
      </c>
      <c r="J126" s="22" t="inlineStr">
        <is>
          <t>Regular los cultivos ilícitos en el territorio nacional</t>
        </is>
      </c>
      <c r="K126" s="22" t="inlineStr">
        <is>
          <t>B</t>
        </is>
      </c>
      <c r="L126" s="22" t="inlineStr">
        <is>
          <t>La función del Consejo es de política, no de persecución penal ni de licencias de cultivo. Ley 30 de 1986, artículo 91, literales a y siguientes.</t>
        </is>
      </c>
      <c r="M126" s="22" t="inlineStr">
        <is>
          <t>La persecución penal corresponde a la Fiscalía; la regulación de cultivos ilícitos es competencia de otras instancias del Estado.</t>
        </is>
      </c>
      <c r="N126" s="22" t="inlineStr">
        <is>
          <t>Ley 30 de 1986, art. 91</t>
        </is>
      </c>
      <c r="O126" s="22" t="inlineStr">
        <is>
          <t>SI</t>
        </is>
      </c>
      <c r="P126" s="16" t="inlineStr">
        <is>
          <t>Media</t>
        </is>
      </c>
      <c r="Q126" s="16" t="inlineStr">
        <is>
          <t>v2</t>
        </is>
      </c>
      <c r="R126" s="16" t="inlineStr">
        <is>
          <t>Específico</t>
        </is>
      </c>
    </row>
    <row r="127" ht="34.5" customHeight="1" s="12">
      <c r="A127" s="22" t="inlineStr">
        <is>
          <t>F042-3</t>
        </is>
      </c>
      <c r="B127" s="22" t="inlineStr">
        <is>
          <t>fne</t>
        </is>
      </c>
      <c r="C127" s="22" t="inlineStr">
        <is>
          <t>Control y fiscalización de medicamentos de control especial</t>
        </is>
      </c>
      <c r="D127" s="22" t="inlineStr">
        <is>
          <t>C042</t>
        </is>
      </c>
      <c r="E127" s="22" t="inlineStr">
        <is>
          <t>Propuesta de restringir la morfina</t>
        </is>
      </c>
      <c r="F127" s="22" t="inlineStr">
        <is>
          <t>En un consejo de política antidrogas, un delegado propone restringir al máximo la morfina para evitar desvíos. La red de cuidados paliativos del departamento reporta que ya hay pacientes sin analgesia.</t>
        </is>
      </c>
      <c r="G127" s="22" t="inlineStr">
        <is>
          <t>Si un participante propone restringir al máximo la morfina para evitar desvíos, usted advierte que</t>
        </is>
      </c>
      <c r="H127" s="22" t="inlineStr">
        <is>
          <t>La restricción excesiva afecta el tratamiento del dolor</t>
        </is>
      </c>
      <c r="I127" s="22" t="inlineStr">
        <is>
          <t>La morfina carece de uso médico reconocido hoy en día</t>
        </is>
      </c>
      <c r="J127" s="22" t="inlineStr">
        <is>
          <t>El control de estos medicamentos resulta innecesario</t>
        </is>
      </c>
      <c r="K127" s="22" t="inlineStr">
        <is>
          <t>A</t>
        </is>
      </c>
      <c r="L127" s="22" t="inlineStr">
        <is>
          <t>El principio de equilibrio exige impedir el desvío sin dejar sin analgesia a los pacientes; el uso médico de los opioides está expresamente previsto. Convención Única de 1961, preámbulo y artículo 4, literal c; Ley 30 de 1986, artículo 2.</t>
        </is>
      </c>
      <c r="M127" s="22" t="inlineStr">
        <is>
          <t>Afirmar que la morfina carece de uso médico contradice su papel en el manejo del dolor; sostener que el control es innecesario abre la puerta al desvío.</t>
        </is>
      </c>
      <c r="N127" s="22" t="inlineStr">
        <is>
          <t>Convención Única de 1961, art. 4, lit. c; Ley 30 de 1986, art. 2</t>
        </is>
      </c>
      <c r="O127" s="22" t="inlineStr">
        <is>
          <t>SI</t>
        </is>
      </c>
      <c r="P127" s="16" t="inlineStr">
        <is>
          <t>Media</t>
        </is>
      </c>
      <c r="Q127" s="16" t="inlineStr">
        <is>
          <t>v2</t>
        </is>
      </c>
      <c r="R127" s="16" t="inlineStr">
        <is>
          <t>Específico</t>
        </is>
      </c>
    </row>
    <row r="128" ht="34.5" customHeight="1" s="12">
      <c r="A128" s="22" t="inlineStr">
        <is>
          <t>F043-1</t>
        </is>
      </c>
      <c r="B128" s="22" t="inlineStr">
        <is>
          <t>fne</t>
        </is>
      </c>
      <c r="C128" s="22" t="inlineStr">
        <is>
          <t>Acceso a medicamentos y cuidados paliativos</t>
        </is>
      </c>
      <c r="D128" s="22" t="inlineStr">
        <is>
          <t>C043</t>
        </is>
      </c>
      <c r="E128" s="22" t="inlineStr">
        <is>
          <t>Paciente en cuidado paliativo domiciliario</t>
        </is>
      </c>
      <c r="F128" s="22" t="inlineStr">
        <is>
          <t>Una mujer con cáncer avanzado, en cuidado paliativo domiciliario, lleva nueve días sin recibir el opioide formulado. La farmacia de su municipio no lo tiene y le exigen viajar dos horas a otra ciudad a reclamarlo. La Corte ha dicho que ese desplazamiento puede ser una carga desproporcionada.</t>
        </is>
      </c>
      <c r="G128" s="22" t="inlineStr">
        <is>
          <t>La ley que regula los servicios de cuidados paliativos para enfermos terminales y crónicos es</t>
        </is>
      </c>
      <c r="H128" s="22" t="inlineStr">
        <is>
          <t>La Ley 1733 de 2014</t>
        </is>
      </c>
      <c r="I128" s="22" t="inlineStr">
        <is>
          <t>La Ley 30 de 1986</t>
        </is>
      </c>
      <c r="J128" s="22" t="inlineStr">
        <is>
          <t>La Ley 594 de 2000</t>
        </is>
      </c>
      <c r="K128" s="22" t="inlineStr">
        <is>
          <t>A</t>
        </is>
      </c>
      <c r="L128" s="22" t="inlineStr">
        <is>
          <t>El acceso a los cuidados paliativos y al manejo del dolor es un derecho del paciente con enfermedad terminal o crónica avanzada. Ley 1733 de 2014, artículos 1 y 5.</t>
        </is>
      </c>
      <c r="M128" s="22" t="inlineStr">
        <is>
          <t>La Ley 30 de 1986 es el estatuto de estupefacientes; la Ley 594 de 2000 regula archivos, no servicios de salud.</t>
        </is>
      </c>
      <c r="N128" s="22" t="inlineStr">
        <is>
          <t>Ley 1733 de 2014, arts. 1 y 5</t>
        </is>
      </c>
      <c r="O128" s="22" t="inlineStr">
        <is>
          <t>SI</t>
        </is>
      </c>
      <c r="P128" s="16" t="inlineStr">
        <is>
          <t>Media</t>
        </is>
      </c>
      <c r="Q128" s="16" t="inlineStr">
        <is>
          <t>v2</t>
        </is>
      </c>
      <c r="R128" s="16" t="inlineStr">
        <is>
          <t>Específico</t>
        </is>
      </c>
    </row>
    <row r="129" ht="45.75" customHeight="1" s="12">
      <c r="A129" s="22" t="inlineStr">
        <is>
          <t>F043-2</t>
        </is>
      </c>
      <c r="B129" s="22" t="inlineStr">
        <is>
          <t>fne</t>
        </is>
      </c>
      <c r="C129" s="22" t="inlineStr">
        <is>
          <t>Acceso a medicamentos y cuidados paliativos</t>
        </is>
      </c>
      <c r="D129" s="22" t="inlineStr">
        <is>
          <t>C043</t>
        </is>
      </c>
      <c r="E129" s="22" t="inlineStr">
        <is>
          <t>Paciente en cuidado paliativo domiciliario</t>
        </is>
      </c>
      <c r="F129" s="22" t="inlineStr">
        <is>
          <t>Una mujer con cáncer avanzado, en cuidado paliativo domiciliario, lleva nueve días sin recibir el opioide formulado. La farmacia de su municipio no lo tiene y le exigen viajar dos horas a otra ciudad a reclamarlo. La Corte ha dicho que ese desplazamiento puede ser una carga desproporcionada.</t>
        </is>
      </c>
      <c r="G129" s="22" t="inlineStr">
        <is>
          <t>La actuación más útil desde su rol es</t>
        </is>
      </c>
      <c r="H129" s="22" t="inlineStr">
        <is>
          <t>Sugerirle que consulte a otro médico para cambiar el tratamiento</t>
        </is>
      </c>
      <c r="I129" s="22" t="inlineStr">
        <is>
          <t>Verificar la disponibilidad con el Fondo Rotatorio más cercano</t>
        </is>
      </c>
      <c r="J129" s="22" t="inlineStr">
        <is>
          <t>Informarle la fecha del próximo despacho programado del municipio</t>
        </is>
      </c>
      <c r="K129" s="22" t="inlineStr">
        <is>
          <t>B</t>
        </is>
      </c>
      <c r="L129" s="22" t="inlineStr">
        <is>
          <t>La entrega oportuna del opioide formulado hace parte del derecho al cuidado paliativo; la Corte ha protegido ese acceso. Ley 1733 de 2014, artículo 5; Corte Constitucional, T-377 de 2024.</t>
        </is>
      </c>
      <c r="M129" s="22" t="inlineStr">
        <is>
          <t>Cambiar el tratamiento traslada al médico un problema de abastecimiento; pedirle que espere el próximo despacho deja al paciente con dolor mientras tanto.</t>
        </is>
      </c>
      <c r="N129" s="22" t="inlineStr">
        <is>
          <t>Ley 1733 de 2014, art. 5; Corte Constitucional, T-377 de 2024</t>
        </is>
      </c>
      <c r="O129" s="22" t="inlineStr">
        <is>
          <t>SI</t>
        </is>
      </c>
      <c r="P129" s="16" t="inlineStr">
        <is>
          <t>Media</t>
        </is>
      </c>
      <c r="Q129" s="16" t="inlineStr">
        <is>
          <t>v2</t>
        </is>
      </c>
      <c r="R129" s="16" t="inlineStr">
        <is>
          <t>Específico</t>
        </is>
      </c>
    </row>
    <row r="130" ht="34.5" customHeight="1" s="12">
      <c r="A130" s="22" t="inlineStr">
        <is>
          <t>F043-3</t>
        </is>
      </c>
      <c r="B130" s="22" t="inlineStr">
        <is>
          <t>fne</t>
        </is>
      </c>
      <c r="C130" s="22" t="inlineStr">
        <is>
          <t>Acceso a medicamentos y cuidados paliativos</t>
        </is>
      </c>
      <c r="D130" s="22" t="inlineStr">
        <is>
          <t>C043</t>
        </is>
      </c>
      <c r="E130" s="22" t="inlineStr">
        <is>
          <t>Paciente en cuidado paliativo domiciliario</t>
        </is>
      </c>
      <c r="F130" s="22" t="inlineStr">
        <is>
          <t>Una mujer con cáncer avanzado, en cuidado paliativo domiciliario, lleva nueve días sin recibir el opioide formulado. La farmacia de su municipio no lo tiene y le exigen viajar dos horas a otra ciudad a reclamarlo. La Corte ha dicho que ese desplazamiento puede ser una carga desproporcionada.</t>
        </is>
      </c>
      <c r="G130" s="22" t="inlineStr">
        <is>
          <t>Si se identifica que el problema es recurrente en ese municipio, conviene</t>
        </is>
      </c>
      <c r="H130" s="22" t="inlineStr">
        <is>
          <t>Suspender el suministro al municipio y abrir una investigación</t>
        </is>
      </c>
      <c r="I130" s="22" t="inlineStr">
        <is>
          <t>Requerir a la farmacia, por escrito</t>
        </is>
      </c>
      <c r="J130" s="22" t="inlineStr">
        <is>
          <t>Revisar la cadena de distribución y ajustar la planeación del envío</t>
        </is>
      </c>
      <c r="K130" s="22" t="inlineStr">
        <is>
          <t>C</t>
        </is>
      </c>
      <c r="L130" s="22" t="inlineStr">
        <is>
          <t>Corresponde verificar la falla en la cadena de suministro con el Fondo Rotatorio antes de cualquier medida contra el municipio. Ley 1733 de 2014, artículo 5; Resolución 1478 de 2006, artículos 74 y 76.</t>
        </is>
      </c>
      <c r="M130" s="22" t="inlineStr">
        <is>
          <t>Suspender el suministro castiga al municipio y a sus pacientes; requerir a la farmacia atiende un síntoma sin revisar la cadena que falla.</t>
        </is>
      </c>
      <c r="N130" s="22" t="inlineStr">
        <is>
          <t>Ley 1733 de 2014, art. 5; Resolución 1478 de 2006, arts. 74 y 76</t>
        </is>
      </c>
      <c r="O130" s="22" t="inlineStr">
        <is>
          <t>SI</t>
        </is>
      </c>
      <c r="P130" s="16" t="inlineStr">
        <is>
          <t>Media</t>
        </is>
      </c>
      <c r="Q130" s="16" t="inlineStr">
        <is>
          <t>v2</t>
        </is>
      </c>
      <c r="R130" s="16" t="inlineStr">
        <is>
          <t>Específico</t>
        </is>
      </c>
    </row>
    <row r="131" ht="34.5" customHeight="1" s="12">
      <c r="A131" s="22" t="inlineStr">
        <is>
          <t>F044-1</t>
        </is>
      </c>
      <c r="B131" s="22" t="inlineStr">
        <is>
          <t>fne</t>
        </is>
      </c>
      <c r="C131" s="22" t="inlineStr">
        <is>
          <t>Control y fiscalización de medicamentos de control especial</t>
        </is>
      </c>
      <c r="D131" s="22" t="inlineStr">
        <is>
          <t>C044</t>
        </is>
      </c>
      <c r="E131" s="22" t="inlineStr">
        <is>
          <t>Un paciente, cuatro médicos, tres municipios</t>
        </is>
      </c>
      <c r="F131" s="22" t="inlineStr">
        <is>
          <t>Al cruzar los reportes de dispensación aparece que un mismo paciente recibió en un mes fórmulas del mismo opioide de cuatro médicos distintos, en tres municipios y en farmacias diferentes.</t>
        </is>
      </c>
      <c r="G131" s="22" t="inlineStr">
        <is>
          <t>Este patrón debe tratarse como</t>
        </is>
      </c>
      <c r="H131" s="22" t="inlineStr">
        <is>
          <t>Un error del sistema de dispensación que se puede corregir sin reportarlo</t>
        </is>
      </c>
      <c r="I131" s="22" t="inlineStr">
        <is>
          <t>Un comportamiento normal de un paciente con dolor crónico no controlado</t>
        </is>
      </c>
      <c r="J131" s="22" t="inlineStr">
        <is>
          <t>Una alerta de posible uso indebido</t>
        </is>
      </c>
      <c r="K131" s="22" t="inlineStr">
        <is>
          <t>C</t>
        </is>
      </c>
      <c r="L131" s="22" t="inlineStr">
        <is>
          <t>El cruce de prescripciones y dispensaciones que muestra varios prescriptores y municipios es una alerta de posible uso indebido o desvío. Resolución 1478 de 2006, artículos 90 y 97.</t>
        </is>
      </c>
      <c r="M131" s="22" t="inlineStr">
        <is>
          <t>Llamarlo error del sistema descarta el hallazgo sin verificarlo; considerarlo normal ignora que el patrón es típico del uso indebido.</t>
        </is>
      </c>
      <c r="N131" s="22" t="inlineStr">
        <is>
          <t>Resolución 1478 de 2006, arts. 90 y 97</t>
        </is>
      </c>
      <c r="O131" s="22" t="inlineStr">
        <is>
          <t>SI</t>
        </is>
      </c>
      <c r="P131" s="16" t="inlineStr">
        <is>
          <t>Alta</t>
        </is>
      </c>
      <c r="Q131" s="16" t="inlineStr">
        <is>
          <t>v2</t>
        </is>
      </c>
      <c r="R131" s="16" t="inlineStr">
        <is>
          <t>Específico</t>
        </is>
      </c>
    </row>
    <row r="132" ht="45.75" customHeight="1" s="12">
      <c r="A132" s="22" t="inlineStr">
        <is>
          <t>F044-2</t>
        </is>
      </c>
      <c r="B132" s="22" t="inlineStr">
        <is>
          <t>fne</t>
        </is>
      </c>
      <c r="C132" s="22" t="inlineStr">
        <is>
          <t>Control y fiscalización de medicamentos de control especial</t>
        </is>
      </c>
      <c r="D132" s="22" t="inlineStr">
        <is>
          <t>C044</t>
        </is>
      </c>
      <c r="E132" s="22" t="inlineStr">
        <is>
          <t>Un paciente, cuatro médicos, tres municipios</t>
        </is>
      </c>
      <c r="F132" s="22" t="inlineStr">
        <is>
          <t>Al cruzar los reportes de dispensación aparece que un mismo paciente recibió en un mes fórmulas del mismo opioide de cuatro médicos distintos, en tres municipios y en farmacias diferentes.</t>
        </is>
      </c>
      <c r="G132" s="22" t="inlineStr">
        <is>
          <t>Lo procedente es</t>
        </is>
      </c>
      <c r="H132" s="22" t="inlineStr">
        <is>
          <t>Publicar el nombre del paciente para alertar a las farmacias</t>
        </is>
      </c>
      <c r="I132" s="22" t="inlineStr">
        <is>
          <t>Informar al paciente y bloquear su acceso mientras se revisa</t>
        </is>
      </c>
      <c r="J132" s="22" t="inlineStr">
        <is>
          <t>Documentar el hallazgo e informarlo a la autoridad sanitaria</t>
        </is>
      </c>
      <c r="K132" s="22" t="inlineStr">
        <is>
          <t>C</t>
        </is>
      </c>
      <c r="L132" s="22" t="inlineStr">
        <is>
          <t>El hallazgo se documenta y se informa a la autoridad competente, protegiendo los datos del paciente. Resolución 1478 de 2006, artículo 97; Ley 1581 de 2012, artículos 5 y 6.</t>
        </is>
      </c>
      <c r="M132" s="22" t="inlineStr">
        <is>
          <t>Publicar el nombre del paciente vulnera sus datos sensibles; bloquearlo sin verificar puede dejar sin tratamiento a quien sí lo necesita.</t>
        </is>
      </c>
      <c r="N132" s="22" t="inlineStr">
        <is>
          <t>Resolución 1478 de 2006, art. 97; Ley 1581 de 2012, arts. 5 y 6</t>
        </is>
      </c>
      <c r="O132" s="22" t="inlineStr">
        <is>
          <t>SI</t>
        </is>
      </c>
      <c r="P132" s="16" t="inlineStr">
        <is>
          <t>Alta</t>
        </is>
      </c>
      <c r="Q132" s="16" t="inlineStr">
        <is>
          <t>repaso</t>
        </is>
      </c>
      <c r="R132" s="16" t="inlineStr">
        <is>
          <t>Específico</t>
        </is>
      </c>
    </row>
    <row r="133" ht="34.5" customHeight="1" s="12">
      <c r="A133" s="22" t="inlineStr">
        <is>
          <t>F044-3</t>
        </is>
      </c>
      <c r="B133" s="22" t="inlineStr">
        <is>
          <t>fne</t>
        </is>
      </c>
      <c r="C133" s="22" t="inlineStr">
        <is>
          <t>Control y fiscalización de medicamentos de control especial</t>
        </is>
      </c>
      <c r="D133" s="22" t="inlineStr">
        <is>
          <t>C044</t>
        </is>
      </c>
      <c r="E133" s="22" t="inlineStr">
        <is>
          <t>Un paciente, cuatro médicos, tres municipios</t>
        </is>
      </c>
      <c r="F133" s="22" t="inlineStr">
        <is>
          <t>Al cruzar los reportes de dispensación aparece que un mismo paciente recibió en un mes fórmulas del mismo opioide de cuatro médicos distintos, en tres municipios y en farmacias diferentes.</t>
        </is>
      </c>
      <c r="G133" s="22" t="inlineStr">
        <is>
          <t>Una medida preventiva útil a futuro es</t>
        </is>
      </c>
      <c r="H133" s="22" t="inlineStr">
        <is>
          <t>Eliminar el recetario oficial y reemplazarlo por la fórmula electrónica común</t>
        </is>
      </c>
      <c r="I133" s="22" t="inlineStr">
        <is>
          <t>Fortalecer el cruce de prescripción y dispensación</t>
        </is>
      </c>
      <c r="J133" s="22" t="inlineStr">
        <is>
          <t>Permitir la dispensación sin fórmula a pacientes crónicos ya registrados</t>
        </is>
      </c>
      <c r="K133" s="22" t="inlineStr">
        <is>
          <t>B</t>
        </is>
      </c>
      <c r="L133" s="22" t="inlineStr">
        <is>
          <t>Fortalecer el cruce entre prescripción y dispensación es la medida preventiva propia del control especial. Resolución 1478 de 2006, artículos 84, 90 y 97.</t>
        </is>
      </c>
      <c r="M133" s="22" t="inlineStr">
        <is>
          <t>Eliminar el recetario oficial suprime el control existente; permitir la dispensación sin fórmula agrava justamente el riesgo detectado.</t>
        </is>
      </c>
      <c r="N133" s="22" t="inlineStr">
        <is>
          <t>Resolución 1478 de 2006, arts. 84, 90 y 97</t>
        </is>
      </c>
      <c r="O133" s="22" t="inlineStr">
        <is>
          <t>SI</t>
        </is>
      </c>
      <c r="P133" s="16" t="inlineStr">
        <is>
          <t>Alta</t>
        </is>
      </c>
      <c r="Q133" s="16" t="inlineStr">
        <is>
          <t>v2</t>
        </is>
      </c>
      <c r="R133" s="16" t="inlineStr">
        <is>
          <t>Específico</t>
        </is>
      </c>
    </row>
    <row r="134" ht="34.5" customHeight="1" s="12">
      <c r="A134" s="22" t="inlineStr">
        <is>
          <t>F045-1</t>
        </is>
      </c>
      <c r="B134" s="22" t="inlineStr">
        <is>
          <t>fne</t>
        </is>
      </c>
      <c r="C134" s="22" t="inlineStr">
        <is>
          <t>Gestión presupuestal y financiera</t>
        </is>
      </c>
      <c r="D134" s="22" t="inlineStr">
        <is>
          <t>C045</t>
        </is>
      </c>
      <c r="E134" s="22" t="inlineStr">
        <is>
          <t>Urgencia manifiesta por desabastecimiento</t>
        </is>
      </c>
      <c r="F134" s="22" t="inlineStr">
        <is>
          <t>Ante el desabastecimiento, la dirección quiere declarar urgencia manifiesta y contratar de inmediato. El asesor jurídico recuerda que la Contraloría revisa después cada contrato celebrado bajo esa figura y que la declaratoria debe motivarse.</t>
        </is>
      </c>
      <c r="G134" s="22" t="inlineStr">
        <is>
          <t>La urgencia manifiesta procede cuando</t>
        </is>
      </c>
      <c r="H134" s="22" t="inlineStr">
        <is>
          <t>El proveedor ofrece un precio mejor que el del proceso ordinario</t>
        </is>
      </c>
      <c r="I134" s="22" t="inlineStr">
        <is>
          <t>Hay hechos excepcionales que no permiten el trámite ordinario</t>
        </is>
      </c>
      <c r="J134" s="22" t="inlineStr">
        <is>
          <t>El área requiere agilizar la compra</t>
        </is>
      </c>
      <c r="K134" s="22" t="inlineStr">
        <is>
          <t>B</t>
        </is>
      </c>
      <c r="L134" s="22" t="inlineStr">
        <is>
          <t>La Ley 80 de 1993 reserva la urgencia manifiesta a situaciones excepcionales.</t>
        </is>
      </c>
      <c r="M134" s="22" t="inlineStr">
        <is>
          <t>Un mejor precio no configura urgencia; querer evitar trámites es precisamente lo que la figura no permite.</t>
        </is>
      </c>
      <c r="N134" s="22" t="inlineStr">
        <is>
          <t>Ley 80 de 1993, arts. 42 y 43</t>
        </is>
      </c>
      <c r="O134" s="22" t="inlineStr">
        <is>
          <t>SI</t>
        </is>
      </c>
      <c r="P134" s="16" t="inlineStr">
        <is>
          <t>Basica</t>
        </is>
      </c>
      <c r="Q134" s="16" t="inlineStr">
        <is>
          <t>v2</t>
        </is>
      </c>
      <c r="R134" s="16" t="inlineStr">
        <is>
          <t>Específico</t>
        </is>
      </c>
    </row>
    <row r="135" ht="34.5" customHeight="1" s="12">
      <c r="A135" s="22" t="inlineStr">
        <is>
          <t>F045-2</t>
        </is>
      </c>
      <c r="B135" s="22" t="inlineStr">
        <is>
          <t>fne</t>
        </is>
      </c>
      <c r="C135" s="22" t="inlineStr">
        <is>
          <t>Gestión presupuestal y financiera</t>
        </is>
      </c>
      <c r="D135" s="22" t="inlineStr">
        <is>
          <t>C045</t>
        </is>
      </c>
      <c r="E135" s="22" t="inlineStr">
        <is>
          <t>Urgencia manifiesta por desabastecimiento</t>
        </is>
      </c>
      <c r="F135" s="22" t="inlineStr">
        <is>
          <t>Ante el desabastecimiento, la dirección quiere declarar urgencia manifiesta y contratar de inmediato. El asesor jurídico recuerda que la Contraloría revisa después cada contrato celebrado bajo esa figura y que la declaratoria debe motivarse.</t>
        </is>
      </c>
      <c r="G135" s="22" t="inlineStr">
        <is>
          <t>La urgencia manifiesta debe declararse mediante</t>
        </is>
      </c>
      <c r="H135" s="22" t="inlineStr">
        <is>
          <t>Comunicación motivada del director</t>
        </is>
      </c>
      <c r="I135" s="22" t="inlineStr">
        <is>
          <t>Acto administrativo motivado</t>
        </is>
      </c>
      <c r="J135" s="22" t="inlineStr">
        <is>
          <t>Correo motivado del supervisor</t>
        </is>
      </c>
      <c r="K135" s="22" t="inlineStr">
        <is>
          <t>B</t>
        </is>
      </c>
      <c r="L135" s="22" t="inlineStr">
        <is>
          <t>La declaratoria se hace por acto administrativo motivado.</t>
        </is>
      </c>
      <c r="M135" s="22" t="inlineStr">
        <is>
          <t>Una comunicación del director no tiene la forma de acto administrativo; un correo del supervisor no declara la urgencia ni la motiva.</t>
        </is>
      </c>
      <c r="N135" s="22" t="inlineStr">
        <is>
          <t>Ley 80 de 1993, arts. 42 y 43</t>
        </is>
      </c>
      <c r="O135" s="22" t="inlineStr">
        <is>
          <t>SI</t>
        </is>
      </c>
      <c r="P135" s="16" t="inlineStr">
        <is>
          <t>Basica</t>
        </is>
      </c>
      <c r="Q135" s="16" t="inlineStr">
        <is>
          <t>v2</t>
        </is>
      </c>
      <c r="R135" s="16" t="inlineStr">
        <is>
          <t>Específico</t>
        </is>
      </c>
    </row>
    <row r="136" ht="34.5" customHeight="1" s="12">
      <c r="A136" s="22" t="inlineStr">
        <is>
          <t>F045-3</t>
        </is>
      </c>
      <c r="B136" s="22" t="inlineStr">
        <is>
          <t>fne</t>
        </is>
      </c>
      <c r="C136" s="22" t="inlineStr">
        <is>
          <t>Gestión presupuestal y financiera</t>
        </is>
      </c>
      <c r="D136" s="22" t="inlineStr">
        <is>
          <t>C045</t>
        </is>
      </c>
      <c r="E136" s="22" t="inlineStr">
        <is>
          <t>Urgencia manifiesta por desabastecimiento</t>
        </is>
      </c>
      <c r="F136" s="22" t="inlineStr">
        <is>
          <t>Ante el desabastecimiento, la dirección quiere declarar urgencia manifiesta y contratar de inmediato. El asesor jurídico recuerda que la Contraloría revisa después cada contrato celebrado bajo esa figura y que la declaratoria debe motivarse.</t>
        </is>
      </c>
      <c r="G136" s="22" t="inlineStr">
        <is>
          <t>Una vez celebrados los contratos, estos y el acto que declaró la urgencia deben enviarse</t>
        </is>
      </c>
      <c r="H136" s="22" t="inlineStr">
        <is>
          <t>Al organismo de control fiscal competente</t>
        </is>
      </c>
      <c r="I136" s="22" t="inlineStr">
        <is>
          <t>Al archivo central de la propia entidad</t>
        </is>
      </c>
      <c r="J136" s="22" t="inlineStr">
        <is>
          <t>Al proveedor, para la firma del contrato</t>
        </is>
      </c>
      <c r="K136" s="22" t="inlineStr">
        <is>
          <t>A</t>
        </is>
      </c>
      <c r="L136" s="22" t="inlineStr">
        <is>
          <t>La Ley 80 de 1993 ordena remitir los contratos y el acto a la autoridad de control fiscal.</t>
        </is>
      </c>
      <c r="M136" s="22" t="inlineStr">
        <is>
          <t>Archivarlos en la entidad deja sin control externo la figura; enviarlos al proveedor confunde el trámite contractual con el control fiscal.</t>
        </is>
      </c>
      <c r="N136" s="22" t="inlineStr">
        <is>
          <t>Ley 80 de 1993, arts. 42 y 43</t>
        </is>
      </c>
      <c r="O136" s="22" t="inlineStr">
        <is>
          <t>SI</t>
        </is>
      </c>
      <c r="P136" s="16" t="inlineStr">
        <is>
          <t>Basica</t>
        </is>
      </c>
      <c r="Q136" s="16" t="inlineStr">
        <is>
          <t>v2</t>
        </is>
      </c>
      <c r="R136" s="16" t="inlineStr">
        <is>
          <t>Específico</t>
        </is>
      </c>
    </row>
    <row r="137" ht="34.5" customHeight="1" s="12">
      <c r="A137" s="22" t="inlineStr">
        <is>
          <t>F046-1</t>
        </is>
      </c>
      <c r="B137" s="22" t="inlineStr">
        <is>
          <t>fne</t>
        </is>
      </c>
      <c r="C137" s="22" t="inlineStr">
        <is>
          <t>Gestión presupuestal y financiera</t>
        </is>
      </c>
      <c r="D137" s="22" t="inlineStr">
        <is>
          <t>C046</t>
        </is>
      </c>
      <c r="E137" s="22" t="inlineStr">
        <is>
          <t>Cartera vencida y saldo que no cuadra</t>
        </is>
      </c>
      <c r="F137" s="22" t="inlineStr">
        <is>
          <t>Al cierre del mes, el Fondo tiene facturas por venta de medicamentos a tres Fondos Rotatorios sin pagar desde hace siete meses y un saldo de bancos que no coincide con el libro auxiliar.</t>
        </is>
      </c>
      <c r="G137" s="22" t="inlineStr">
        <is>
          <t>Bajo el marco de contabilidad pública, el ingreso por la venta se reconoce</t>
        </is>
      </c>
      <c r="H137" s="22" t="inlineStr">
        <is>
          <t>Cuando el dinero ingresa efectivamente a la cuenta bancaria</t>
        </is>
      </c>
      <c r="I137" s="22" t="inlineStr">
        <is>
          <t>Cuando se realiza la venta, aunque no se haya recibido el pago</t>
        </is>
      </c>
      <c r="J137" s="22" t="inlineStr">
        <is>
          <t>Al cierre del año, con el consolidado de ventas del periodo</t>
        </is>
      </c>
      <c r="K137" s="22" t="inlineStr">
        <is>
          <t>B</t>
        </is>
      </c>
      <c r="L137" s="22" t="inlineStr">
        <is>
          <t>El ingreso se reconoce cuando se devenga, con independencia del momento del recaudo. Resolución 533 de 2015 de la Contaduría General de la Nación, Marco Normativo para Entidades de Gobierno.</t>
        </is>
      </c>
      <c r="M137" s="22" t="inlineStr">
        <is>
          <t>Reconocer el ingreso al recibir el pago corresponde a la caja, no al devengo; hacerlo al cierre del año distorsiona los estados intermedios.</t>
        </is>
      </c>
      <c r="N137" s="22" t="inlineStr">
        <is>
          <t>Resolución 533 de 2015 (CGN), marco conceptual, num. 4</t>
        </is>
      </c>
      <c r="O137" s="22" t="inlineStr">
        <is>
          <t>SI</t>
        </is>
      </c>
      <c r="P137" s="16" t="inlineStr">
        <is>
          <t>Media</t>
        </is>
      </c>
      <c r="Q137" s="16" t="inlineStr">
        <is>
          <t>v2</t>
        </is>
      </c>
      <c r="R137" s="16" t="inlineStr">
        <is>
          <t>Específico</t>
        </is>
      </c>
    </row>
    <row r="138" ht="34.5" customHeight="1" s="12">
      <c r="A138" s="22" t="inlineStr">
        <is>
          <t>F046-2</t>
        </is>
      </c>
      <c r="B138" s="22" t="inlineStr">
        <is>
          <t>fne</t>
        </is>
      </c>
      <c r="C138" s="22" t="inlineStr">
        <is>
          <t>Gestión presupuestal y financiera</t>
        </is>
      </c>
      <c r="D138" s="22" t="inlineStr">
        <is>
          <t>C046</t>
        </is>
      </c>
      <c r="E138" s="22" t="inlineStr">
        <is>
          <t>Cartera vencida y saldo que no cuadra</t>
        </is>
      </c>
      <c r="F138" s="22" t="inlineStr">
        <is>
          <t>Al cierre del mes, el Fondo tiene facturas por venta de medicamentos a tres Fondos Rotatorios sin pagar desde hace siete meses y un saldo de bancos que no coincide con el libro auxiliar.</t>
        </is>
      </c>
      <c r="G138" s="22" t="inlineStr">
        <is>
          <t>Frente a la cartera vencida, lo procedente es</t>
        </is>
      </c>
      <c r="H138" s="22" t="inlineStr">
        <is>
          <t>Adelantar la gestión de cobro según el procedimiento interno</t>
        </is>
      </c>
      <c r="I138" s="22" t="inlineStr">
        <is>
          <t>Suspender las ventas nuevas hasta que se normalice la cartera</t>
        </is>
      </c>
      <c r="J138" s="22" t="inlineStr">
        <is>
          <t>Dar de baja las facturas y registrar la pérdida del periodo</t>
        </is>
      </c>
      <c r="K138" s="22" t="inlineStr">
        <is>
          <t>A</t>
        </is>
      </c>
      <c r="L138" s="22" t="inlineStr">
        <is>
          <t>La cartera vencida se gestiona con cobro persuasivo y, si procede, coactivo, sin dar de baja el derecho. Ley 1066 de 2006, artículos 2 y 5.</t>
        </is>
      </c>
      <c r="M138" s="22" t="inlineStr">
        <is>
          <t>Suspender las ventas nuevas castiga la operación sin cobrar lo adeudado; dar de baja las facturas borra un derecho que aún puede recaudarse.</t>
        </is>
      </c>
      <c r="N138" s="22" t="inlineStr">
        <is>
          <t>Ley 1066 de 2006, arts. 2 y 5</t>
        </is>
      </c>
      <c r="O138" s="22" t="inlineStr">
        <is>
          <t>SI</t>
        </is>
      </c>
      <c r="P138" s="16" t="inlineStr">
        <is>
          <t>Media</t>
        </is>
      </c>
      <c r="Q138" s="16" t="inlineStr">
        <is>
          <t>v2</t>
        </is>
      </c>
      <c r="R138" s="16" t="inlineStr">
        <is>
          <t>Específico</t>
        </is>
      </c>
    </row>
    <row r="139" ht="34.5" customHeight="1" s="12">
      <c r="A139" s="22" t="inlineStr">
        <is>
          <t>F046-3</t>
        </is>
      </c>
      <c r="B139" s="22" t="inlineStr">
        <is>
          <t>fne</t>
        </is>
      </c>
      <c r="C139" s="22" t="inlineStr">
        <is>
          <t>Gestión presupuestal y financiera</t>
        </is>
      </c>
      <c r="D139" s="22" t="inlineStr">
        <is>
          <t>C046</t>
        </is>
      </c>
      <c r="E139" s="22" t="inlineStr">
        <is>
          <t>Cartera vencida y saldo que no cuadra</t>
        </is>
      </c>
      <c r="F139" s="22" t="inlineStr">
        <is>
          <t>Al cierre del mes, el Fondo tiene facturas por venta de medicamentos a tres Fondos Rotatorios sin pagar desde hace siete meses y un saldo de bancos que no coincide con el libro auxiliar.</t>
        </is>
      </c>
      <c r="G139" s="22" t="inlineStr">
        <is>
          <t>Para verificar que los saldos de bancos son correctos, se realiza</t>
        </is>
      </c>
      <c r="H139" s="22" t="inlineStr">
        <is>
          <t>La tabla de retención documental</t>
        </is>
      </c>
      <c r="I139" s="22" t="inlineStr">
        <is>
          <t>El plan anual de adquisiciones</t>
        </is>
      </c>
      <c r="J139" s="22" t="inlineStr">
        <is>
          <t>La conciliación bancaria</t>
        </is>
      </c>
      <c r="K139" s="22" t="inlineStr">
        <is>
          <t>C</t>
        </is>
      </c>
      <c r="L139" s="22" t="inlineStr">
        <is>
          <t>La conciliación bancaria compara el extracto con el libro auxiliar y hace parte del control interno contable. Resolución 193 de 2016 de la Contaduría, numeral 3.2.15.</t>
        </is>
      </c>
      <c r="M139" s="22" t="inlineStr">
        <is>
          <t>La tabla de retención documental ordena archivos; el plan anual de adquisiciones programa compras, y ninguno verifica saldos bancarios.</t>
        </is>
      </c>
      <c r="N139" s="22" t="inlineStr">
        <is>
          <t>Resolución 193 de 2016 (CGN), num. 3.2.15</t>
        </is>
      </c>
      <c r="O139" s="22" t="inlineStr">
        <is>
          <t>SI</t>
        </is>
      </c>
      <c r="P139" s="16" t="inlineStr">
        <is>
          <t>Media</t>
        </is>
      </c>
      <c r="Q139" s="16" t="inlineStr">
        <is>
          <t>v2</t>
        </is>
      </c>
      <c r="R139" s="16" t="inlineStr">
        <is>
          <t>Específico</t>
        </is>
      </c>
    </row>
    <row r="140" ht="34.5" customHeight="1" s="12">
      <c r="A140" s="22" t="inlineStr">
        <is>
          <t>F047-1</t>
        </is>
      </c>
      <c r="B140" s="22" t="inlineStr">
        <is>
          <t>fne</t>
        </is>
      </c>
      <c r="C140" s="22" t="inlineStr">
        <is>
          <t>Almacenamiento, logística y destrucción</t>
        </is>
      </c>
      <c r="D140" s="22" t="inlineStr">
        <is>
          <t>C047</t>
        </is>
      </c>
      <c r="E140" s="22" t="inlineStr">
        <is>
          <t>Faltante en el transporte de morfina</t>
        </is>
      </c>
      <c r="F140" s="22" t="inlineStr">
        <is>
          <t>Un Fondo Rotatorio recibe el despacho con una caja menos de las registradas en la guía. El transportador dice que así se la entregaron y el sello de seguridad está roto. La caja contenía morfina inyectable.</t>
        </is>
      </c>
      <c r="G140" s="22" t="inlineStr">
        <is>
          <t>Lo primero que debe hacer quien recibe es</t>
        </is>
      </c>
      <c r="H140" s="22" t="inlineStr">
        <is>
          <t>Recibir el despacho completo e informar el faltante después</t>
        </is>
      </c>
      <c r="I140" s="22" t="inlineStr">
        <is>
          <t>Dejar constancia del faltante en el documento de recibo y reportarlo</t>
        </is>
      </c>
      <c r="J140" s="22" t="inlineStr">
        <is>
          <t>Devolver el despacho completo al transportador, sin recibirlo</t>
        </is>
      </c>
      <c r="K140" s="22" t="inlineStr">
        <is>
          <t>B</t>
        </is>
      </c>
      <c r="L140" s="22" t="inlineStr">
        <is>
          <t>Las novedades en el recibo se documentan en el momento y se reportan.</t>
        </is>
      </c>
      <c r="M140" s="22" t="inlineStr">
        <is>
          <t>Recibir como completo y verificar después impide reclamar al transportador; devolver todo el despacho deja sin medicamentos a los pacientes del departamento.</t>
        </is>
      </c>
      <c r="N140" s="22" t="inlineStr">
        <is>
          <t>Resolución 1478 de 2006, art. 77</t>
        </is>
      </c>
      <c r="O140" s="22" t="inlineStr">
        <is>
          <t>SI</t>
        </is>
      </c>
      <c r="P140" s="16" t="inlineStr">
        <is>
          <t>Media</t>
        </is>
      </c>
      <c r="Q140" s="16" t="inlineStr">
        <is>
          <t>repaso</t>
        </is>
      </c>
      <c r="R140" s="16" t="inlineStr">
        <is>
          <t>Específico</t>
        </is>
      </c>
    </row>
    <row r="141" ht="34.5" customHeight="1" s="12">
      <c r="A141" s="22" t="inlineStr">
        <is>
          <t>F047-2</t>
        </is>
      </c>
      <c r="B141" s="22" t="inlineStr">
        <is>
          <t>fne</t>
        </is>
      </c>
      <c r="C141" s="22" t="inlineStr">
        <is>
          <t>Almacenamiento, logística y destrucción</t>
        </is>
      </c>
      <c r="D141" s="22" t="inlineStr">
        <is>
          <t>C047</t>
        </is>
      </c>
      <c r="E141" s="22" t="inlineStr">
        <is>
          <t>Faltante en el transporte de morfina</t>
        </is>
      </c>
      <c r="F141" s="22" t="inlineStr">
        <is>
          <t>Un Fondo Rotatorio recibe el despacho con una caja menos de las registradas en la guía. El transportador dice que así se la entregaron y el sello de seguridad está roto. La caja contenía morfina inyectable.</t>
        </is>
      </c>
      <c r="G141" s="22" t="inlineStr">
        <is>
          <t>Si no aparece la caja, además del reporte interno corresponde</t>
        </is>
      </c>
      <c r="H141" s="22" t="inlineStr">
        <is>
          <t>Reponer la caja con una compra local y anotarlo en el kárdex</t>
        </is>
      </c>
      <c r="I141" s="22" t="inlineStr">
        <is>
          <t>Documentar la pérdida en el informe mensual</t>
        </is>
      </c>
      <c r="J141" s="22" t="inlineStr">
        <is>
          <t>Informar a las autoridades y denunciar si hay indicios de hurto</t>
        </is>
      </c>
      <c r="K141" s="22" t="inlineStr">
        <is>
          <t>C</t>
        </is>
      </c>
      <c r="L141" s="22" t="inlineStr">
        <is>
          <t>La pérdida de medicamentos fiscalizados puede implicar desvío y debe reportarse a las autoridades.</t>
        </is>
      </c>
      <c r="M141" s="22" t="inlineStr">
        <is>
          <t>Reponer con una compra local rompe el canal legal de estos medicamentos; anotarlo solo en el informe mensual retrasa la investigación del posible hurto.</t>
        </is>
      </c>
      <c r="N141" s="22" t="inlineStr">
        <is>
          <t>Resolución 1478 de 2006, art. 77</t>
        </is>
      </c>
      <c r="O141" s="22" t="inlineStr">
        <is>
          <t>SI</t>
        </is>
      </c>
      <c r="P141" s="16" t="inlineStr">
        <is>
          <t>Media</t>
        </is>
      </c>
      <c r="Q141" s="16" t="inlineStr">
        <is>
          <t>v2</t>
        </is>
      </c>
      <c r="R141" s="16" t="inlineStr">
        <is>
          <t>Específico</t>
        </is>
      </c>
    </row>
    <row r="142" ht="34.5" customHeight="1" s="12">
      <c r="A142" s="22" t="inlineStr">
        <is>
          <t>F047-3</t>
        </is>
      </c>
      <c r="B142" s="22" t="inlineStr">
        <is>
          <t>fne</t>
        </is>
      </c>
      <c r="C142" s="22" t="inlineStr">
        <is>
          <t>Almacenamiento, logística y destrucción</t>
        </is>
      </c>
      <c r="D142" s="22" t="inlineStr">
        <is>
          <t>C047</t>
        </is>
      </c>
      <c r="E142" s="22" t="inlineStr">
        <is>
          <t>Faltante en el transporte de morfina</t>
        </is>
      </c>
      <c r="F142" s="22" t="inlineStr">
        <is>
          <t>Un Fondo Rotatorio recibe el despacho con una caja menos de las registradas en la guía. El transportador dice que así se la entregaron y el sello de seguridad está roto. La caja contenía morfina inyectable.</t>
        </is>
      </c>
      <c r="G142" s="22" t="inlineStr">
        <is>
          <t>Para prevenir estos eventos, una buena práctica es</t>
        </is>
      </c>
      <c r="H142" s="22" t="inlineStr">
        <is>
          <t>Usar sellos de seguridad y verificar cantidades en cada entrega</t>
        </is>
      </c>
      <c r="I142" s="22" t="inlineStr">
        <is>
          <t>Usar empaques sin marcas visibles y rutas que cambien cada semana</t>
        </is>
      </c>
      <c r="J142" s="22" t="inlineStr">
        <is>
          <t>Verificar solo el número de cajas para agilizar cada entrega</t>
        </is>
      </c>
      <c r="K142" s="22" t="inlineStr">
        <is>
          <t>A</t>
        </is>
      </c>
      <c r="L142" s="22" t="inlineStr">
        <is>
          <t>Los sellos y la verificación en cada entrega protegen la cadena de custodia.</t>
        </is>
      </c>
      <c r="M142" s="22" t="inlineStr">
        <is>
          <t>Empaques sin marcas y menos controles facilitan el desvío; guías simplificadas agilizan la entrega, pero eliminan el rastro de lo entregado.</t>
        </is>
      </c>
      <c r="N142" s="22" t="inlineStr">
        <is>
          <t>Resolución 1478 de 2006, art. 77</t>
        </is>
      </c>
      <c r="O142" s="22" t="inlineStr">
        <is>
          <t>SI</t>
        </is>
      </c>
      <c r="P142" s="16" t="inlineStr">
        <is>
          <t>Media</t>
        </is>
      </c>
      <c r="Q142" s="16" t="inlineStr">
        <is>
          <t>v2</t>
        </is>
      </c>
      <c r="R142" s="16" t="inlineStr">
        <is>
          <t>Específico</t>
        </is>
      </c>
    </row>
    <row r="143" ht="34.5" customHeight="1" s="12">
      <c r="A143" s="22" t="inlineStr">
        <is>
          <t>F048-1</t>
        </is>
      </c>
      <c r="B143" s="22" t="inlineStr">
        <is>
          <t>fne</t>
        </is>
      </c>
      <c r="C143" s="22" t="inlineStr">
        <is>
          <t>Comercio internacional de sustancias fiscalizadas</t>
        </is>
      </c>
      <c r="D143" s="22" t="inlineStr">
        <is>
          <t>C048</t>
        </is>
      </c>
      <c r="E143" s="22" t="inlineStr">
        <is>
          <t>Cifras que no cuadran antes del reporte</t>
        </is>
      </c>
      <c r="F143" s="22" t="inlineStr">
        <is>
          <t>Se acerca la fecha de reporte a la JIFE y las cifras de importación no cuadran con las de consumo de dos sustancias. El plazo vence en cuatro días y el área técnica propone enviar lo que hay.</t>
        </is>
      </c>
      <c r="G143" s="22" t="inlineStr">
        <is>
          <t>La información que se reporta a la JIFE permite</t>
        </is>
      </c>
      <c r="H143" s="22" t="inlineStr">
        <is>
          <t>Fijar el precio de los medicamentos fiscalizados en el país</t>
        </is>
      </c>
      <c r="I143" s="22" t="inlineStr">
        <is>
          <t>Autorizar el registro sanitario de los productos importados</t>
        </is>
      </c>
      <c r="J143" s="22" t="inlineStr">
        <is>
          <t>Vigilar que el comercio de lo fiscalizado tenga fin médico</t>
        </is>
      </c>
      <c r="K143" s="22" t="inlineStr">
        <is>
          <t>C</t>
        </is>
      </c>
      <c r="L143" s="22" t="inlineStr">
        <is>
          <t>El país reporta a la Junta Internacional de Fiscalización de Estupefacientes las previsiones de sus necesidades y los datos estadísticos de movimiento. Convención Única de 1961, artículos 19 y 20.</t>
        </is>
      </c>
      <c r="M143" s="22" t="inlineStr">
        <is>
          <t>El precio de los medicamentos no lo fija la JIFE; los registros sanitarios los otorga la autoridad nacional, no el sistema internacional.</t>
        </is>
      </c>
      <c r="N143" s="22" t="inlineStr">
        <is>
          <t>Convención Única de 1961, arts. 19 y 20</t>
        </is>
      </c>
      <c r="O143" s="22" t="inlineStr">
        <is>
          <t>SI</t>
        </is>
      </c>
      <c r="P143" s="16" t="inlineStr">
        <is>
          <t>Alta</t>
        </is>
      </c>
      <c r="Q143" s="16" t="inlineStr">
        <is>
          <t>v2</t>
        </is>
      </c>
      <c r="R143" s="16" t="inlineStr">
        <is>
          <t>Específico</t>
        </is>
      </c>
    </row>
    <row r="144" ht="34.5" customHeight="1" s="12">
      <c r="A144" s="22" t="inlineStr">
        <is>
          <t>F048-2</t>
        </is>
      </c>
      <c r="B144" s="22" t="inlineStr">
        <is>
          <t>fne</t>
        </is>
      </c>
      <c r="C144" s="22" t="inlineStr">
        <is>
          <t>Comercio internacional de sustancias fiscalizadas</t>
        </is>
      </c>
      <c r="D144" s="22" t="inlineStr">
        <is>
          <t>C048</t>
        </is>
      </c>
      <c r="E144" s="22" t="inlineStr">
        <is>
          <t>Cifras que no cuadran antes del reporte</t>
        </is>
      </c>
      <c r="F144" s="22" t="inlineStr">
        <is>
          <t>Se acerca la fecha de reporte a la JIFE y las cifras de importación no cuadran con las de consumo de dos sustancias. El plazo vence en cuatro días y el área técnica propone enviar lo que hay.</t>
        </is>
      </c>
      <c r="G144" s="22" t="inlineStr">
        <is>
          <t>Si detecta inconsistencias entre las cifras de importación y las de consumo, usted debe</t>
        </is>
      </c>
      <c r="H144" s="22" t="inlineStr">
        <is>
          <t>Reportar las cifras tal como están y aclarar las diferencias en el siguiente informe</t>
        </is>
      </c>
      <c r="I144" s="22" t="inlineStr">
        <is>
          <t>Omitir las cifras que no cuadran y reportar solo las que ya fueron verificadas</t>
        </is>
      </c>
      <c r="J144" s="22" t="inlineStr">
        <is>
          <t>Conciliar las cifras antes de reportar</t>
        </is>
      </c>
      <c r="K144" s="22" t="inlineStr">
        <is>
          <t>C</t>
        </is>
      </c>
      <c r="L144" s="22" t="inlineStr">
        <is>
          <t>Las cifras deben conciliarse antes de reportar, porque la Junta compara previsiones y estadísticas y puede pedir aclaraciones. Convención Única de 1961, artículos 12, 19 y 20.</t>
        </is>
      </c>
      <c r="M144" s="22" t="inlineStr">
        <is>
          <t>Reportar las cifras sin conciliar traslada el error al informe del país; omitir lo que no cuadra oculta justo lo que debe explicarse.</t>
        </is>
      </c>
      <c r="N144" s="22" t="inlineStr">
        <is>
          <t>Convención Única de 1961, arts. 12, 19 y 20</t>
        </is>
      </c>
      <c r="O144" s="22" t="inlineStr">
        <is>
          <t>SI</t>
        </is>
      </c>
      <c r="P144" s="16" t="inlineStr">
        <is>
          <t>Alta</t>
        </is>
      </c>
      <c r="Q144" s="16" t="inlineStr">
        <is>
          <t>v2</t>
        </is>
      </c>
      <c r="R144" s="16" t="inlineStr">
        <is>
          <t>Específico</t>
        </is>
      </c>
    </row>
    <row r="145" ht="34.5" customHeight="1" s="12">
      <c r="A145" s="22" t="inlineStr">
        <is>
          <t>F048-3</t>
        </is>
      </c>
      <c r="B145" s="22" t="inlineStr">
        <is>
          <t>fne</t>
        </is>
      </c>
      <c r="C145" s="22" t="inlineStr">
        <is>
          <t>Comercio internacional de sustancias fiscalizadas</t>
        </is>
      </c>
      <c r="D145" s="22" t="inlineStr">
        <is>
          <t>C048</t>
        </is>
      </c>
      <c r="E145" s="22" t="inlineStr">
        <is>
          <t>Cifras que no cuadran antes del reporte</t>
        </is>
      </c>
      <c r="F145" s="22" t="inlineStr">
        <is>
          <t>Se acerca la fecha de reporte a la JIFE y las cifras de importación no cuadran con las de consumo de dos sustancias. El plazo vence en cuatro días y el área técnica propone enviar lo que hay.</t>
        </is>
      </c>
      <c r="G145" s="22" t="inlineStr">
        <is>
          <t>Un reporte tardío o inexacto puede</t>
        </is>
      </c>
      <c r="H145" s="22" t="inlineStr">
        <is>
          <t>Habilitar un aumento automático de las cantidades autorizadas</t>
        </is>
      </c>
      <c r="I145" s="22" t="inlineStr">
        <is>
          <t>Postergar el reporte al periodo siguiente, sin otro efecto</t>
        </is>
      </c>
      <c r="J145" s="22" t="inlineStr">
        <is>
          <t>Afectar la credibilidad del país en la gestión de previsiones</t>
        </is>
      </c>
      <c r="K145" s="22" t="inlineStr">
        <is>
          <t>C</t>
        </is>
      </c>
      <c r="L145" s="22" t="inlineStr">
        <is>
          <t>Un reporte inconsistente afecta la credibilidad del país en el sistema de previsiones, del que depende la autorización de fabricación e importación. Convención Única de 1961, artículos 19 y 21.</t>
        </is>
      </c>
      <c r="M145" s="22" t="inlineStr">
        <is>
          <t>El reporte no genera aumentos automáticos de cupo; postergarlo no es neutro, porque el país queda sin información en el periodo.</t>
        </is>
      </c>
      <c r="N145" s="22" t="inlineStr">
        <is>
          <t>Convención Única de 1961, arts. 19 y 21</t>
        </is>
      </c>
      <c r="O145" s="22" t="inlineStr">
        <is>
          <t>SI</t>
        </is>
      </c>
      <c r="P145" s="16" t="inlineStr">
        <is>
          <t>Alta</t>
        </is>
      </c>
      <c r="Q145" s="16" t="inlineStr">
        <is>
          <t>v2</t>
        </is>
      </c>
      <c r="R145" s="16" t="inlineStr">
        <is>
          <t>Específico</t>
        </is>
      </c>
    </row>
    <row r="146" ht="23.25" customHeight="1" s="12">
      <c r="A146" s="22" t="inlineStr">
        <is>
          <t>F049-1</t>
        </is>
      </c>
      <c r="B146" s="22" t="inlineStr">
        <is>
          <t>comun</t>
        </is>
      </c>
      <c r="C146" s="22" t="inlineStr">
        <is>
          <t>Procedimiento administrativo (CPACA)</t>
        </is>
      </c>
      <c r="D146" s="22" t="inlineStr">
        <is>
          <t>C049</t>
        </is>
      </c>
      <c r="E146" s="22" t="inlineStr">
        <is>
          <t>Notificación de una resolución sancionatoria</t>
        </is>
      </c>
      <c r="F146" s="22" t="inlineStr">
        <is>
          <t>La resolución que sanciona a una empresa se expidió el lunes. La dirección de correspondencia registrada cambió y la empresa no responde la citación. El término para recurrir depende de cómo quede surtida la notificación.</t>
        </is>
      </c>
      <c r="G146" s="22" t="inlineStr">
        <is>
          <t>Para la notificación personal, la citación debe enviarse dentro de los</t>
        </is>
      </c>
      <c r="H146" s="22" t="inlineStr">
        <is>
          <t>Treinta (30) días siguientes a la expedición del acto</t>
        </is>
      </c>
      <c r="I146" s="22" t="inlineStr">
        <is>
          <t>Dos (2) meses siguientes a la ejecutoria</t>
        </is>
      </c>
      <c r="J146" s="22" t="inlineStr">
        <is>
          <t>Cinco (5) días siguientes a la expedición del acto</t>
        </is>
      </c>
      <c r="K146" s="22" t="inlineStr">
        <is>
          <t>C</t>
        </is>
      </c>
      <c r="L146" s="22" t="inlineStr">
        <is>
          <t>Cinco (5) días siguientes a la expedición del acto para enviar la citación a notificación personal. Ley 1437 de 2011, artículo 68.</t>
        </is>
      </c>
      <c r="M146" s="22" t="inlineStr">
        <is>
          <t>Treinta días y dos meses exceden el término legal y dejan el acto sin notificar mientras tanto.</t>
        </is>
      </c>
      <c r="N146" s="22" t="inlineStr">
        <is>
          <t>Ley 1437 de 2011, art. 68</t>
        </is>
      </c>
      <c r="O146" s="22" t="inlineStr">
        <is>
          <t>SI</t>
        </is>
      </c>
      <c r="P146" s="16" t="inlineStr">
        <is>
          <t>Basica</t>
        </is>
      </c>
      <c r="Q146" s="16" t="inlineStr">
        <is>
          <t>v2</t>
        </is>
      </c>
      <c r="R146" s="16" t="inlineStr">
        <is>
          <t>Básico</t>
        </is>
      </c>
    </row>
    <row r="147" ht="34.5" customHeight="1" s="12">
      <c r="A147" s="22" t="inlineStr">
        <is>
          <t>F049-2</t>
        </is>
      </c>
      <c r="B147" s="22" t="inlineStr">
        <is>
          <t>comun</t>
        </is>
      </c>
      <c r="C147" s="22" t="inlineStr">
        <is>
          <t>Procedimiento administrativo (CPACA)</t>
        </is>
      </c>
      <c r="D147" s="22" t="inlineStr">
        <is>
          <t>C049</t>
        </is>
      </c>
      <c r="E147" s="22" t="inlineStr">
        <is>
          <t>Notificación de una resolución sancionatoria</t>
        </is>
      </c>
      <c r="F147" s="22" t="inlineStr">
        <is>
          <t>La resolución que sanciona a una empresa se expidió el lunes. La dirección de correspondencia registrada cambió y la empresa no responde la citación. El término para recurrir depende de cómo quede surtida la notificación.</t>
        </is>
      </c>
      <c r="G147" s="22" t="inlineStr">
        <is>
          <t>Si no fue posible la notificación personal al cabo de cinco días del envío de la citación, se procede a notificar</t>
        </is>
      </c>
      <c r="H147" s="22" t="inlineStr">
        <is>
          <t>Por aviso</t>
        </is>
      </c>
      <c r="I147" s="22" t="inlineStr">
        <is>
          <t>Por edicto en cartelera durante un año</t>
        </is>
      </c>
      <c r="J147" s="22" t="inlineStr">
        <is>
          <t>Verbalmente por teléfono</t>
        </is>
      </c>
      <c r="K147" s="22" t="inlineStr">
        <is>
          <t>A</t>
        </is>
      </c>
      <c r="L147" s="22" t="inlineStr">
        <is>
          <t>Si no se logra la notificación personal, se notifica por aviso con copia íntegra del acto. Ley 1437 de 2011, artículo 69.</t>
        </is>
      </c>
      <c r="M147" s="22" t="inlineStr">
        <is>
          <t>El edicto en cartelera por un año no existe en el procedimiento actual; la notificación telefónica no deja constancia ni entrega copia del acto.</t>
        </is>
      </c>
      <c r="N147" s="22" t="inlineStr">
        <is>
          <t>Ley 1437 de 2011, art. 69</t>
        </is>
      </c>
      <c r="O147" s="22" t="inlineStr">
        <is>
          <t>SI</t>
        </is>
      </c>
      <c r="P147" s="16" t="inlineStr">
        <is>
          <t>Basica</t>
        </is>
      </c>
      <c r="Q147" s="16" t="inlineStr">
        <is>
          <t>v2</t>
        </is>
      </c>
      <c r="R147" s="16" t="inlineStr">
        <is>
          <t>Básico</t>
        </is>
      </c>
    </row>
    <row r="148" ht="34.5" customHeight="1" s="12">
      <c r="A148" s="22" t="inlineStr">
        <is>
          <t>F049-3</t>
        </is>
      </c>
      <c r="B148" s="22" t="inlineStr">
        <is>
          <t>comun</t>
        </is>
      </c>
      <c r="C148" s="22" t="inlineStr">
        <is>
          <t>Procedimiento administrativo (CPACA)</t>
        </is>
      </c>
      <c r="D148" s="22" t="inlineStr">
        <is>
          <t>C049</t>
        </is>
      </c>
      <c r="E148" s="22" t="inlineStr">
        <is>
          <t>Notificación de una resolución sancionatoria</t>
        </is>
      </c>
      <c r="F148" s="22" t="inlineStr">
        <is>
          <t>La resolución que sanciona a una empresa se expidió el lunes. La dirección de correspondencia registrada cambió y la empresa no responde la citación. El término para recurrir depende de cómo quede surtida la notificación.</t>
        </is>
      </c>
      <c r="G148" s="22" t="inlineStr">
        <is>
          <t>Una vez notificado el acto definitivo, los recursos de reposición y apelación pueden interponerse dentro de los</t>
        </is>
      </c>
      <c r="H148" s="22" t="inlineStr">
        <is>
          <t>Diez (10) días siguientes</t>
        </is>
      </c>
      <c r="I148" s="22" t="inlineStr">
        <is>
          <t>Treinta (30) días siguientes</t>
        </is>
      </c>
      <c r="J148" s="22" t="inlineStr">
        <is>
          <t>Tres (3) días siguientes</t>
        </is>
      </c>
      <c r="K148" s="22" t="inlineStr">
        <is>
          <t>A</t>
        </is>
      </c>
      <c r="L148" s="22" t="inlineStr">
        <is>
          <t>Diez (10) días siguientes a la notificación para interponer reposición y apelación. Ley 1437 de 2011, artículo 76.</t>
        </is>
      </c>
      <c r="M148" s="22" t="inlineStr">
        <is>
          <t>Treinta días corresponden a otras actuaciones; tres días es el término de impugnación de la tutela, no de los recursos administrativos.</t>
        </is>
      </c>
      <c r="N148" s="22" t="inlineStr">
        <is>
          <t>Ley 1437 de 2011, art. 76</t>
        </is>
      </c>
      <c r="O148" s="22" t="inlineStr">
        <is>
          <t>SI</t>
        </is>
      </c>
      <c r="P148" s="16" t="inlineStr">
        <is>
          <t>Basica</t>
        </is>
      </c>
      <c r="Q148" s="16" t="inlineStr">
        <is>
          <t>v2</t>
        </is>
      </c>
      <c r="R148" s="16" t="inlineStr">
        <is>
          <t>Básico</t>
        </is>
      </c>
    </row>
    <row r="149" ht="34.5" customHeight="1" s="12">
      <c r="A149" s="22" t="inlineStr">
        <is>
          <t>F050-1</t>
        </is>
      </c>
      <c r="B149" s="22" t="inlineStr">
        <is>
          <t>comun</t>
        </is>
      </c>
      <c r="C149" s="22" t="inlineStr">
        <is>
          <t>Procedimiento administrativo (CPACA)</t>
        </is>
      </c>
      <c r="D149" s="22" t="inlineStr">
        <is>
          <t>C050</t>
        </is>
      </c>
      <c r="E149" s="22" t="inlineStr">
        <is>
          <t>Recursos contra la decisión del director</t>
        </is>
      </c>
      <c r="F149" s="22" t="inlineStr">
        <is>
          <t>El director general firma la resolución que resuelve de fondo una actuación sancionatoria. El apoderado anuncia apelación ante el Ministerio y, si se la rechazan, recurso de queja. Usted debe explicarle qué procede.</t>
        </is>
      </c>
      <c r="G149" s="22" t="inlineStr">
        <is>
          <t>Contra las decisiones de los representantes legales de las entidades descentralizadas procede</t>
        </is>
      </c>
      <c r="H149" s="22" t="inlineStr">
        <is>
          <t>El recurso de apelación ante el ministro de salud, como superior del sector</t>
        </is>
      </c>
      <c r="I149" s="22" t="inlineStr">
        <is>
          <t>Solo el recurso de reposición</t>
        </is>
      </c>
      <c r="J149" s="22" t="inlineStr">
        <is>
          <t>El recurso de queja como regla general, en lugar de la apelación</t>
        </is>
      </c>
      <c r="K149" s="22" t="inlineStr">
        <is>
          <t>B</t>
        </is>
      </c>
      <c r="L149" s="22" t="inlineStr">
        <is>
          <t>El CPACA excluye la apelación contra las decisiones de los representantes legales de entidades descentralizadas.</t>
        </is>
      </c>
      <c r="M149" s="22" t="inlineStr">
        <is>
          <t>La apelación ante el ministro desconoce que estas entidades tienen autonomía; la queja solo procede cuando se rechaza una apelación que sí cabía.</t>
        </is>
      </c>
      <c r="N149" s="22" t="inlineStr">
        <is>
          <t>Ley 1437 de 2011, arts. 74 y 75</t>
        </is>
      </c>
      <c r="O149" s="22" t="inlineStr">
        <is>
          <t>SI</t>
        </is>
      </c>
      <c r="P149" s="16" t="inlineStr">
        <is>
          <t>Alta</t>
        </is>
      </c>
      <c r="Q149" s="16" t="inlineStr">
        <is>
          <t>v2</t>
        </is>
      </c>
      <c r="R149" s="16" t="inlineStr">
        <is>
          <t>Básico</t>
        </is>
      </c>
    </row>
    <row r="150" ht="34.5" customHeight="1" s="12">
      <c r="A150" s="22" t="inlineStr">
        <is>
          <t>F050-2</t>
        </is>
      </c>
      <c r="B150" s="22" t="inlineStr">
        <is>
          <t>comun</t>
        </is>
      </c>
      <c r="C150" s="22" t="inlineStr">
        <is>
          <t>Procedimiento administrativo (CPACA)</t>
        </is>
      </c>
      <c r="D150" s="22" t="inlineStr">
        <is>
          <t>C050</t>
        </is>
      </c>
      <c r="E150" s="22" t="inlineStr">
        <is>
          <t>Recursos contra la decisión del director</t>
        </is>
      </c>
      <c r="F150" s="22" t="inlineStr">
        <is>
          <t>El director general firma la resolución que resuelve de fondo una actuación sancionatoria. El apoderado anuncia apelación ante el Ministerio y, si se la rechazan, recurso de queja. Usted debe explicarle qué procede.</t>
        </is>
      </c>
      <c r="G150" s="22" t="inlineStr">
        <is>
          <t>No procede recurso contra los actos</t>
        </is>
      </c>
      <c r="H150" s="22" t="inlineStr">
        <is>
          <t>Generales, de trámite, preparatorios o de ejecución</t>
        </is>
      </c>
      <c r="I150" s="22" t="inlineStr">
        <is>
          <t>Definitivos de carácter particular y concreto</t>
        </is>
      </c>
      <c r="J150" s="22" t="inlineStr">
        <is>
          <t>Que imponen sanciones a un particular vigilado</t>
        </is>
      </c>
      <c r="K150" s="22" t="inlineStr">
        <is>
          <t>A</t>
        </is>
      </c>
      <c r="L150" s="22" t="inlineStr">
        <is>
          <t>El artículo 75 del CPACA declara improcedentes los recursos contra esos actos.</t>
        </is>
      </c>
      <c r="M150" s="22" t="inlineStr">
        <is>
          <t>Contra los actos definitivos de carácter particular sí proceden recursos, y con mayor razón contra los que imponen sanciones.</t>
        </is>
      </c>
      <c r="N150" s="22" t="inlineStr">
        <is>
          <t>Ley 1437 de 2011, arts. 74 y 75</t>
        </is>
      </c>
      <c r="O150" s="22" t="inlineStr">
        <is>
          <t>SI</t>
        </is>
      </c>
      <c r="P150" s="16" t="inlineStr">
        <is>
          <t>Alta</t>
        </is>
      </c>
      <c r="Q150" s="16" t="inlineStr">
        <is>
          <t>v2</t>
        </is>
      </c>
      <c r="R150" s="16" t="inlineStr">
        <is>
          <t>Básico</t>
        </is>
      </c>
    </row>
    <row r="151" ht="34.5" customHeight="1" s="12">
      <c r="A151" s="22" t="inlineStr">
        <is>
          <t>F050-3</t>
        </is>
      </c>
      <c r="B151" s="22" t="inlineStr">
        <is>
          <t>comun</t>
        </is>
      </c>
      <c r="C151" s="22" t="inlineStr">
        <is>
          <t>Procedimiento administrativo (CPACA)</t>
        </is>
      </c>
      <c r="D151" s="22" t="inlineStr">
        <is>
          <t>C050</t>
        </is>
      </c>
      <c r="E151" s="22" t="inlineStr">
        <is>
          <t>Recursos contra la decisión del director</t>
        </is>
      </c>
      <c r="F151" s="22" t="inlineStr">
        <is>
          <t>El director general firma la resolución que resuelve de fondo una actuación sancionatoria. El apoderado anuncia apelación ante el Ministerio y, si se la rechazan, recurso de queja. Usted debe explicarle qué procede.</t>
        </is>
      </c>
      <c r="G151" s="22" t="inlineStr">
        <is>
          <t>El recurso de queja procede cuando</t>
        </is>
      </c>
      <c r="H151" s="22" t="inlineStr">
        <is>
          <t>Se niega una petición de información</t>
        </is>
      </c>
      <c r="I151" s="22" t="inlineStr">
        <is>
          <t>Se rechaza el recurso de apelación</t>
        </is>
      </c>
      <c r="J151" s="22" t="inlineStr">
        <is>
          <t>Vence el término para decidir</t>
        </is>
      </c>
      <c r="K151" s="22" t="inlineStr">
        <is>
          <t>B</t>
        </is>
      </c>
      <c r="L151" s="22" t="inlineStr">
        <is>
          <t>La queja se interpone cuando se rechaza la apelación.</t>
        </is>
      </c>
      <c r="M151" s="22" t="inlineStr">
        <is>
          <t>La negativa de información se controvierte por otra vía; el vencimiento del término genera silencio, no recurso de queja.</t>
        </is>
      </c>
      <c r="N151" s="22" t="inlineStr">
        <is>
          <t>Ley 1437 de 2011, arts. 74 y 75</t>
        </is>
      </c>
      <c r="O151" s="22" t="inlineStr">
        <is>
          <t>SI</t>
        </is>
      </c>
      <c r="P151" s="16" t="inlineStr">
        <is>
          <t>Alta</t>
        </is>
      </c>
      <c r="Q151" s="16" t="inlineStr">
        <is>
          <t>v2</t>
        </is>
      </c>
      <c r="R151" s="16" t="inlineStr">
        <is>
          <t>Básico</t>
        </is>
      </c>
    </row>
    <row r="152" ht="34.5" customHeight="1" s="12">
      <c r="A152" s="22" t="inlineStr">
        <is>
          <t>F051-1</t>
        </is>
      </c>
      <c r="B152" s="22" t="inlineStr">
        <is>
          <t>comun</t>
        </is>
      </c>
      <c r="C152" s="22" t="inlineStr">
        <is>
          <t>Procedimiento administrativo (CPACA)</t>
        </is>
      </c>
      <c r="D152" s="22" t="inlineStr">
        <is>
          <t>C051</t>
        </is>
      </c>
      <c r="E152" s="22" t="inlineStr">
        <is>
          <t>Silencio y revocatoria directa</t>
        </is>
      </c>
      <c r="F152" s="22" t="inlineStr">
        <is>
          <t>Un ciudadano radicó una petición hace cuatro meses y no ha recibido respuesta. Además, pide revocar una resolución de 2023 que, según él, aplicó una norma derogada. La entidad no ha hecho ninguna actuación.</t>
        </is>
      </c>
      <c r="G152" s="22" t="inlineStr">
        <is>
          <t>Transcurridos tres meses sin que se notifique decisión que resuelva la petición, por regla general se entiende que</t>
        </is>
      </c>
      <c r="H152" s="22" t="inlineStr">
        <is>
          <t>La decisión es negativa</t>
        </is>
      </c>
      <c r="I152" s="22" t="inlineStr">
        <is>
          <t>La decisión es positiva, porque el silencio favorece al peticionario</t>
        </is>
      </c>
      <c r="J152" s="22" t="inlineStr">
        <is>
          <t>La petición quedó archivada sin efectos por falta de impulso</t>
        </is>
      </c>
      <c r="K152" s="22" t="inlineStr">
        <is>
          <t>A</t>
        </is>
      </c>
      <c r="L152" s="22" t="inlineStr">
        <is>
          <t>Tres (3) meses sin decisión notificada configuran silencio administrativo negativo. Ley 1437 de 2011, artículo 83.</t>
        </is>
      </c>
      <c r="M152" s="22" t="inlineStr">
        <is>
          <t>El silencio positivo requiere norma expresa que lo prevea; el archivo sin efectos no existe como consecuencia del paso del tiempo.</t>
        </is>
      </c>
      <c r="N152" s="22" t="inlineStr">
        <is>
          <t>Ley 1437 de 2011, art. 83</t>
        </is>
      </c>
      <c r="O152" s="22" t="inlineStr">
        <is>
          <t>SI</t>
        </is>
      </c>
      <c r="P152" s="16" t="inlineStr">
        <is>
          <t>Basica</t>
        </is>
      </c>
      <c r="Q152" s="16" t="inlineStr">
        <is>
          <t>v2</t>
        </is>
      </c>
      <c r="R152" s="16" t="inlineStr">
        <is>
          <t>Básico</t>
        </is>
      </c>
    </row>
    <row r="153" ht="34.5" customHeight="1" s="12">
      <c r="A153" s="22" t="inlineStr">
        <is>
          <t>F051-2</t>
        </is>
      </c>
      <c r="B153" s="22" t="inlineStr">
        <is>
          <t>comun</t>
        </is>
      </c>
      <c r="C153" s="22" t="inlineStr">
        <is>
          <t>Procedimiento administrativo (CPACA)</t>
        </is>
      </c>
      <c r="D153" s="22" t="inlineStr">
        <is>
          <t>C051</t>
        </is>
      </c>
      <c r="E153" s="22" t="inlineStr">
        <is>
          <t>Silencio y revocatoria directa</t>
        </is>
      </c>
      <c r="F153" s="22" t="inlineStr">
        <is>
          <t>Un ciudadano radicó una petición hace cuatro meses y no ha recibido respuesta. Además, pide revocar una resolución de 2023 que, según él, aplicó una norma derogada. La entidad no ha hecho ninguna actuación.</t>
        </is>
      </c>
      <c r="G153" s="22" t="inlineStr">
        <is>
          <t>El silencio administrativo negativo</t>
        </is>
      </c>
      <c r="H153" s="22" t="inlineStr">
        <is>
          <t>Impide que el ciudadano acuda al juez hasta que la entidad se pronuncie</t>
        </is>
      </c>
      <c r="I153" s="22" t="inlineStr">
        <is>
          <t>No exime a la autoridad de responder</t>
        </is>
      </c>
      <c r="J153" s="22" t="inlineStr">
        <is>
          <t>Extingue el deber de responder</t>
        </is>
      </c>
      <c r="K153" s="22" t="inlineStr">
        <is>
          <t>B</t>
        </is>
      </c>
      <c r="L153" s="22" t="inlineStr">
        <is>
          <t>El silencio negativo no releva del deber de resolver: la autoridad sigue obligada a responder. Ley 1437 de 2011, artículo 83.</t>
        </is>
      </c>
      <c r="M153" s="22" t="inlineStr">
        <is>
          <t>Sostener que impide acudir al juez es lo contrario: habilita demandar; afirmar que extingue el deber libera a la autoridad de responder.</t>
        </is>
      </c>
      <c r="N153" s="22" t="inlineStr">
        <is>
          <t>Ley 1437 de 2011, art. 83</t>
        </is>
      </c>
      <c r="O153" s="22" t="inlineStr">
        <is>
          <t>SI</t>
        </is>
      </c>
      <c r="P153" s="16" t="inlineStr">
        <is>
          <t>Basica</t>
        </is>
      </c>
      <c r="Q153" s="16" t="inlineStr">
        <is>
          <t>v2</t>
        </is>
      </c>
      <c r="R153" s="16" t="inlineStr">
        <is>
          <t>Básico</t>
        </is>
      </c>
    </row>
    <row r="154" ht="34.5" customHeight="1" s="12">
      <c r="A154" s="22" t="inlineStr">
        <is>
          <t>F051-3</t>
        </is>
      </c>
      <c r="B154" s="22" t="inlineStr">
        <is>
          <t>comun</t>
        </is>
      </c>
      <c r="C154" s="22" t="inlineStr">
        <is>
          <t>Procedimiento administrativo (CPACA)</t>
        </is>
      </c>
      <c r="D154" s="22" t="inlineStr">
        <is>
          <t>C051</t>
        </is>
      </c>
      <c r="E154" s="22" t="inlineStr">
        <is>
          <t>Silencio y revocatoria directa</t>
        </is>
      </c>
      <c r="F154" s="22" t="inlineStr">
        <is>
          <t>Un ciudadano radicó una petición hace cuatro meses y no ha recibido respuesta. Además, pide revocar una resolución de 2023 que, según él, aplicó una norma derogada. La entidad no ha hecho ninguna actuación.</t>
        </is>
      </c>
      <c r="G154" s="22" t="inlineStr">
        <is>
          <t>Una causal para revocar directamente un acto administrativo es que</t>
        </is>
      </c>
      <c r="H154" s="22" t="inlineStr">
        <is>
          <t>Sea manifiestamente contrario a la Constitución o a la ley</t>
        </is>
      </c>
      <c r="I154" s="22" t="inlineStr">
        <is>
          <t>El funcionario que lo expidió ya no trabaje en la entidad</t>
        </is>
      </c>
      <c r="J154" s="22" t="inlineStr">
        <is>
          <t>Haya pasado más de un año desde su expedición</t>
        </is>
      </c>
      <c r="K154" s="22" t="inlineStr">
        <is>
          <t>A</t>
        </is>
      </c>
      <c r="L154" s="22" t="inlineStr">
        <is>
          <t>El artículo 93 del CPACA enumera las causales de revocatoria directa.</t>
        </is>
      </c>
      <c r="M154" s="22" t="inlineStr">
        <is>
          <t>Que el funcionario ya no trabaje en la entidad no afecta la validez del acto; el paso de un año no es causal de revocatoria.</t>
        </is>
      </c>
      <c r="N154" s="22" t="inlineStr">
        <is>
          <t>Ley 1437 de 2011, arts. 83 y 93</t>
        </is>
      </c>
      <c r="O154" s="22" t="inlineStr">
        <is>
          <t>SI</t>
        </is>
      </c>
      <c r="P154" s="16" t="inlineStr">
        <is>
          <t>Basica</t>
        </is>
      </c>
      <c r="Q154" s="16" t="inlineStr">
        <is>
          <t>v2</t>
        </is>
      </c>
      <c r="R154" s="16" t="inlineStr">
        <is>
          <t>Básico</t>
        </is>
      </c>
    </row>
    <row r="155" ht="34.5" customHeight="1" s="12">
      <c r="A155" s="22" t="inlineStr">
        <is>
          <t>F052-1</t>
        </is>
      </c>
      <c r="B155" s="22" t="inlineStr">
        <is>
          <t>comun</t>
        </is>
      </c>
      <c r="C155" s="22" t="inlineStr">
        <is>
          <t>Atención al ciudadano y derecho de petición</t>
        </is>
      </c>
      <c r="D155" s="22" t="inlineStr">
        <is>
          <t>C052</t>
        </is>
      </c>
      <c r="E155" s="22" t="inlineStr">
        <is>
          <t>Tres peticiones en un mismo día</t>
        </is>
      </c>
      <c r="F155" s="22" t="inlineStr">
        <is>
          <t>Un ciudadano llega a la ventanilla y dicta verbalmente su petición sobre un producto que compró. El mismo día, otra entidad pide información por oficio, y un tercero pregunta cuánto cuesta radicar una petición.</t>
        </is>
      </c>
      <c r="G155" s="22" t="inlineStr">
        <is>
          <t>Sobre la petición verbal, es correcto que</t>
        </is>
      </c>
      <c r="H155" s="22" t="inlineStr">
        <is>
          <t>Es válida: se recibe, se tramita y se deja constancia</t>
        </is>
      </c>
      <c r="I155" s="22" t="inlineStr">
        <is>
          <t>Debe verificarse que conste por escrito y con firma</t>
        </is>
      </c>
      <c r="J155" s="22" t="inlineStr">
        <is>
          <t>Debe exigirse que la radique por escrito</t>
        </is>
      </c>
      <c r="K155" s="22" t="inlineStr">
        <is>
          <t>A</t>
        </is>
      </c>
      <c r="L155" s="22" t="inlineStr">
        <is>
          <t>La Ley 1755 de 2015 permite presentar peticiones en forma verbal.</t>
        </is>
      </c>
      <c r="M155" s="22" t="inlineStr">
        <is>
          <t>Exigir que sea escrita agrega un requisito que la ley no impone; pedir abogado desconoce que el derecho de petición se ejerce sin intermediarios.</t>
        </is>
      </c>
      <c r="N155" s="22" t="inlineStr">
        <is>
          <t>Ley 1755 de 2015; Ley 1437 de 2011, art. 30</t>
        </is>
      </c>
      <c r="O155" s="22" t="inlineStr">
        <is>
          <t>SI</t>
        </is>
      </c>
      <c r="P155" s="16" t="inlineStr">
        <is>
          <t>Media</t>
        </is>
      </c>
      <c r="Q155" s="16" t="inlineStr">
        <is>
          <t>v2</t>
        </is>
      </c>
      <c r="R155" s="16" t="inlineStr">
        <is>
          <t>Básico</t>
        </is>
      </c>
    </row>
    <row r="156" ht="34.5" customHeight="1" s="12">
      <c r="A156" s="22" t="inlineStr">
        <is>
          <t>F052-2</t>
        </is>
      </c>
      <c r="B156" s="22" t="inlineStr">
        <is>
          <t>comun</t>
        </is>
      </c>
      <c r="C156" s="22" t="inlineStr">
        <is>
          <t>Atención al ciudadano y derecho de petición</t>
        </is>
      </c>
      <c r="D156" s="22" t="inlineStr">
        <is>
          <t>C052</t>
        </is>
      </c>
      <c r="E156" s="22" t="inlineStr">
        <is>
          <t>Tres peticiones en un mismo día</t>
        </is>
      </c>
      <c r="F156" s="22" t="inlineStr">
        <is>
          <t>Un ciudadano llega a la ventanilla y dicta verbalmente su petición sobre un producto que compró. El mismo día, otra entidad pide información por oficio, y un tercero pregunta cuánto cuesta radicar una petición.</t>
        </is>
      </c>
      <c r="G156" s="22" t="inlineStr">
        <is>
          <t>Cuando una autoridad pide información a otra, el término para responder es de</t>
        </is>
      </c>
      <c r="H156" s="22" t="inlineStr">
        <is>
          <t>Diez (10) días</t>
        </is>
      </c>
      <c r="I156" s="22" t="inlineStr">
        <is>
          <t>Quince (15) días</t>
        </is>
      </c>
      <c r="J156" s="22" t="inlineStr">
        <is>
          <t>Treinta (30) días</t>
        </is>
      </c>
      <c r="K156" s="22" t="inlineStr">
        <is>
          <t>A</t>
        </is>
      </c>
      <c r="L156" s="22" t="inlineStr">
        <is>
          <t>Diez (10) días para responder las peticiones entre autoridades. Ley 1755 de 2015, artículo 30.</t>
        </is>
      </c>
      <c r="M156" s="22" t="inlineStr">
        <is>
          <t>Quince días es el término general de las peticiones de los particulares; treinta días corresponde a las consultas.</t>
        </is>
      </c>
      <c r="N156" s="22" t="inlineStr">
        <is>
          <t>Ley 1755 de 2015, art. 30</t>
        </is>
      </c>
      <c r="O156" s="22" t="inlineStr">
        <is>
          <t>SI</t>
        </is>
      </c>
      <c r="P156" s="16" t="inlineStr">
        <is>
          <t>Media</t>
        </is>
      </c>
      <c r="Q156" s="16" t="inlineStr">
        <is>
          <t>v2</t>
        </is>
      </c>
      <c r="R156" s="16" t="inlineStr">
        <is>
          <t>Básico</t>
        </is>
      </c>
    </row>
    <row r="157" ht="34.5" customHeight="1" s="12">
      <c r="A157" s="22" t="inlineStr">
        <is>
          <t>F052-3</t>
        </is>
      </c>
      <c r="B157" s="22" t="inlineStr">
        <is>
          <t>comun</t>
        </is>
      </c>
      <c r="C157" s="22" t="inlineStr">
        <is>
          <t>Atención al ciudadano y derecho de petición</t>
        </is>
      </c>
      <c r="D157" s="22" t="inlineStr">
        <is>
          <t>C052</t>
        </is>
      </c>
      <c r="E157" s="22" t="inlineStr">
        <is>
          <t>Tres peticiones en un mismo día</t>
        </is>
      </c>
      <c r="F157" s="22" t="inlineStr">
        <is>
          <t>Un ciudadano llega a la ventanilla y dicta verbalmente su petición sobre un producto que compró. El mismo día, otra entidad pide información por oficio, y un tercero pregunta cuánto cuesta radicar una petición.</t>
        </is>
      </c>
      <c r="G157" s="22" t="inlineStr">
        <is>
          <t>Por regla general, presentar una petición</t>
        </is>
      </c>
      <c r="H157" s="22" t="inlineStr">
        <is>
          <t>Tiene un costo fijado por cada entidad</t>
        </is>
      </c>
      <c r="I157" s="22" t="inlineStr">
        <is>
          <t>Es gratuito, salvo el costo de las copias que se expidan</t>
        </is>
      </c>
      <c r="J157" s="22" t="inlineStr">
        <is>
          <t>Requiere estampilla y el pago previo de la radicación</t>
        </is>
      </c>
      <c r="K157" s="22" t="inlineStr">
        <is>
          <t>B</t>
        </is>
      </c>
      <c r="L157" s="22" t="inlineStr">
        <is>
          <t>El derecho de petición es gratuito y no exige apoderado; solo se cobran las copias. Ley 1755 de 2015, artículo 13.</t>
        </is>
      </c>
      <c r="M157" s="22" t="inlineStr">
        <is>
          <t>Fijar un costo por entidad convierte en oneroso un derecho gratuito; exigir estampilla traslada al ciudadano una carga tributaria improcedente.</t>
        </is>
      </c>
      <c r="N157" s="22" t="inlineStr">
        <is>
          <t>Ley 1755 de 2015, art. 13</t>
        </is>
      </c>
      <c r="O157" s="22" t="inlineStr">
        <is>
          <t>SI</t>
        </is>
      </c>
      <c r="P157" s="16" t="inlineStr">
        <is>
          <t>Media</t>
        </is>
      </c>
      <c r="Q157" s="16" t="inlineStr">
        <is>
          <t>v2</t>
        </is>
      </c>
      <c r="R157" s="16" t="inlineStr">
        <is>
          <t>Básico</t>
        </is>
      </c>
    </row>
    <row r="158" ht="23.25" customHeight="1" s="12">
      <c r="A158" s="22" t="inlineStr">
        <is>
          <t>F053-1</t>
        </is>
      </c>
      <c r="B158" s="22" t="inlineStr">
        <is>
          <t>comun</t>
        </is>
      </c>
      <c r="C158" s="22" t="inlineStr">
        <is>
          <t>Transparencia y acceso a la información pública</t>
        </is>
      </c>
      <c r="D158" s="22" t="inlineStr">
        <is>
          <t>C053</t>
        </is>
      </c>
      <c r="E158" s="22" t="inlineStr">
        <is>
          <t>Instrumentos de información pública</t>
        </is>
      </c>
      <c r="F158" s="22" t="inlineStr">
        <is>
          <t>La oficina de planeación debe actualizar los instrumentos de información pública. Un periodista pidió un expediente reservado, y la entidad no tiene índice que diga qué información clasifica.</t>
        </is>
      </c>
      <c r="G158" s="22" t="inlineStr">
        <is>
          <t>El principio según el cual toda información en poder de los sujetos obligados se presume pública es el de</t>
        </is>
      </c>
      <c r="H158" s="22" t="inlineStr">
        <is>
          <t>Máxima publicidad</t>
        </is>
      </c>
      <c r="I158" s="22" t="inlineStr">
        <is>
          <t>Reserva legal</t>
        </is>
      </c>
      <c r="J158" s="22" t="inlineStr">
        <is>
          <t>Confidencialidad</t>
        </is>
      </c>
      <c r="K158" s="22" t="inlineStr">
        <is>
          <t>A</t>
        </is>
      </c>
      <c r="L158" s="22" t="inlineStr">
        <is>
          <t>La Ley 1712 de 2014 consagra el principio de máxima publicidad.</t>
        </is>
      </c>
      <c r="M158" s="22" t="inlineStr">
        <is>
          <t>La reserva legal es la excepción, no el principio; la confidencialidad protege datos puntuales y no rige toda la información pública.</t>
        </is>
      </c>
      <c r="N158" s="22" t="inlineStr">
        <is>
          <t>Ley 1712 de 2014, arts. 2, 20 y 22</t>
        </is>
      </c>
      <c r="O158" s="22" t="inlineStr">
        <is>
          <t>SI</t>
        </is>
      </c>
      <c r="P158" s="16" t="inlineStr">
        <is>
          <t>Basica</t>
        </is>
      </c>
      <c r="Q158" s="16" t="inlineStr">
        <is>
          <t>v2</t>
        </is>
      </c>
      <c r="R158" s="16" t="inlineStr">
        <is>
          <t>Básico</t>
        </is>
      </c>
    </row>
    <row r="159" ht="23.25" customHeight="1" s="12">
      <c r="A159" s="22" t="inlineStr">
        <is>
          <t>F053-2</t>
        </is>
      </c>
      <c r="B159" s="22" t="inlineStr">
        <is>
          <t>comun</t>
        </is>
      </c>
      <c r="C159" s="22" t="inlineStr">
        <is>
          <t>Transparencia y acceso a la información pública</t>
        </is>
      </c>
      <c r="D159" s="22" t="inlineStr">
        <is>
          <t>C053</t>
        </is>
      </c>
      <c r="E159" s="22" t="inlineStr">
        <is>
          <t>Instrumentos de información pública</t>
        </is>
      </c>
      <c r="F159" s="22" t="inlineStr">
        <is>
          <t>La oficina de planeación debe actualizar los instrumentos de información pública. Un periodista pidió un expediente reservado, y la entidad no tiene índice que diga qué información clasifica.</t>
        </is>
      </c>
      <c r="G159" s="22" t="inlineStr">
        <is>
          <t>La reserva de una información pública reservada puede extenderse por un término máximo de</t>
        </is>
      </c>
      <c r="H159" s="22" t="inlineStr">
        <is>
          <t>Cincuenta (50) años</t>
        </is>
      </c>
      <c r="I159" s="22" t="inlineStr">
        <is>
          <t>Cinco (5) años</t>
        </is>
      </c>
      <c r="J159" s="22" t="inlineStr">
        <is>
          <t>Quince (15) años</t>
        </is>
      </c>
      <c r="K159" s="22" t="inlineStr">
        <is>
          <t>C</t>
        </is>
      </c>
      <c r="L159" s="22" t="inlineStr">
        <is>
          <t>Quince (15) años es el máximo de la reserva de la información pública clasificada o reservada. Ley 1712 de 2014, artículo 22.</t>
        </is>
      </c>
      <c r="M159" s="22" t="inlineStr">
        <is>
          <t>Cincuenta años excede el máximo legal; cinco años se queda corto frente al término que fija la ley.</t>
        </is>
      </c>
      <c r="N159" s="22" t="inlineStr">
        <is>
          <t>Ley 1712 de 2014, arts. 18, 19 y 22</t>
        </is>
      </c>
      <c r="O159" s="22" t="inlineStr">
        <is>
          <t>SI</t>
        </is>
      </c>
      <c r="P159" s="16" t="inlineStr">
        <is>
          <t>Basica</t>
        </is>
      </c>
      <c r="Q159" s="16" t="inlineStr">
        <is>
          <t>v2</t>
        </is>
      </c>
      <c r="R159" s="16" t="inlineStr">
        <is>
          <t>Básico</t>
        </is>
      </c>
    </row>
    <row r="160" ht="23.25" customHeight="1" s="12">
      <c r="A160" s="22" t="inlineStr">
        <is>
          <t>F053-3</t>
        </is>
      </c>
      <c r="B160" s="22" t="inlineStr">
        <is>
          <t>comun</t>
        </is>
      </c>
      <c r="C160" s="22" t="inlineStr">
        <is>
          <t>Transparencia y acceso a la información pública</t>
        </is>
      </c>
      <c r="D160" s="22" t="inlineStr">
        <is>
          <t>C053</t>
        </is>
      </c>
      <c r="E160" s="22" t="inlineStr">
        <is>
          <t>Instrumentos de información pública</t>
        </is>
      </c>
      <c r="F160" s="22" t="inlineStr">
        <is>
          <t>La oficina de planeación debe actualizar los instrumentos de información pública. Un periodista pidió un expediente reservado, y la entidad no tiene índice que diga qué información clasifica.</t>
        </is>
      </c>
      <c r="G160" s="22" t="inlineStr">
        <is>
          <t>El instrumento que identifica la información que la entidad clasifica o reserva es</t>
        </is>
      </c>
      <c r="H160" s="22" t="inlineStr">
        <is>
          <t>El índice de información clasificada y reservada</t>
        </is>
      </c>
      <c r="I160" s="22" t="inlineStr">
        <is>
          <t>El esquema de publicación de la información</t>
        </is>
      </c>
      <c r="J160" s="22" t="inlineStr">
        <is>
          <t>El inventario documental y la tabla de retención</t>
        </is>
      </c>
      <c r="K160" s="22" t="inlineStr">
        <is>
          <t>A</t>
        </is>
      </c>
      <c r="L160" s="22" t="inlineStr">
        <is>
          <t>La Ley 1712 de 2014 exige a los sujetos obligados mantener este índice.</t>
        </is>
      </c>
      <c r="M160" s="22" t="inlineStr">
        <is>
          <t>El esquema de publicación organiza qué se publica y cuándo; el inventario documental y la tabla de retención organizan el archivo, sin decir qué información está reservada.</t>
        </is>
      </c>
      <c r="N160" s="22" t="inlineStr">
        <is>
          <t>Ley 1712 de 2014, arts. 2, 20 y 22</t>
        </is>
      </c>
      <c r="O160" s="22" t="inlineStr">
        <is>
          <t>SI</t>
        </is>
      </c>
      <c r="P160" s="16" t="inlineStr">
        <is>
          <t>Basica</t>
        </is>
      </c>
      <c r="Q160" s="16" t="inlineStr">
        <is>
          <t>v2</t>
        </is>
      </c>
      <c r="R160" s="16" t="inlineStr">
        <is>
          <t>Básico</t>
        </is>
      </c>
    </row>
    <row r="161" ht="23.25" customHeight="1" s="12">
      <c r="A161" s="22" t="inlineStr">
        <is>
          <t>F054-1</t>
        </is>
      </c>
      <c r="B161" s="22" t="inlineStr">
        <is>
          <t>comun</t>
        </is>
      </c>
      <c r="C161" s="22" t="inlineStr">
        <is>
          <t>Ética, integridad y conflicto de interés</t>
        </is>
      </c>
      <c r="D161" s="22" t="inlineStr">
        <is>
          <t>C054</t>
        </is>
      </c>
      <c r="E161" s="22" t="inlineStr">
        <is>
          <t>Tres conductas en una jornada de integridad</t>
        </is>
      </c>
      <c r="F161" s="22" t="inlineStr">
        <is>
          <t>En una jornada de integridad, los servidores discuten un caso: un funcionario aceptó un almuerzo de un vigilado, otro no publicó su declaración de bienes y un tercero apuró un trámite de su vecino.</t>
        </is>
      </c>
      <c r="G161" s="22" t="inlineStr">
        <is>
          <t>Los valores del Código de Integridad del servicio público son</t>
        </is>
      </c>
      <c r="H161" s="22" t="inlineStr">
        <is>
          <t>Eficiencia, eficacia, efectividad, economía y equidad</t>
        </is>
      </c>
      <c r="I161" s="22" t="inlineStr">
        <is>
          <t>Honestidad, respeto, compromiso, diligencia y justicia</t>
        </is>
      </c>
      <c r="J161" s="22" t="inlineStr">
        <is>
          <t>Lealtad, obediencia, discreción, rapidez y austeridad</t>
        </is>
      </c>
      <c r="K161" s="22" t="inlineStr">
        <is>
          <t>B</t>
        </is>
      </c>
      <c r="L161" s="22" t="inlineStr">
        <is>
          <t>Los valores del Código de Integridad son honestidad, respeto, compromiso, diligencia y justicia. Decreto 1499 de 2017, artículo 2.2.22.2.1 (política de integridad dentro de MIPG).</t>
        </is>
      </c>
      <c r="M161" s="22" t="inlineStr">
        <is>
          <t>Eficiencia y eficacia son principios de gestión, no valores del código; lealtad y obediencia describen otra idea de servicio público.</t>
        </is>
      </c>
      <c r="N161" s="22" t="inlineStr">
        <is>
          <t>Decreto 1499 de 2017, art. 2.2.22.2.1</t>
        </is>
      </c>
      <c r="O161" s="22" t="inlineStr">
        <is>
          <t>SI</t>
        </is>
      </c>
      <c r="P161" s="16" t="inlineStr">
        <is>
          <t>Basica</t>
        </is>
      </c>
      <c r="Q161" s="16" t="inlineStr">
        <is>
          <t>v2</t>
        </is>
      </c>
      <c r="R161" s="16" t="inlineStr">
        <is>
          <t>Básico</t>
        </is>
      </c>
    </row>
    <row r="162" ht="23.25" customHeight="1" s="12">
      <c r="A162" s="22" t="inlineStr">
        <is>
          <t>F054-2</t>
        </is>
      </c>
      <c r="B162" s="22" t="inlineStr">
        <is>
          <t>comun</t>
        </is>
      </c>
      <c r="C162" s="22" t="inlineStr">
        <is>
          <t>Ética, integridad y conflicto de interés</t>
        </is>
      </c>
      <c r="D162" s="22" t="inlineStr">
        <is>
          <t>C054</t>
        </is>
      </c>
      <c r="E162" s="22" t="inlineStr">
        <is>
          <t>Tres conductas en una jornada de integridad</t>
        </is>
      </c>
      <c r="F162" s="22" t="inlineStr">
        <is>
          <t>En una jornada de integridad, los servidores discuten un caso: un funcionario aceptó un almuerzo de un vigilado, otro no publicó su declaración de bienes y un tercero apuró un trámite de su vecino.</t>
        </is>
      </c>
      <c r="G162" s="22" t="inlineStr">
        <is>
          <t>Actuar con imparcialidad y equidad en las decisiones corresponde al valor de</t>
        </is>
      </c>
      <c r="H162" s="22" t="inlineStr">
        <is>
          <t>Justicia</t>
        </is>
      </c>
      <c r="I162" s="22" t="inlineStr">
        <is>
          <t>Compromiso</t>
        </is>
      </c>
      <c r="J162" s="22" t="inlineStr">
        <is>
          <t>Diligencia</t>
        </is>
      </c>
      <c r="K162" s="22" t="inlineStr">
        <is>
          <t>A</t>
        </is>
      </c>
      <c r="L162" s="22" t="inlineStr">
        <is>
          <t>La honestidad exige actuar con rectitud y sin buscar provecho propio ni de terceros. Código de Integridad del servicio público; Ley 1952 de 2019, artículo 38.</t>
        </is>
      </c>
      <c r="M162" s="22" t="inlineStr">
        <is>
          <t>El compromiso se refiere a la entrega en el trabajo; la diligencia, al cuidado y la oportunidad, no a la imparcialidad de la decisión.</t>
        </is>
      </c>
      <c r="N162" s="22" t="inlineStr">
        <is>
          <t>Código de Integridad; Ley 1952 de 2019, art. 38</t>
        </is>
      </c>
      <c r="O162" s="22" t="inlineStr">
        <is>
          <t>SI</t>
        </is>
      </c>
      <c r="P162" s="16" t="inlineStr">
        <is>
          <t>Basica</t>
        </is>
      </c>
      <c r="Q162" s="16" t="inlineStr">
        <is>
          <t>v2</t>
        </is>
      </c>
      <c r="R162" s="16" t="inlineStr">
        <is>
          <t>Básico</t>
        </is>
      </c>
    </row>
    <row r="163" ht="34.5" customHeight="1" s="12">
      <c r="A163" s="22" t="inlineStr">
        <is>
          <t>F054-3</t>
        </is>
      </c>
      <c r="B163" s="22" t="inlineStr">
        <is>
          <t>comun</t>
        </is>
      </c>
      <c r="C163" s="22" t="inlineStr">
        <is>
          <t>Ética, integridad y conflicto de interés</t>
        </is>
      </c>
      <c r="D163" s="22" t="inlineStr">
        <is>
          <t>C054</t>
        </is>
      </c>
      <c r="E163" s="22" t="inlineStr">
        <is>
          <t>Tres conductas en una jornada de integridad</t>
        </is>
      </c>
      <c r="F163" s="22" t="inlineStr">
        <is>
          <t>En una jornada de integridad, los servidores discuten un caso: un funcionario aceptó un almuerzo de un vigilado, otro no publicó su declaración de bienes y un tercero apuró un trámite de su vecino.</t>
        </is>
      </c>
      <c r="G163" s="22" t="inlineStr">
        <is>
          <t>La publicación de la declaración de bienes y rentas y del registro de conflictos de interés de los servidores obligados la ordena</t>
        </is>
      </c>
      <c r="H163" s="22" t="inlineStr">
        <is>
          <t>El Decreto 111 de 1996</t>
        </is>
      </c>
      <c r="I163" s="22" t="inlineStr">
        <is>
          <t>La Ley 2013 de 2019</t>
        </is>
      </c>
      <c r="J163" s="22" t="inlineStr">
        <is>
          <t>La Ley 594 de 2000</t>
        </is>
      </c>
      <c r="K163" s="22" t="inlineStr">
        <is>
          <t>B</t>
        </is>
      </c>
      <c r="L163" s="22" t="inlineStr">
        <is>
          <t>La publicación de la declaración de bienes y renta y del registro de conflictos de interés es obligatoria. Ley 2013 de 2019, artículos 1 y 2.</t>
        </is>
      </c>
      <c r="M163" s="22" t="inlineStr">
        <is>
          <t>El Decreto 111 de 1996 regula presupuesto; la Ley 594 de 2000, archivos: ninguno ordena publicar declaraciones de bienes.</t>
        </is>
      </c>
      <c r="N163" s="22" t="inlineStr">
        <is>
          <t>Ley 2013 de 2019, arts. 1 y 2</t>
        </is>
      </c>
      <c r="O163" s="22" t="inlineStr">
        <is>
          <t>SI</t>
        </is>
      </c>
      <c r="P163" s="16" t="inlineStr">
        <is>
          <t>Basica</t>
        </is>
      </c>
      <c r="Q163" s="16" t="inlineStr">
        <is>
          <t>v2</t>
        </is>
      </c>
      <c r="R163" s="16" t="inlineStr">
        <is>
          <t>Básico</t>
        </is>
      </c>
    </row>
    <row r="164" ht="34.5" customHeight="1" s="12">
      <c r="A164" s="22" t="inlineStr">
        <is>
          <t>F055-1</t>
        </is>
      </c>
      <c r="B164" s="22" t="inlineStr">
        <is>
          <t>comun</t>
        </is>
      </c>
      <c r="C164" s="22" t="inlineStr">
        <is>
          <t>Régimen disciplinario</t>
        </is>
      </c>
      <c r="D164" s="22" t="inlineStr">
        <is>
          <t>C055</t>
        </is>
      </c>
      <c r="E164" s="22" t="inlineStr">
        <is>
          <t>Contratista investigado disciplinariamente</t>
        </is>
      </c>
      <c r="F164" s="22" t="inlineStr">
        <is>
          <t>La Procuraduría investiga a un contratista con funciones públicas y a un profesional de planta por los mismos hechos. El contratista alega que a él no se le aplica el régimen disciplinario.</t>
        </is>
      </c>
      <c r="G164" s="22" t="inlineStr">
        <is>
          <t>El Código General Disciplinario se aplica a</t>
        </is>
      </c>
      <c r="H164" s="22" t="inlineStr">
        <is>
          <t>Los servidores y los particulares con función pública</t>
        </is>
      </c>
      <c r="I164" s="22" t="inlineStr">
        <is>
          <t>Solo los empleados de carrera y los de libre nombramiento</t>
        </is>
      </c>
      <c r="J164" s="22" t="inlineStr">
        <is>
          <t>Solo los contratistas</t>
        </is>
      </c>
      <c r="K164" s="22" t="inlineStr">
        <is>
          <t>A</t>
        </is>
      </c>
      <c r="L164" s="22" t="inlineStr">
        <is>
          <t>La Ley 1952 de 2019 incluye a servidores públicos y a ciertos particulares.</t>
        </is>
      </c>
      <c r="M164" s="22" t="inlineStr">
        <is>
          <t>Limitarlo a los empleados de carrera y de libre nombramiento deja por fuera a los provisionales y a los particulares con función pública; reducirlo a los contratistas invierte el ámbito de la ley.</t>
        </is>
      </c>
      <c r="N164" s="22" t="inlineStr">
        <is>
          <t>Ley 1952 de 2019, arts. 25 y 48</t>
        </is>
      </c>
      <c r="O164" s="22" t="inlineStr">
        <is>
          <t>SI</t>
        </is>
      </c>
      <c r="P164" s="16" t="inlineStr">
        <is>
          <t>Basica</t>
        </is>
      </c>
      <c r="Q164" s="16" t="inlineStr">
        <is>
          <t>v2</t>
        </is>
      </c>
      <c r="R164" s="16" t="inlineStr">
        <is>
          <t>Básico</t>
        </is>
      </c>
    </row>
    <row r="165" ht="23.25" customHeight="1" s="12">
      <c r="A165" s="22" t="inlineStr">
        <is>
          <t>F055-2</t>
        </is>
      </c>
      <c r="B165" s="22" t="inlineStr">
        <is>
          <t>comun</t>
        </is>
      </c>
      <c r="C165" s="22" t="inlineStr">
        <is>
          <t>Régimen disciplinario</t>
        </is>
      </c>
      <c r="D165" s="22" t="inlineStr">
        <is>
          <t>C055</t>
        </is>
      </c>
      <c r="E165" s="22" t="inlineStr">
        <is>
          <t>Contratista investigado disciplinariamente</t>
        </is>
      </c>
      <c r="F165" s="22" t="inlineStr">
        <is>
          <t>La Procuraduría investiga a un contratista con funciones públicas y a un profesional de planta por los mismos hechos. El contratista alega que a él no se le aplica el régimen disciplinario.</t>
        </is>
      </c>
      <c r="G165" s="22" t="inlineStr">
        <is>
          <t>Para las faltas gravísimas dolosas, la sanción es</t>
        </is>
      </c>
      <c r="H165" s="22" t="inlineStr">
        <is>
          <t>Suspensión en el cargo e inhabilidad especial por el mismo término</t>
        </is>
      </c>
      <c r="I165" s="22" t="inlineStr">
        <is>
          <t>Multa equivalente al salario de noventa días devengado al cometerla</t>
        </is>
      </c>
      <c r="J165" s="22" t="inlineStr">
        <is>
          <t>Destitución e inhabilidad general</t>
        </is>
      </c>
      <c r="K165" s="22" t="inlineStr">
        <is>
          <t>C</t>
        </is>
      </c>
      <c r="L165" s="22" t="inlineStr">
        <is>
          <t>La Ley 1952 de 2019 sanciona las faltas gravísimas dolosas con destitución e inhabilidad general.</t>
        </is>
      </c>
      <c r="M165" s="22" t="inlineStr">
        <is>
          <t>La suspensión e inhabilidad especial corresponde a faltas graves; la multa, a las leves dolosas, muy lejos de la gravedad de una gravísima dolosa.</t>
        </is>
      </c>
      <c r="N165" s="22" t="inlineStr">
        <is>
          <t>Ley 1952 de 2019, arts. 25 y 48</t>
        </is>
      </c>
      <c r="O165" s="22" t="inlineStr">
        <is>
          <t>SI</t>
        </is>
      </c>
      <c r="P165" s="16" t="inlineStr">
        <is>
          <t>Basica</t>
        </is>
      </c>
      <c r="Q165" s="16" t="inlineStr">
        <is>
          <t>v2</t>
        </is>
      </c>
      <c r="R165" s="16" t="inlineStr">
        <is>
          <t>Básico</t>
        </is>
      </c>
    </row>
    <row r="166" ht="23.25" customHeight="1" s="12">
      <c r="A166" s="22" t="inlineStr">
        <is>
          <t>F055-3</t>
        </is>
      </c>
      <c r="B166" s="22" t="inlineStr">
        <is>
          <t>comun</t>
        </is>
      </c>
      <c r="C166" s="22" t="inlineStr">
        <is>
          <t>Régimen disciplinario</t>
        </is>
      </c>
      <c r="D166" s="22" t="inlineStr">
        <is>
          <t>C055</t>
        </is>
      </c>
      <c r="E166" s="22" t="inlineStr">
        <is>
          <t>Contratista investigado disciplinariamente</t>
        </is>
      </c>
      <c r="F166" s="22" t="inlineStr">
        <is>
          <t>La Procuraduría investiga a un contratista con funciones públicas y a un profesional de planta por los mismos hechos. El contratista alega que a él no se le aplica el régimen disciplinario.</t>
        </is>
      </c>
      <c r="G166" s="22" t="inlineStr">
        <is>
          <t>Para las faltas leves dolosas, la sanción es</t>
        </is>
      </c>
      <c r="H166" s="22" t="inlineStr">
        <is>
          <t>Destitución</t>
        </is>
      </c>
      <c r="I166" s="22" t="inlineStr">
        <is>
          <t>Multa</t>
        </is>
      </c>
      <c r="J166" s="22" t="inlineStr">
        <is>
          <t>Suspensión e inhabilidad especial</t>
        </is>
      </c>
      <c r="K166" s="22" t="inlineStr">
        <is>
          <t>B</t>
        </is>
      </c>
      <c r="L166" s="22" t="inlineStr">
        <is>
          <t>La Ley 1952 de 2019 asigna multa a las faltas leves dolosas.</t>
        </is>
      </c>
      <c r="M166" s="22" t="inlineStr">
        <is>
          <t>La destitución se reserva a las gravísimas dolosas; la suspensión corresponde a las graves, no a una leve.</t>
        </is>
      </c>
      <c r="N166" s="22" t="inlineStr">
        <is>
          <t>Ley 1952 de 2019, arts. 25 y 48</t>
        </is>
      </c>
      <c r="O166" s="22" t="inlineStr">
        <is>
          <t>SI</t>
        </is>
      </c>
      <c r="P166" s="16" t="inlineStr">
        <is>
          <t>Basica</t>
        </is>
      </c>
      <c r="Q166" s="16" t="inlineStr">
        <is>
          <t>v2</t>
        </is>
      </c>
      <c r="R166" s="16" t="inlineStr">
        <is>
          <t>Básico</t>
        </is>
      </c>
    </row>
    <row r="167" ht="23.25" customHeight="1" s="12">
      <c r="A167" s="22" t="inlineStr">
        <is>
          <t>F056-1</t>
        </is>
      </c>
      <c r="B167" s="22" t="inlineStr">
        <is>
          <t>comun</t>
        </is>
      </c>
      <c r="C167" s="22" t="inlineStr">
        <is>
          <t>Control y responsabilidad de los servidores</t>
        </is>
      </c>
      <c r="D167" s="22" t="inlineStr">
        <is>
          <t>C056</t>
        </is>
      </c>
      <c r="E167" s="22" t="inlineStr">
        <is>
          <t>Sobrecostos con tres investigaciones</t>
        </is>
      </c>
      <c r="F167" s="22" t="inlineStr">
        <is>
          <t>Un contrato de la entidad presentó sobrecostos de 400 millones y un funcionario habría recibido dinero del contratista. Tres entidades distintas anuncian actuaciones y la prensa pregunta quién investiga qué.</t>
        </is>
      </c>
      <c r="G167" s="22" t="inlineStr">
        <is>
          <t>La investigación del posible daño al patrimonio público le corresponde a</t>
        </is>
      </c>
      <c r="H167" s="22" t="inlineStr">
        <is>
          <t>La Procuraduría, mediante un proceso fiscal contra el servidor</t>
        </is>
      </c>
      <c r="I167" s="22" t="inlineStr">
        <is>
          <t>La CNSC, porque el funcionario pertenece a la carrera administrativa</t>
        </is>
      </c>
      <c r="J167" s="22" t="inlineStr">
        <is>
          <t>La Contraloría, mediante el proceso de responsabilidad fiscal</t>
        </is>
      </c>
      <c r="K167" s="22" t="inlineStr">
        <is>
          <t>C</t>
        </is>
      </c>
      <c r="L167" s="22" t="inlineStr">
        <is>
          <t>El control fiscal y la responsabilidad fiscal son competencia de las contralorías.</t>
        </is>
      </c>
      <c r="M167" s="22" t="inlineStr">
        <is>
          <t>La Procuraduría investiga la conducta disciplinaria, no el daño patrimonial; la CNSC administra la carrera y no ejerce control fiscal.</t>
        </is>
      </c>
      <c r="N167" s="22" t="inlineStr">
        <is>
          <t>Constitución Política, arts. 267 y 277; Ley 1952 de 2019</t>
        </is>
      </c>
      <c r="O167" s="22" t="inlineStr">
        <is>
          <t>SI</t>
        </is>
      </c>
      <c r="P167" s="16" t="inlineStr">
        <is>
          <t>Media</t>
        </is>
      </c>
      <c r="Q167" s="16" t="inlineStr">
        <is>
          <t>v2</t>
        </is>
      </c>
      <c r="R167" s="16" t="inlineStr">
        <is>
          <t>Básico</t>
        </is>
      </c>
    </row>
    <row r="168" ht="23.25" customHeight="1" s="12">
      <c r="A168" s="22" t="inlineStr">
        <is>
          <t>F056-2</t>
        </is>
      </c>
      <c r="B168" s="22" t="inlineStr">
        <is>
          <t>comun</t>
        </is>
      </c>
      <c r="C168" s="22" t="inlineStr">
        <is>
          <t>Control y responsabilidad de los servidores</t>
        </is>
      </c>
      <c r="D168" s="22" t="inlineStr">
        <is>
          <t>C056</t>
        </is>
      </c>
      <c r="E168" s="22" t="inlineStr">
        <is>
          <t>Sobrecostos con tres investigaciones</t>
        </is>
      </c>
      <c r="F168" s="22" t="inlineStr">
        <is>
          <t>Un contrato de la entidad presentó sobrecostos de 400 millones y un funcionario habría recibido dinero del contratista. Tres entidades distintas anuncian actuaciones y la prensa pregunta quién investiga qué.</t>
        </is>
      </c>
      <c r="G168" s="22" t="inlineStr">
        <is>
          <t>La conducta del funcionario que recibió dinero puede generar, además, responsabilidad</t>
        </is>
      </c>
      <c r="H168" s="22" t="inlineStr">
        <is>
          <t>Solo disciplinaria, porque la conducta ocurrió en ejercicio del cargo público</t>
        </is>
      </c>
      <c r="I168" s="22" t="inlineStr">
        <is>
          <t>Civil y fiscal, frente a la entidad, sin efecto penal</t>
        </is>
      </c>
      <c r="J168" s="22" t="inlineStr">
        <is>
          <t>Disciplinaria y penal, que se investigan por separado</t>
        </is>
      </c>
      <c r="K168" s="22" t="inlineStr">
        <is>
          <t>C</t>
        </is>
      </c>
      <c r="L168" s="22" t="inlineStr">
        <is>
          <t>Una misma conducta puede tener consecuencias fiscales, disciplinarias y penales independientes.</t>
        </is>
      </c>
      <c r="M168" s="22" t="inlineStr">
        <is>
          <t>Decir que solo hay responsabilidad disciplinaria deja por fuera el delito; reducirla a lo civil y fiscal ignora la investigación penal por el dinero recibido.</t>
        </is>
      </c>
      <c r="N168" s="22" t="inlineStr">
        <is>
          <t>Constitución Política, arts. 267 y 277; Ley 1952 de 2019</t>
        </is>
      </c>
      <c r="O168" s="22" t="inlineStr">
        <is>
          <t>SI</t>
        </is>
      </c>
      <c r="P168" s="16" t="inlineStr">
        <is>
          <t>Media</t>
        </is>
      </c>
      <c r="Q168" s="16" t="inlineStr">
        <is>
          <t>v2</t>
        </is>
      </c>
      <c r="R168" s="16" t="inlineStr">
        <is>
          <t>Básico</t>
        </is>
      </c>
    </row>
    <row r="169" ht="23.25" customHeight="1" s="12">
      <c r="A169" s="22" t="inlineStr">
        <is>
          <t>F056-3</t>
        </is>
      </c>
      <c r="B169" s="22" t="inlineStr">
        <is>
          <t>comun</t>
        </is>
      </c>
      <c r="C169" s="22" t="inlineStr">
        <is>
          <t>Control y responsabilidad de los servidores</t>
        </is>
      </c>
      <c r="D169" s="22" t="inlineStr">
        <is>
          <t>C056</t>
        </is>
      </c>
      <c r="E169" s="22" t="inlineStr">
        <is>
          <t>Sobrecostos con tres investigaciones</t>
        </is>
      </c>
      <c r="F169" s="22" t="inlineStr">
        <is>
          <t>Un contrato de la entidad presentó sobrecostos de 400 millones y un funcionario habría recibido dinero del contratista. Tres entidades distintas anuncian actuaciones y la prensa pregunta quién investiga qué.</t>
        </is>
      </c>
      <c r="G169" s="22" t="inlineStr">
        <is>
          <t>El ejercicio preferente del poder disciplinario corresponde a</t>
        </is>
      </c>
      <c r="H169" s="22" t="inlineStr">
        <is>
          <t>La Contraloría General de la República</t>
        </is>
      </c>
      <c r="I169" s="22" t="inlineStr">
        <is>
          <t>La Fiscalía General de la Nación</t>
        </is>
      </c>
      <c r="J169" s="22" t="inlineStr">
        <is>
          <t>La Procuraduría General de la Nación</t>
        </is>
      </c>
      <c r="K169" s="22" t="inlineStr">
        <is>
          <t>C</t>
        </is>
      </c>
      <c r="L169" s="22" t="inlineStr">
        <is>
          <t>La Constitución asigna a la Procuraduría el poder disciplinario preferente.</t>
        </is>
      </c>
      <c r="M169" s="22" t="inlineStr">
        <is>
          <t>La Contraloría ejerce control fiscal; la Fiscalía, la acción penal: ninguna tiene el poder disciplinario preferente.</t>
        </is>
      </c>
      <c r="N169" s="22" t="inlineStr">
        <is>
          <t>Constitución Política, arts. 267 y 277; Ley 1952 de 2019</t>
        </is>
      </c>
      <c r="O169" s="22" t="inlineStr">
        <is>
          <t>SI</t>
        </is>
      </c>
      <c r="P169" s="16" t="inlineStr">
        <is>
          <t>Media</t>
        </is>
      </c>
      <c r="Q169" s="16" t="inlineStr">
        <is>
          <t>v2</t>
        </is>
      </c>
      <c r="R169" s="16" t="inlineStr">
        <is>
          <t>Básico</t>
        </is>
      </c>
    </row>
    <row r="170" ht="34.5" customHeight="1" s="12">
      <c r="A170" s="22" t="inlineStr">
        <is>
          <t>F057-1</t>
        </is>
      </c>
      <c r="B170" s="22" t="inlineStr">
        <is>
          <t>comun</t>
        </is>
      </c>
      <c r="C170" s="22" t="inlineStr">
        <is>
          <t>Acciones constitucionales</t>
        </is>
      </c>
      <c r="D170" s="22" t="inlineStr">
        <is>
          <t>C057</t>
        </is>
      </c>
      <c r="E170" s="22" t="inlineStr">
        <is>
          <t>Quesos informales en la plaza del municipio</t>
        </is>
      </c>
      <c r="F170" s="22" t="inlineStr">
        <is>
          <t>Una asociación de vecinos denuncia que varios productores informales de queso venden sin condiciones sanitarias en la plaza del municipio, y que la alcaldía no ha actuado. Un caso similar terminó en acción popular, con medida sanitaria y decomiso del producto.</t>
        </is>
      </c>
      <c r="G170" s="22" t="inlineStr">
        <is>
          <t>Para proteger derechos colectivos como la salubridad pública, la acción adecuada es la</t>
        </is>
      </c>
      <c r="H170" s="22" t="inlineStr">
        <is>
          <t>Acción popular</t>
        </is>
      </c>
      <c r="I170" s="22" t="inlineStr">
        <is>
          <t>Acción de tutela</t>
        </is>
      </c>
      <c r="J170" s="22" t="inlineStr">
        <is>
          <t>Acción de nulidad electoral</t>
        </is>
      </c>
      <c r="K170" s="22" t="inlineStr">
        <is>
          <t>A</t>
        </is>
      </c>
      <c r="L170" s="22" t="inlineStr">
        <is>
          <t>La acción popular protege los derechos e intereses colectivos, entre ellos la salubridad pública. Ley 472 de 1998, artículos 2 y 4, literal g; Constitución Política, artículo 88.</t>
        </is>
      </c>
      <c r="M170" s="22" t="inlineStr">
        <is>
          <t>La tutela protege derechos fundamentales individuales y es subsidiaria; la nulidad electoral se refiere a elecciones y nombramientos.</t>
        </is>
      </c>
      <c r="N170" s="22" t="inlineStr">
        <is>
          <t>Ley 472 de 1998, arts. 2 y 4; Constitución Política, art. 88</t>
        </is>
      </c>
      <c r="O170" s="22" t="inlineStr">
        <is>
          <t>SI</t>
        </is>
      </c>
      <c r="P170" s="16" t="inlineStr">
        <is>
          <t>Basica</t>
        </is>
      </c>
      <c r="Q170" s="16" t="inlineStr">
        <is>
          <t>v2</t>
        </is>
      </c>
      <c r="R170" s="16" t="inlineStr">
        <is>
          <t>Básico</t>
        </is>
      </c>
    </row>
    <row r="171" ht="34.5" customHeight="1" s="12">
      <c r="A171" s="22" t="inlineStr">
        <is>
          <t>F057-2</t>
        </is>
      </c>
      <c r="B171" s="22" t="inlineStr">
        <is>
          <t>comun</t>
        </is>
      </c>
      <c r="C171" s="22" t="inlineStr">
        <is>
          <t>Acciones constitucionales</t>
        </is>
      </c>
      <c r="D171" s="22" t="inlineStr">
        <is>
          <t>C057</t>
        </is>
      </c>
      <c r="E171" s="22" t="inlineStr">
        <is>
          <t>Quesos informales en la plaza del municipio</t>
        </is>
      </c>
      <c r="F171" s="22" t="inlineStr">
        <is>
          <t>Una asociación de vecinos denuncia que varios productores informales de queso venden sin condiciones sanitarias en la plaza del municipio, y que la alcaldía no ha actuado. Un caso similar terminó en acción popular, con medida sanitaria y decomiso del producto.</t>
        </is>
      </c>
      <c r="G171" s="22" t="inlineStr">
        <is>
          <t>Para exigir a una autoridad que cumpla una norma con fuerza material de ley o un acto administrativo, procede la</t>
        </is>
      </c>
      <c r="H171" s="22" t="inlineStr">
        <is>
          <t>Acción de grupo</t>
        </is>
      </c>
      <c r="I171" s="22" t="inlineStr">
        <is>
          <t>Acción de repetición</t>
        </is>
      </c>
      <c r="J171" s="22" t="inlineStr">
        <is>
          <t>Acción de cumplimiento</t>
        </is>
      </c>
      <c r="K171" s="22" t="inlineStr">
        <is>
          <t>C</t>
        </is>
      </c>
      <c r="L171" s="22" t="inlineStr">
        <is>
          <t>La acción de cumplimiento persigue que la autoridad cumpla una norma con fuerza de ley o un acto administrativo. Ley 393 de 1997, artículos 1 y 8.</t>
        </is>
      </c>
      <c r="M171" s="22" t="inlineStr">
        <is>
          <t>La acción de grupo busca indemnizar a varios afectados; la de repetición persigue al servidor que causó una condena al Estado.</t>
        </is>
      </c>
      <c r="N171" s="22" t="inlineStr">
        <is>
          <t>Ley 393 de 1997, arts. 1 y 8</t>
        </is>
      </c>
      <c r="O171" s="22" t="inlineStr">
        <is>
          <t>SI</t>
        </is>
      </c>
      <c r="P171" s="16" t="inlineStr">
        <is>
          <t>Basica</t>
        </is>
      </c>
      <c r="Q171" s="16" t="inlineStr">
        <is>
          <t>v2</t>
        </is>
      </c>
      <c r="R171" s="16" t="inlineStr">
        <is>
          <t>Básico</t>
        </is>
      </c>
    </row>
    <row r="172" ht="34.5" customHeight="1" s="12">
      <c r="A172" s="22" t="inlineStr">
        <is>
          <t>F057-3</t>
        </is>
      </c>
      <c r="B172" s="22" t="inlineStr">
        <is>
          <t>comun</t>
        </is>
      </c>
      <c r="C172" s="22" t="inlineStr">
        <is>
          <t>Acciones constitucionales</t>
        </is>
      </c>
      <c r="D172" s="22" t="inlineStr">
        <is>
          <t>C057</t>
        </is>
      </c>
      <c r="E172" s="22" t="inlineStr">
        <is>
          <t>Quesos informales en la plaza del municipio</t>
        </is>
      </c>
      <c r="F172" s="22" t="inlineStr">
        <is>
          <t>Una asociación de vecinos denuncia que varios productores informales de queso venden sin condiciones sanitarias en la plaza del municipio, y que la alcaldía no ha actuado. Un caso similar terminó en acción popular, con medida sanitaria y decomiso del producto.</t>
        </is>
      </c>
      <c r="G172" s="22" t="inlineStr">
        <is>
          <t>Antes de presentar la acción de cumplimiento, por regla general, el interesado debe</t>
        </is>
      </c>
      <c r="H172" s="22" t="inlineStr">
        <is>
          <t>Haber presentado una tutela</t>
        </is>
      </c>
      <c r="I172" s="22" t="inlineStr">
        <is>
          <t>Haber reclamado antes y que la autoridad se ratifique</t>
        </is>
      </c>
      <c r="J172" s="22" t="inlineStr">
        <is>
          <t>Haber pedido concepto a la Procuraduría y esperado respuesta</t>
        </is>
      </c>
      <c r="K172" s="22" t="inlineStr">
        <is>
          <t>B</t>
        </is>
      </c>
      <c r="L172" s="22" t="inlineStr">
        <is>
          <t>La acción popular procede contra toda acción u omisión de autoridades o particulares que amenace los derechos colectivos, sin exigir tutela previa. Ley 472 de 1998, artículo 9; para la de cumplimiento se exige constituir la renuencia, Ley 393 de 1997, artículo 8.</t>
        </is>
      </c>
      <c r="M172" s="22" t="inlineStr">
        <is>
          <t>Haber presentado tutela antes no es requisito de esta acción; el concepto previo de la Procuraduría no está previsto en la ley.</t>
        </is>
      </c>
      <c r="N172" s="22" t="inlineStr">
        <is>
          <t>Ley 472 de 1998, art. 9; Ley 393 de 1997, art. 8</t>
        </is>
      </c>
      <c r="O172" s="22" t="inlineStr">
        <is>
          <t>SI</t>
        </is>
      </c>
      <c r="P172" s="16" t="inlineStr">
        <is>
          <t>Basica</t>
        </is>
      </c>
      <c r="Q172" s="16" t="inlineStr">
        <is>
          <t>v2</t>
        </is>
      </c>
      <c r="R172" s="16" t="inlineStr">
        <is>
          <t>Básico</t>
        </is>
      </c>
    </row>
    <row r="173" ht="23.25" customHeight="1" s="12">
      <c r="A173" s="22" t="inlineStr">
        <is>
          <t>F058-1</t>
        </is>
      </c>
      <c r="B173" s="22" t="inlineStr">
        <is>
          <t>comun</t>
        </is>
      </c>
      <c r="C173" s="22" t="inlineStr">
        <is>
          <t>Empleo público y carrera administrativa</t>
        </is>
      </c>
      <c r="D173" s="22" t="inlineStr">
        <is>
          <t>C058</t>
        </is>
      </c>
      <c r="E173" s="22" t="inlineStr">
        <is>
          <t>Evaluación del desempeño y encargo</t>
        </is>
      </c>
      <c r="F173" s="22" t="inlineStr">
        <is>
          <t>Usted ya es empleado de carrera. Su jefe le fija los compromisos del período y, en la misma reunión, le pide asumir temporalmente un empleo de superior jerarquía mientras se surte un concurso. Un compañero recibió el año pasado calificación no satisfactoria y fue retirado.</t>
        </is>
      </c>
      <c r="G173" s="22" t="inlineStr">
        <is>
          <t>La evaluación del desempeño laboral se basa en</t>
        </is>
      </c>
      <c r="H173" s="22" t="inlineStr">
        <is>
          <t>Compromisos laborales y comportamentales del período</t>
        </is>
      </c>
      <c r="I173" s="22" t="inlineStr">
        <is>
          <t>La opinión de los compañeros</t>
        </is>
      </c>
      <c r="J173" s="22" t="inlineStr">
        <is>
          <t>La antigüedad en el cargo y el número de capacitaciones recibidas en el año</t>
        </is>
      </c>
      <c r="K173" s="22" t="inlineStr">
        <is>
          <t>A</t>
        </is>
      </c>
      <c r="L173" s="22" t="inlineStr">
        <is>
          <t>El sistema tipo de evaluación mide compromisos funcionales y comportamentales.</t>
        </is>
      </c>
      <c r="M173" s="22" t="inlineStr">
        <is>
          <t>La opinión de los compañeros no es instrumento de evaluación; la antigüedad mide permanencia, no desempeño.</t>
        </is>
      </c>
      <c r="N173" s="22" t="inlineStr">
        <is>
          <t>Ley 909 de 2004, arts. 24, 31 y 43; Decreto 1083 de 2015</t>
        </is>
      </c>
      <c r="O173" s="22" t="inlineStr">
        <is>
          <t>SI</t>
        </is>
      </c>
      <c r="P173" s="16" t="inlineStr">
        <is>
          <t>Basica</t>
        </is>
      </c>
      <c r="Q173" s="16" t="inlineStr">
        <is>
          <t>v2</t>
        </is>
      </c>
      <c r="R173" s="16" t="inlineStr">
        <is>
          <t>Básico</t>
        </is>
      </c>
    </row>
    <row r="174" ht="23.25" customHeight="1" s="12">
      <c r="A174" s="22" t="inlineStr">
        <is>
          <t>F058-2</t>
        </is>
      </c>
      <c r="B174" s="22" t="inlineStr">
        <is>
          <t>comun</t>
        </is>
      </c>
      <c r="C174" s="22" t="inlineStr">
        <is>
          <t>Empleo público y carrera administrativa</t>
        </is>
      </c>
      <c r="D174" s="22" t="inlineStr">
        <is>
          <t>C058</t>
        </is>
      </c>
      <c r="E174" s="22" t="inlineStr">
        <is>
          <t>Evaluación del desempeño y encargo</t>
        </is>
      </c>
      <c r="F174" s="22" t="inlineStr">
        <is>
          <t>Usted ya es empleado de carrera. Su jefe le fija los compromisos del período y, en la misma reunión, le pide asumir temporalmente un empleo de superior jerarquía mientras se surte un concurso. Un compañero recibió el año pasado calificación no satisfactoria y fue retirado.</t>
        </is>
      </c>
      <c r="G174" s="22" t="inlineStr">
        <is>
          <t>Si un empleado de carrera obtiene una calificación no satisfactoria en firme,</t>
        </is>
      </c>
      <c r="H174" s="22" t="inlineStr">
        <is>
          <t>Su nombramiento debe declararse insubsistente</t>
        </is>
      </c>
      <c r="I174" s="22" t="inlineStr">
        <is>
          <t>Conserva el cargo, pero pierde el derecho a los estímulos del año siguiente</t>
        </is>
      </c>
      <c r="J174" s="22" t="inlineStr">
        <is>
          <t>Debe trasladarse a otra dependencia donde pueda mejorar su desempeño</t>
        </is>
      </c>
      <c r="K174" s="22" t="inlineStr">
        <is>
          <t>A</t>
        </is>
      </c>
      <c r="L174" s="22" t="inlineStr">
        <is>
          <t>La Ley 909 de 2004 ordena la insubsistencia por calificación no satisfactoria.</t>
        </is>
      </c>
      <c r="M174" s="22" t="inlineStr">
        <is>
          <t>Conservar el cargo sin consecuencias desconoce el efecto legal de la calificación; el traslado no es la consecuencia que fija la ley.</t>
        </is>
      </c>
      <c r="N174" s="22" t="inlineStr">
        <is>
          <t>Ley 909 de 2004, arts. 24, 31 y 43; Decreto 1083 de 2015</t>
        </is>
      </c>
      <c r="O174" s="22" t="inlineStr">
        <is>
          <t>SI</t>
        </is>
      </c>
      <c r="P174" s="16" t="inlineStr">
        <is>
          <t>Basica</t>
        </is>
      </c>
      <c r="Q174" s="16" t="inlineStr">
        <is>
          <t>v2</t>
        </is>
      </c>
      <c r="R174" s="16" t="inlineStr">
        <is>
          <t>Básico</t>
        </is>
      </c>
    </row>
    <row r="175" ht="34.5" customHeight="1" s="12">
      <c r="A175" s="22" t="inlineStr">
        <is>
          <t>F058-3</t>
        </is>
      </c>
      <c r="B175" s="22" t="inlineStr">
        <is>
          <t>comun</t>
        </is>
      </c>
      <c r="C175" s="22" t="inlineStr">
        <is>
          <t>Empleo público y carrera administrativa</t>
        </is>
      </c>
      <c r="D175" s="22" t="inlineStr">
        <is>
          <t>C058</t>
        </is>
      </c>
      <c r="E175" s="22" t="inlineStr">
        <is>
          <t>Evaluación del desempeño y encargo</t>
        </is>
      </c>
      <c r="F175" s="22" t="inlineStr">
        <is>
          <t>Usted ya es empleado de carrera. Su jefe le fija los compromisos del período y, en la misma reunión, le pide asumir temporalmente un empleo de superior jerarquía mientras se surte un concurso. Un compañero recibió el año pasado calificación no satisfactoria y fue retirado.</t>
        </is>
      </c>
      <c r="G175" s="22" t="inlineStr">
        <is>
          <t>Un empleado de carrera que desempeña temporalmente un empleo de superior jerarquía mientras conserva el suyo está en</t>
        </is>
      </c>
      <c r="H175" s="22" t="inlineStr">
        <is>
          <t>Licencia no remunerada</t>
        </is>
      </c>
      <c r="I175" s="22" t="inlineStr">
        <is>
          <t>Comisión de estudios</t>
        </is>
      </c>
      <c r="J175" s="22" t="inlineStr">
        <is>
          <t>Encargo</t>
        </is>
      </c>
      <c r="K175" s="22" t="inlineStr">
        <is>
          <t>C</t>
        </is>
      </c>
      <c r="L175" s="22" t="inlineStr">
        <is>
          <t>El encargo permite desempeñar otro empleo sin perder el propio.</t>
        </is>
      </c>
      <c r="M175" s="22" t="inlineStr">
        <is>
          <t>La licencia no remunerada suspende la prestación del servicio; la comisión de estudios se otorga para capacitarse, no para ocupar otro empleo.</t>
        </is>
      </c>
      <c r="N175" s="22" t="inlineStr">
        <is>
          <t>Ley 909 de 2004, arts. 24, 31 y 43; Decreto 1083 de 2015</t>
        </is>
      </c>
      <c r="O175" s="22" t="inlineStr">
        <is>
          <t>SI</t>
        </is>
      </c>
      <c r="P175" s="16" t="inlineStr">
        <is>
          <t>Basica</t>
        </is>
      </c>
      <c r="Q175" s="16" t="inlineStr">
        <is>
          <t>v2</t>
        </is>
      </c>
      <c r="R175" s="16" t="inlineStr">
        <is>
          <t>Básico</t>
        </is>
      </c>
    </row>
    <row r="176" ht="23.25" customHeight="1" s="12">
      <c r="A176" s="22" t="inlineStr">
        <is>
          <t>F059-1</t>
        </is>
      </c>
      <c r="B176" s="22" t="inlineStr">
        <is>
          <t>comun</t>
        </is>
      </c>
      <c r="C176" s="22" t="inlineStr">
        <is>
          <t>Talento humano y bienestar</t>
        </is>
      </c>
      <c r="D176" s="22" t="inlineStr">
        <is>
          <t>C059</t>
        </is>
      </c>
      <c r="E176" s="22" t="inlineStr">
        <is>
          <t>Compañera ridiculizada por su jefe</t>
        </is>
      </c>
      <c r="F176" s="22" t="inlineStr">
        <is>
          <t>Una compañera le cuenta que su jefe la ridiculiza en reuniones y le asigna tareas imposibles desde hace ocho meses. Ella teme perder el puesto y usted sabe que el término para actuar no es indefinido.</t>
        </is>
      </c>
      <c r="G176" s="22" t="inlineStr">
        <is>
          <t>Las conductas descritas pueden constituir acoso laboral, regulado por</t>
        </is>
      </c>
      <c r="H176" s="22" t="inlineStr">
        <is>
          <t>La Ley 1712 de 2014</t>
        </is>
      </c>
      <c r="I176" s="22" t="inlineStr">
        <is>
          <t>La Ley 1010 de 2006</t>
        </is>
      </c>
      <c r="J176" s="22" t="inlineStr">
        <is>
          <t>La Ley 80 de 1993</t>
        </is>
      </c>
      <c r="K176" s="22" t="inlineStr">
        <is>
          <t>B</t>
        </is>
      </c>
      <c r="L176" s="22" t="inlineStr">
        <is>
          <t>La Ley 1010 de 2006 define y previene el acoso laboral.</t>
        </is>
      </c>
      <c r="M176" s="22" t="inlineStr">
        <is>
          <t>La Ley 1712 de 2014 regula transparencia; la Ley 80 de 1993, contratación estatal.</t>
        </is>
      </c>
      <c r="N176" s="22" t="inlineStr">
        <is>
          <t>Ley 1010 de 2006, art. 18; Resolución 652 de 2012</t>
        </is>
      </c>
      <c r="O176" s="22" t="inlineStr">
        <is>
          <t>SI</t>
        </is>
      </c>
      <c r="P176" s="16" t="inlineStr">
        <is>
          <t>Basica</t>
        </is>
      </c>
      <c r="Q176" s="16" t="inlineStr">
        <is>
          <t>v2</t>
        </is>
      </c>
      <c r="R176" s="16" t="inlineStr">
        <is>
          <t>Básico</t>
        </is>
      </c>
    </row>
    <row r="177" ht="23.25" customHeight="1" s="12">
      <c r="A177" s="22" t="inlineStr">
        <is>
          <t>F059-2</t>
        </is>
      </c>
      <c r="B177" s="22" t="inlineStr">
        <is>
          <t>comun</t>
        </is>
      </c>
      <c r="C177" s="22" t="inlineStr">
        <is>
          <t>Talento humano y bienestar</t>
        </is>
      </c>
      <c r="D177" s="22" t="inlineStr">
        <is>
          <t>C059</t>
        </is>
      </c>
      <c r="E177" s="22" t="inlineStr">
        <is>
          <t>Compañera ridiculizada por su jefe</t>
        </is>
      </c>
      <c r="F177" s="22" t="inlineStr">
        <is>
          <t>Una compañera le cuenta que su jefe la ridiculiza en reuniones y le asigna tareas imposibles desde hace ocho meses. Ella teme perder el puesto y usted sabe que el término para actuar no es indefinido.</t>
        </is>
      </c>
      <c r="G177" s="22" t="inlineStr">
        <is>
          <t>La instancia interna a la que puede acudir es</t>
        </is>
      </c>
      <c r="H177" s="22" t="inlineStr">
        <is>
          <t>El Comité de Contratación</t>
        </is>
      </c>
      <c r="I177" s="22" t="inlineStr">
        <is>
          <t>La Oficina de Control Interno</t>
        </is>
      </c>
      <c r="J177" s="22" t="inlineStr">
        <is>
          <t>El Comité de Convivencia Laboral</t>
        </is>
      </c>
      <c r="K177" s="22" t="inlineStr">
        <is>
          <t>C</t>
        </is>
      </c>
      <c r="L177" s="22" t="inlineStr">
        <is>
          <t>El Comité de Convivencia Laboral atiende las quejas de posible acoso.</t>
        </is>
      </c>
      <c r="M177" s="22" t="inlineStr">
        <is>
          <t>El Comité de Contratación decide asuntos contractuales; Control Interno evalúa el sistema, no atiende quejas de convivencia.</t>
        </is>
      </c>
      <c r="N177" s="22" t="inlineStr">
        <is>
          <t>Ley 1010 de 2006, art. 18; Resolución 652 de 2012</t>
        </is>
      </c>
      <c r="O177" s="22" t="inlineStr">
        <is>
          <t>SI</t>
        </is>
      </c>
      <c r="P177" s="16" t="inlineStr">
        <is>
          <t>Basica</t>
        </is>
      </c>
      <c r="Q177" s="16" t="inlineStr">
        <is>
          <t>v2</t>
        </is>
      </c>
      <c r="R177" s="16" t="inlineStr">
        <is>
          <t>Básico</t>
        </is>
      </c>
    </row>
    <row r="178" ht="23.25" customHeight="1" s="12">
      <c r="A178" s="22" t="inlineStr">
        <is>
          <t>F059-3</t>
        </is>
      </c>
      <c r="B178" s="22" t="inlineStr">
        <is>
          <t>comun</t>
        </is>
      </c>
      <c r="C178" s="22" t="inlineStr">
        <is>
          <t>Talento humano y bienestar</t>
        </is>
      </c>
      <c r="D178" s="22" t="inlineStr">
        <is>
          <t>C059</t>
        </is>
      </c>
      <c r="E178" s="22" t="inlineStr">
        <is>
          <t>Compañera ridiculizada por su jefe</t>
        </is>
      </c>
      <c r="F178" s="22" t="inlineStr">
        <is>
          <t>Una compañera le cuenta que su jefe la ridiculiza en reuniones y le asigna tareas imposibles desde hace ocho meses. Ella teme perder el puesto y usted sabe que el término para actuar no es indefinido.</t>
        </is>
      </c>
      <c r="G178" s="22" t="inlineStr">
        <is>
          <t>Las acciones derivadas del acoso laboral caducan</t>
        </is>
      </c>
      <c r="H178" s="22" t="inlineStr">
        <is>
          <t>Tres (3) años después de la conducta</t>
        </is>
      </c>
      <c r="I178" s="22" t="inlineStr">
        <is>
          <t>Seis (6) meses después de la conducta</t>
        </is>
      </c>
      <c r="J178" s="22" t="inlineStr">
        <is>
          <t>Cinco (5) años después de la conducta</t>
        </is>
      </c>
      <c r="K178" s="22" t="inlineStr">
        <is>
          <t>B</t>
        </is>
      </c>
      <c r="L178" s="22" t="inlineStr">
        <is>
          <t>Seis (6) meses desde la conducta para las acciones derivadas del acoso laboral. Ley 1010 de 2006, artículo 18.</t>
        </is>
      </c>
      <c r="M178" s="22" t="inlineStr">
        <is>
          <t>Tres y cinco años exceden ampliamente el término, y usarlos haría caducar la acción sin que el afectado lo advierta.</t>
        </is>
      </c>
      <c r="N178" s="22" t="inlineStr">
        <is>
          <t>Ley 1010 de 2006, art. 18; Resolución 652 de 2012, art. 3</t>
        </is>
      </c>
      <c r="O178" s="22" t="inlineStr">
        <is>
          <t>SI</t>
        </is>
      </c>
      <c r="P178" s="16" t="inlineStr">
        <is>
          <t>Basica</t>
        </is>
      </c>
      <c r="Q178" s="16" t="inlineStr">
        <is>
          <t>v2</t>
        </is>
      </c>
      <c r="R178" s="16" t="inlineStr">
        <is>
          <t>Básico</t>
        </is>
      </c>
    </row>
    <row r="179" ht="23.25" customHeight="1" s="12">
      <c r="A179" s="22" t="inlineStr">
        <is>
          <t>F060-1</t>
        </is>
      </c>
      <c r="B179" s="22" t="inlineStr">
        <is>
          <t>comun</t>
        </is>
      </c>
      <c r="C179" s="22" t="inlineStr">
        <is>
          <t>Talento humano y bienestar</t>
        </is>
      </c>
      <c r="D179" s="22" t="inlineStr">
        <is>
          <t>C060</t>
        </is>
      </c>
      <c r="E179" s="22" t="inlineStr">
        <is>
          <t>Caída en una visita de inspección</t>
        </is>
      </c>
      <c r="F179" s="22" t="inlineStr">
        <is>
          <t>Durante una visita, un compañero se cae en las escaleras del vigilado y se fractura el brazo. Son las 5:30 p. m. del jueves, están a tres horas de la sede y nadie del grupo sabe qué reportar ni a quién.</t>
        </is>
      </c>
      <c r="G179" s="22" t="inlineStr">
        <is>
          <t>Como ocurrió con ocasión del trabajo, el evento debe reportarse a la ARL</t>
        </is>
      </c>
      <c r="H179" s="22" t="inlineStr">
        <is>
          <t>Dentro de los dos (2) días hábiles siguientes</t>
        </is>
      </c>
      <c r="I179" s="22" t="inlineStr">
        <is>
          <t>Dentro de los treinta (30) días calendario</t>
        </is>
      </c>
      <c r="J179" s="22" t="inlineStr">
        <is>
          <t>Cuando la incapacidad supere los 30 días</t>
        </is>
      </c>
      <c r="K179" s="22" t="inlineStr">
        <is>
          <t>A</t>
        </is>
      </c>
      <c r="L179" s="22" t="inlineStr">
        <is>
          <t>Dos (2) días hábiles siguientes para reportar el accidente de trabajo a la ARL y a la EPS. Decreto 1072 de 2015, artículo 2.2.4.1.7.</t>
        </is>
      </c>
      <c r="M179" s="22" t="inlineStr">
        <is>
          <t>Treinta días calendario exceden el plazo de reporte; condicionarlo a la duración de la incapacidad deja sin reportar los accidentes leves.</t>
        </is>
      </c>
      <c r="N179" s="22" t="inlineStr">
        <is>
          <t>Decreto 1072 de 2015, art. 2.2.4.1.7</t>
        </is>
      </c>
      <c r="O179" s="22" t="inlineStr">
        <is>
          <t>SI</t>
        </is>
      </c>
      <c r="P179" s="16" t="inlineStr">
        <is>
          <t>Basica</t>
        </is>
      </c>
      <c r="Q179" s="16" t="inlineStr">
        <is>
          <t>v2</t>
        </is>
      </c>
      <c r="R179" s="16" t="inlineStr">
        <is>
          <t>Básico</t>
        </is>
      </c>
    </row>
    <row r="180" ht="23.25" customHeight="1" s="12">
      <c r="A180" s="22" t="inlineStr">
        <is>
          <t>F060-2</t>
        </is>
      </c>
      <c r="B180" s="22" t="inlineStr">
        <is>
          <t>comun</t>
        </is>
      </c>
      <c r="C180" s="22" t="inlineStr">
        <is>
          <t>Talento humano y bienestar</t>
        </is>
      </c>
      <c r="D180" s="22" t="inlineStr">
        <is>
          <t>C060</t>
        </is>
      </c>
      <c r="E180" s="22" t="inlineStr">
        <is>
          <t>Caída en una visita de inspección</t>
        </is>
      </c>
      <c r="F180" s="22" t="inlineStr">
        <is>
          <t>Durante una visita, un compañero se cae en las escaleras del vigilado y se fractura el brazo. Son las 5:30 p. m. del jueves, están a tres horas de la sede y nadie del grupo sabe qué reportar ni a quién.</t>
        </is>
      </c>
      <c r="G180" s="22" t="inlineStr">
        <is>
          <t>El comité paritario que promueve y vigila las normas de seguridad y salud en el trabajo es el</t>
        </is>
      </c>
      <c r="H180" s="22" t="inlineStr">
        <is>
          <t>Comité de Gestión y Desempeño</t>
        </is>
      </c>
      <c r="I180" s="22" t="inlineStr">
        <is>
          <t>COPASST</t>
        </is>
      </c>
      <c r="J180" s="22" t="inlineStr">
        <is>
          <t>Comité de Convivencia Laboral</t>
        </is>
      </c>
      <c r="K180" s="22" t="inlineStr">
        <is>
          <t>B</t>
        </is>
      </c>
      <c r="L180" s="22" t="inlineStr">
        <is>
          <t>El comité paritario de seguridad y salud en el trabajo (COPASST) promueve y vigila las normas de seguridad y salud. Decreto 1072 de 2015, artículo 2.2.4.6.8, numeral 9; Resolución 2013 de 1986.</t>
        </is>
      </c>
      <c r="M180" s="22" t="inlineStr">
        <is>
          <t>El Comité de Gestión y Desempeño coordina el modelo de gestión; el de Convivencia Laboral atiende acoso, no seguridad y salud.</t>
        </is>
      </c>
      <c r="N180" s="22" t="inlineStr">
        <is>
          <t>Decreto 1072 de 2015, art. 2.2.4.6.8; Resolución 2013 de 1986</t>
        </is>
      </c>
      <c r="O180" s="22" t="inlineStr">
        <is>
          <t>SI</t>
        </is>
      </c>
      <c r="P180" s="16" t="inlineStr">
        <is>
          <t>Basica</t>
        </is>
      </c>
      <c r="Q180" s="16" t="inlineStr">
        <is>
          <t>v2</t>
        </is>
      </c>
      <c r="R180" s="16" t="inlineStr">
        <is>
          <t>Básico</t>
        </is>
      </c>
    </row>
    <row r="181" ht="23.25" customHeight="1" s="12">
      <c r="A181" s="22" t="inlineStr">
        <is>
          <t>F060-3</t>
        </is>
      </c>
      <c r="B181" s="22" t="inlineStr">
        <is>
          <t>comun</t>
        </is>
      </c>
      <c r="C181" s="22" t="inlineStr">
        <is>
          <t>Talento humano y bienestar</t>
        </is>
      </c>
      <c r="D181" s="22" t="inlineStr">
        <is>
          <t>C060</t>
        </is>
      </c>
      <c r="E181" s="22" t="inlineStr">
        <is>
          <t>Caída en una visita de inspección</t>
        </is>
      </c>
      <c r="F181" s="22" t="inlineStr">
        <is>
          <t>Durante una visita, un compañero se cae en las escaleras del vigilado y se fractura el brazo. Son las 5:30 p. m. del jueves, están a tres horas de la sede y nadie del grupo sabe qué reportar ni a quién.</t>
        </is>
      </c>
      <c r="G181" s="22" t="inlineStr">
        <is>
          <t>Para prevenir nuevos eventos, lo más útil es</t>
        </is>
      </c>
      <c r="H181" s="22" t="inlineStr">
        <is>
          <t>Sancionar al compañero por descuidado, para que el grupo tome conciencia del riesgo</t>
        </is>
      </c>
      <c r="I181" s="22" t="inlineStr">
        <is>
          <t>Prohibir las visitas de campo en instalaciones de terceros hasta nueva orden</t>
        </is>
      </c>
      <c r="J181" s="22" t="inlineStr">
        <is>
          <t>Investigar el accidente para identificar sus causas</t>
        </is>
      </c>
      <c r="K181" s="22" t="inlineStr">
        <is>
          <t>C</t>
        </is>
      </c>
      <c r="L181" s="22" t="inlineStr">
        <is>
          <t>La investigación del accidente identifica las causas y evita que se repita. Decreto 1072 de 2015, artículo 2.2.4.6.32; Resolución 1401 de 2007.</t>
        </is>
      </c>
      <c r="M181" s="22" t="inlineStr">
        <is>
          <t>Sancionar al compañero no evita que se repita el hecho; prohibir las visitas de campo elimina la función en lugar de controlar el riesgo.</t>
        </is>
      </c>
      <c r="N181" s="22" t="inlineStr">
        <is>
          <t>Decreto 1072 de 2015, art. 2.2.4.6.32; Resolución 1401 de 2007</t>
        </is>
      </c>
      <c r="O181" s="22" t="inlineStr">
        <is>
          <t>SI</t>
        </is>
      </c>
      <c r="P181" s="16" t="inlineStr">
        <is>
          <t>Basica</t>
        </is>
      </c>
      <c r="Q181" s="16" t="inlineStr">
        <is>
          <t>v2</t>
        </is>
      </c>
      <c r="R181" s="16" t="inlineStr">
        <is>
          <t>Básico</t>
        </is>
      </c>
    </row>
    <row r="182" ht="23.25" customHeight="1" s="12">
      <c r="A182" s="22" t="inlineStr">
        <is>
          <t>F061-1</t>
        </is>
      </c>
      <c r="B182" s="22" t="inlineStr">
        <is>
          <t>comun</t>
        </is>
      </c>
      <c r="C182" s="22" t="inlineStr">
        <is>
          <t>Gestión pública: MIPG, control interno y riesgos</t>
        </is>
      </c>
      <c r="D182" s="22" t="inlineStr">
        <is>
          <t>C061</t>
        </is>
      </c>
      <c r="E182" s="22" t="inlineStr">
        <is>
          <t>Reporte anual del modelo de gestión</t>
        </is>
      </c>
      <c r="F182" s="22" t="inlineStr">
        <is>
          <t>La entidad prepara el reporte anual de su modelo de gestión, que se radica el 28 de febrero. El comité pregunta cuántas dimensiones tiene, cuál es el corazón del modelo y con qué instrumento se mide el avance de cada entidad.</t>
        </is>
      </c>
      <c r="G182" s="22" t="inlineStr">
        <is>
          <t>MIPG se organiza en</t>
        </is>
      </c>
      <c r="H182" s="22" t="inlineStr">
        <is>
          <t>Doce objetivos de desarrollo sostenible</t>
        </is>
      </c>
      <c r="I182" s="22" t="inlineStr">
        <is>
          <t>Tres niveles de autoridad</t>
        </is>
      </c>
      <c r="J182" s="22" t="inlineStr">
        <is>
          <t>Siete dimensiones operativas</t>
        </is>
      </c>
      <c r="K182" s="22" t="inlineStr">
        <is>
          <t>C</t>
        </is>
      </c>
      <c r="L182" s="22" t="inlineStr">
        <is>
          <t>El modelo integrado de planeación y gestión tiene siete dimensiones. Decreto 1499 de 2017, artículo 2.2.22.3.2; Manual Operativo de MIPG.</t>
        </is>
      </c>
      <c r="M182" s="22" t="inlineStr">
        <is>
          <t>Los objetivos de desarrollo sostenible son una agenda internacional, no la estructura del modelo; los niveles de autoridad describen la jerarquía, no las dimensiones.</t>
        </is>
      </c>
      <c r="N182" s="22" t="inlineStr">
        <is>
          <t>Decreto 1499 de 2017, art. 2.2.22.3.2</t>
        </is>
      </c>
      <c r="O182" s="22" t="inlineStr">
        <is>
          <t>SI</t>
        </is>
      </c>
      <c r="P182" s="16" t="inlineStr">
        <is>
          <t>Basica</t>
        </is>
      </c>
      <c r="Q182" s="16" t="inlineStr">
        <is>
          <t>v2</t>
        </is>
      </c>
      <c r="R182" s="16" t="inlineStr">
        <is>
          <t>Básico</t>
        </is>
      </c>
    </row>
    <row r="183" ht="23.25" customHeight="1" s="12">
      <c r="A183" s="22" t="inlineStr">
        <is>
          <t>F061-2</t>
        </is>
      </c>
      <c r="B183" s="22" t="inlineStr">
        <is>
          <t>comun</t>
        </is>
      </c>
      <c r="C183" s="22" t="inlineStr">
        <is>
          <t>Gestión pública: MIPG, control interno y riesgos</t>
        </is>
      </c>
      <c r="D183" s="22" t="inlineStr">
        <is>
          <t>C061</t>
        </is>
      </c>
      <c r="E183" s="22" t="inlineStr">
        <is>
          <t>Reporte anual del modelo de gestión</t>
        </is>
      </c>
      <c r="F183" s="22" t="inlineStr">
        <is>
          <t>La entidad prepara el reporte anual de su modelo de gestión, que se radica el 28 de febrero. El comité pregunta cuántas dimensiones tiene, cuál es el corazón del modelo y con qué instrumento se mide el avance de cada entidad.</t>
        </is>
      </c>
      <c r="G183" s="22" t="inlineStr">
        <is>
          <t>La dimensión que MIPG considera el corazón del modelo es</t>
        </is>
      </c>
      <c r="H183" s="22" t="inlineStr">
        <is>
          <t>Talento humano</t>
        </is>
      </c>
      <c r="I183" s="22" t="inlineStr">
        <is>
          <t>Información y comunicación</t>
        </is>
      </c>
      <c r="J183" s="22" t="inlineStr">
        <is>
          <t>Gestión presupuestal</t>
        </is>
      </c>
      <c r="K183" s="22" t="inlineStr">
        <is>
          <t>A</t>
        </is>
      </c>
      <c r="L183" s="22" t="inlineStr">
        <is>
          <t>El talento humano es el corazón del modelo. Decreto 1499 de 2017, artículo 2.2.22.3.2; Manual Operativo de MIPG.</t>
        </is>
      </c>
      <c r="M183" s="22" t="inlineStr">
        <is>
          <t>Información y comunicación es una dimensión de soporte; la gestión presupuestal es un componente, y ninguna de las dos ocupa el centro del modelo.</t>
        </is>
      </c>
      <c r="N183" s="22" t="inlineStr">
        <is>
          <t>Decreto 1499 de 2017, art. 2.2.22.3.2</t>
        </is>
      </c>
      <c r="O183" s="22" t="inlineStr">
        <is>
          <t>SI</t>
        </is>
      </c>
      <c r="P183" s="16" t="inlineStr">
        <is>
          <t>Basica</t>
        </is>
      </c>
      <c r="Q183" s="16" t="inlineStr">
        <is>
          <t>v2</t>
        </is>
      </c>
      <c r="R183" s="16" t="inlineStr">
        <is>
          <t>Básico</t>
        </is>
      </c>
    </row>
    <row r="184" ht="23.25" customHeight="1" s="12">
      <c r="A184" s="22" t="inlineStr">
        <is>
          <t>F061-3</t>
        </is>
      </c>
      <c r="B184" s="22" t="inlineStr">
        <is>
          <t>comun</t>
        </is>
      </c>
      <c r="C184" s="22" t="inlineStr">
        <is>
          <t>Gestión pública: MIPG, control interno y riesgos</t>
        </is>
      </c>
      <c r="D184" s="22" t="inlineStr">
        <is>
          <t>C061</t>
        </is>
      </c>
      <c r="E184" s="22" t="inlineStr">
        <is>
          <t>Reporte anual del modelo de gestión</t>
        </is>
      </c>
      <c r="F184" s="22" t="inlineStr">
        <is>
          <t>La entidad prepara el reporte anual de su modelo de gestión, que se radica el 28 de febrero. El comité pregunta cuántas dimensiones tiene, cuál es el corazón del modelo y con qué instrumento se mide el avance de cada entidad.</t>
        </is>
      </c>
      <c r="G184" s="22" t="inlineStr">
        <is>
          <t>El instrumento con el que se mide anualmente el avance de las entidades en MIPG es</t>
        </is>
      </c>
      <c r="H184" s="22" t="inlineStr">
        <is>
          <t>El FURAG</t>
        </is>
      </c>
      <c r="I184" s="22" t="inlineStr">
        <is>
          <t>El SIGEP</t>
        </is>
      </c>
      <c r="J184" s="22" t="inlineStr">
        <is>
          <t>El SECOP</t>
        </is>
      </c>
      <c r="K184" s="22" t="inlineStr">
        <is>
          <t>A</t>
        </is>
      </c>
      <c r="L184" s="22" t="inlineStr">
        <is>
          <t>El avance se mide con el FURAG, formulario único de reporte de avance de la gestión. Decreto 1499 de 2017, artículo 2.2.22.3.5.</t>
        </is>
      </c>
      <c r="M184" s="22" t="inlineStr">
        <is>
          <t>El SIGEP administra información de empleo público; el SECOP publica la contratación: ninguno mide el avance en el modelo de gestión.</t>
        </is>
      </c>
      <c r="N184" s="22" t="inlineStr">
        <is>
          <t>Decreto 1499 de 2017, art. 2.2.22.3.5</t>
        </is>
      </c>
      <c r="O184" s="22" t="inlineStr">
        <is>
          <t>SI</t>
        </is>
      </c>
      <c r="P184" s="16" t="inlineStr">
        <is>
          <t>Basica</t>
        </is>
      </c>
      <c r="Q184" s="16" t="inlineStr">
        <is>
          <t>v2</t>
        </is>
      </c>
      <c r="R184" s="16" t="inlineStr">
        <is>
          <t>Básico</t>
        </is>
      </c>
    </row>
    <row r="185" ht="23.25" customHeight="1" s="12">
      <c r="A185" s="22" t="inlineStr">
        <is>
          <t>F062-1</t>
        </is>
      </c>
      <c r="B185" s="22" t="inlineStr">
        <is>
          <t>comun</t>
        </is>
      </c>
      <c r="C185" s="22" t="inlineStr">
        <is>
          <t>Gestión pública: MIPG, control interno y riesgos</t>
        </is>
      </c>
      <c r="D185" s="22" t="inlineStr">
        <is>
          <t>C062</t>
        </is>
      </c>
      <c r="E185" s="22" t="inlineStr">
        <is>
          <t>Tres hallazgos y quince días</t>
        </is>
      </c>
      <c r="F185" s="22" t="inlineStr">
        <is>
          <t>La Contraloría dejó tres hallazgos en su proceso: registros sin firma, controles sin evidencia y un procedimiento desactualizado. El plan de mejoramiento se radica en quince días y el grupo está en operativo.</t>
        </is>
      </c>
      <c r="G185" s="22" t="inlineStr">
        <is>
          <t>Una acción de mejora bien formulada debe atacar</t>
        </is>
      </c>
      <c r="H185" s="22" t="inlineStr">
        <is>
          <t>A la persona responsable</t>
        </is>
      </c>
      <c r="I185" s="22" t="inlineStr">
        <is>
          <t>La causa raíz del hallazgo</t>
        </is>
      </c>
      <c r="J185" s="22" t="inlineStr">
        <is>
          <t>Solo el síntoma visible</t>
        </is>
      </c>
      <c r="K185" s="22" t="inlineStr">
        <is>
          <t>B</t>
        </is>
      </c>
      <c r="L185" s="22" t="inlineStr">
        <is>
          <t>La Oficina de Control Interno evalúa de forma independiente el sistema de control interno y hace seguimiento a los planes de mejoramiento. Ley 87 de 1993, artículos 9 y 12.</t>
        </is>
      </c>
      <c r="M185" s="22" t="inlineStr">
        <is>
          <t>Atacar a la persona confunde responsabilidad con causa; corregir solo el síntoma deja intacta la falla que volverá a producir el hallazgo.</t>
        </is>
      </c>
      <c r="N185" s="22" t="inlineStr">
        <is>
          <t>Ley 87 de 1993, arts. 9 y 12</t>
        </is>
      </c>
      <c r="O185" s="22" t="inlineStr">
        <is>
          <t>SI</t>
        </is>
      </c>
      <c r="P185" s="16" t="inlineStr">
        <is>
          <t>Basica</t>
        </is>
      </c>
      <c r="Q185" s="16" t="inlineStr">
        <is>
          <t>v2</t>
        </is>
      </c>
      <c r="R185" s="16" t="inlineStr">
        <is>
          <t>Básico</t>
        </is>
      </c>
    </row>
    <row r="186" ht="23.25" customHeight="1" s="12">
      <c r="A186" s="22" t="inlineStr">
        <is>
          <t>F062-2</t>
        </is>
      </c>
      <c r="B186" s="22" t="inlineStr">
        <is>
          <t>comun</t>
        </is>
      </c>
      <c r="C186" s="22" t="inlineStr">
        <is>
          <t>Gestión pública: MIPG, control interno y riesgos</t>
        </is>
      </c>
      <c r="D186" s="22" t="inlineStr">
        <is>
          <t>C062</t>
        </is>
      </c>
      <c r="E186" s="22" t="inlineStr">
        <is>
          <t>Tres hallazgos y quince días</t>
        </is>
      </c>
      <c r="F186" s="22" t="inlineStr">
        <is>
          <t>La Contraloría dejó tres hallazgos en su proceso: registros sin firma, controles sin evidencia y un procedimiento desactualizado. El plan de mejoramiento se radica en quince días y el grupo está en operativo.</t>
        </is>
      </c>
      <c r="G186" s="22" t="inlineStr">
        <is>
          <t>Cada acción del plan debe tener</t>
        </is>
      </c>
      <c r="H186" s="22" t="inlineStr">
        <is>
          <t>Una descripción general y un plazo flexible, para el equipo que la ejecute</t>
        </is>
      </c>
      <c r="I186" s="22" t="inlineStr">
        <is>
          <t>Responsable, fecha, meta e indicador verificable</t>
        </is>
      </c>
      <c r="J186" s="22" t="inlineStr">
        <is>
          <t>La firma de todos los funcionarios del proceso, como constancia de su compromiso</t>
        </is>
      </c>
      <c r="K186" s="22" t="inlineStr">
        <is>
          <t>B</t>
        </is>
      </c>
      <c r="L186" s="22" t="inlineStr">
        <is>
          <t>Cada acción del plan de mejoramiento debe tener responsable, fecha, meta e indicador verificable. Ley 87 de 1993, artículo 12, literales f y g.</t>
        </is>
      </c>
      <c r="M186" s="22" t="inlineStr">
        <is>
          <t>Una descripción general impide verificar el cumplimiento; la firma de todos no reemplaza la asignación de un responsable concreto.</t>
        </is>
      </c>
      <c r="N186" s="22" t="inlineStr">
        <is>
          <t>Ley 87 de 1993, art. 12, lits. f y g</t>
        </is>
      </c>
      <c r="O186" s="22" t="inlineStr">
        <is>
          <t>SI</t>
        </is>
      </c>
      <c r="P186" s="16" t="inlineStr">
        <is>
          <t>Basica</t>
        </is>
      </c>
      <c r="Q186" s="16" t="inlineStr">
        <is>
          <t>v2</t>
        </is>
      </c>
      <c r="R186" s="16" t="inlineStr">
        <is>
          <t>Básico</t>
        </is>
      </c>
    </row>
    <row r="187" ht="23.25" customHeight="1" s="12">
      <c r="A187" s="22" t="inlineStr">
        <is>
          <t>F062-3</t>
        </is>
      </c>
      <c r="B187" s="22" t="inlineStr">
        <is>
          <t>comun</t>
        </is>
      </c>
      <c r="C187" s="22" t="inlineStr">
        <is>
          <t>Gestión pública: MIPG, control interno y riesgos</t>
        </is>
      </c>
      <c r="D187" s="22" t="inlineStr">
        <is>
          <t>C062</t>
        </is>
      </c>
      <c r="E187" s="22" t="inlineStr">
        <is>
          <t>Tres hallazgos y quince días</t>
        </is>
      </c>
      <c r="F187" s="22" t="inlineStr">
        <is>
          <t>La Contraloría dejó tres hallazgos en su proceso: registros sin firma, controles sin evidencia y un procedimiento desactualizado. El plan de mejoramiento se radica en quince días y el grupo está en operativo.</t>
        </is>
      </c>
      <c r="G187" s="22" t="inlineStr">
        <is>
          <t>El sistema de control interno de las entidades públicas se regula principalmente por</t>
        </is>
      </c>
      <c r="H187" s="22" t="inlineStr">
        <is>
          <t>La Ley 1010 de 2006</t>
        </is>
      </c>
      <c r="I187" s="22" t="inlineStr">
        <is>
          <t>La Ley 472 de 1998</t>
        </is>
      </c>
      <c r="J187" s="22" t="inlineStr">
        <is>
          <t>La Ley 87 de 1993</t>
        </is>
      </c>
      <c r="K187" s="22" t="inlineStr">
        <is>
          <t>C</t>
        </is>
      </c>
      <c r="L187" s="22" t="inlineStr">
        <is>
          <t>El plan de mejoramiento se suscribe con acciones, responsables y fechas verificables. Ley 87 de 1993, artículo 12; Decreto 1499 de 2017.</t>
        </is>
      </c>
      <c r="M187" s="22" t="inlineStr">
        <is>
          <t>La Ley 1010 de 2006 regula el acoso laboral; la Ley 472 de 1998, las acciones populares.</t>
        </is>
      </c>
      <c r="N187" s="22" t="inlineStr">
        <is>
          <t>Ley 87 de 1993, art. 12; Decreto 1499 de 2017</t>
        </is>
      </c>
      <c r="O187" s="22" t="inlineStr">
        <is>
          <t>SI</t>
        </is>
      </c>
      <c r="P187" s="16" t="inlineStr">
        <is>
          <t>Basica</t>
        </is>
      </c>
      <c r="Q187" s="16" t="inlineStr">
        <is>
          <t>v2</t>
        </is>
      </c>
      <c r="R187" s="16" t="inlineStr">
        <is>
          <t>Básico</t>
        </is>
      </c>
    </row>
    <row r="188" ht="34.5" customHeight="1" s="12">
      <c r="A188" s="22" t="inlineStr">
        <is>
          <t>F063-1</t>
        </is>
      </c>
      <c r="B188" s="22" t="inlineStr">
        <is>
          <t>comun</t>
        </is>
      </c>
      <c r="C188" s="22" t="inlineStr">
        <is>
          <t>Contratación estatal y supervisión</t>
        </is>
      </c>
      <c r="D188" s="22" t="inlineStr">
        <is>
          <t>C063</t>
        </is>
      </c>
      <c r="E188" s="22" t="inlineStr">
        <is>
          <t>Tres contratos y una sola prisa</t>
        </is>
      </c>
      <c r="F188" s="22" t="inlineStr">
        <is>
          <t>La entidad contratará una consultoría para rediseñar un proceso, un abogado de apoyo a la gestión y una obra de gran valor. El área quiere hacerlo todo por contratación directa para ganar tiempo.</t>
        </is>
      </c>
      <c r="G188" s="22" t="inlineStr">
        <is>
          <t>Cuando el seguimiento requiere conocimiento especializado o la complejidad lo justifica, se puede contratar</t>
        </is>
      </c>
      <c r="H188" s="22" t="inlineStr">
        <is>
          <t>Una interventoría con una persona natural o jurídica</t>
        </is>
      </c>
      <c r="I188" s="22" t="inlineStr">
        <is>
          <t>Un supervisor ad honorem designado entre los expertos del sector</t>
        </is>
      </c>
      <c r="J188" s="22" t="inlineStr">
        <is>
          <t>A otro contratista del mismo contrato, que conoce el alcance técnico</t>
        </is>
      </c>
      <c r="K188" s="22" t="inlineStr">
        <is>
          <t>A</t>
        </is>
      </c>
      <c r="L188" s="22" t="inlineStr">
        <is>
          <t>La Ley 1474 de 2011 distingue supervisión (entidad) de interventoría (contratada).</t>
        </is>
      </c>
      <c r="M188" s="22" t="inlineStr">
        <is>
          <t>Un supervisor ad honorem no existe en el estatuto contractual; encargar el seguimiento a otro contratista del mismo contrato elimina la independencia del control.</t>
        </is>
      </c>
      <c r="N188" s="22" t="inlineStr">
        <is>
          <t>Ley 1150 de 2007, art. 2; Ley 1474 de 2011, art. 83</t>
        </is>
      </c>
      <c r="O188" s="22" t="inlineStr">
        <is>
          <t>SI</t>
        </is>
      </c>
      <c r="P188" s="16" t="inlineStr">
        <is>
          <t>Basica</t>
        </is>
      </c>
      <c r="Q188" s="16" t="inlineStr">
        <is>
          <t>v2</t>
        </is>
      </c>
      <c r="R188" s="16" t="inlineStr">
        <is>
          <t>Básico</t>
        </is>
      </c>
    </row>
    <row r="189" ht="23.25" customHeight="1" s="12">
      <c r="A189" s="22" t="inlineStr">
        <is>
          <t>F063-2</t>
        </is>
      </c>
      <c r="B189" s="22" t="inlineStr">
        <is>
          <t>comun</t>
        </is>
      </c>
      <c r="C189" s="22" t="inlineStr">
        <is>
          <t>Contratación estatal y supervisión</t>
        </is>
      </c>
      <c r="D189" s="22" t="inlineStr">
        <is>
          <t>C063</t>
        </is>
      </c>
      <c r="E189" s="22" t="inlineStr">
        <is>
          <t>Tres contratos y una sola prisa</t>
        </is>
      </c>
      <c r="F189" s="22" t="inlineStr">
        <is>
          <t>La entidad contratará una consultoría para rediseñar un proceso, un abogado de apoyo a la gestión y una obra de gran valor. El área quiere hacerlo todo por contratación directa para ganar tiempo.</t>
        </is>
      </c>
      <c r="G189" s="22" t="inlineStr">
        <is>
          <t>La mínima cuantía corresponde a contratos cuyo valor no excede</t>
        </is>
      </c>
      <c r="H189" s="22" t="inlineStr">
        <is>
          <t>El 10 % de la menor cuantía de la entidad</t>
        </is>
      </c>
      <c r="I189" s="22" t="inlineStr">
        <is>
          <t>Cien salarios mínimos en todos los casos</t>
        </is>
      </c>
      <c r="J189" s="22" t="inlineStr">
        <is>
          <t>El 50 % del presupuesto anual</t>
        </is>
      </c>
      <c r="K189" s="22" t="inlineStr">
        <is>
          <t>A</t>
        </is>
      </c>
      <c r="L189" s="22" t="inlineStr">
        <is>
          <t>La modalidad de mínima cuantía aplica hasta el 10 % de la menor cuantía.</t>
        </is>
      </c>
      <c r="M189" s="22" t="inlineStr">
        <is>
          <t>Los cien salarios mínimos son un tope de otras figuras, no la regla general; el 50 % del presupuesto anual no guarda relación con la menor cuantía.</t>
        </is>
      </c>
      <c r="N189" s="22" t="inlineStr">
        <is>
          <t>Ley 1150 de 2007, art. 2; Ley 1474 de 2011, art. 83</t>
        </is>
      </c>
      <c r="O189" s="22" t="inlineStr">
        <is>
          <t>SI</t>
        </is>
      </c>
      <c r="P189" s="16" t="inlineStr">
        <is>
          <t>Basica</t>
        </is>
      </c>
      <c r="Q189" s="16" t="inlineStr">
        <is>
          <t>v2</t>
        </is>
      </c>
      <c r="R189" s="16" t="inlineStr">
        <is>
          <t>Básico</t>
        </is>
      </c>
    </row>
    <row r="190" ht="23.25" customHeight="1" s="12">
      <c r="A190" s="22" t="inlineStr">
        <is>
          <t>F063-3</t>
        </is>
      </c>
      <c r="B190" s="22" t="inlineStr">
        <is>
          <t>comun</t>
        </is>
      </c>
      <c r="C190" s="22" t="inlineStr">
        <is>
          <t>Contratación estatal y supervisión</t>
        </is>
      </c>
      <c r="D190" s="22" t="inlineStr">
        <is>
          <t>C063</t>
        </is>
      </c>
      <c r="E190" s="22" t="inlineStr">
        <is>
          <t>Tres contratos y una sola prisa</t>
        </is>
      </c>
      <c r="F190" s="22" t="inlineStr">
        <is>
          <t>La entidad contratará una consultoría para rediseñar un proceso, un abogado de apoyo a la gestión y una obra de gran valor. El área quiere hacerlo todo por contratación directa para ganar tiempo.</t>
        </is>
      </c>
      <c r="G190" s="22" t="inlineStr">
        <is>
          <t>La plataforma donde se publican los procesos de contratación pública es</t>
        </is>
      </c>
      <c r="H190" s="22" t="inlineStr">
        <is>
          <t>El SIGEP</t>
        </is>
      </c>
      <c r="I190" s="22" t="inlineStr">
        <is>
          <t>El SUIT</t>
        </is>
      </c>
      <c r="J190" s="22" t="inlineStr">
        <is>
          <t>El SECOP</t>
        </is>
      </c>
      <c r="K190" s="22" t="inlineStr">
        <is>
          <t>C</t>
        </is>
      </c>
      <c r="L190" s="22" t="inlineStr">
        <is>
          <t>Los procesos contractuales se publican en el SECOP. Ley 1150 de 2007, artículo 3; Decreto 1082 de 2015, artículo 2.2.1.1.1.7.1.</t>
        </is>
      </c>
      <c r="M190" s="22" t="inlineStr">
        <is>
          <t>El SIGEP registra hojas de vida y declaraciones; el SUIT inventaría trámites, no procesos contractuales.</t>
        </is>
      </c>
      <c r="N190" s="22" t="inlineStr">
        <is>
          <t>Ley 1150 de 2007, art. 3; Decreto 1082 de 2015, art. 2.2.1.1.1.7.1</t>
        </is>
      </c>
      <c r="O190" s="22" t="inlineStr">
        <is>
          <t>SI</t>
        </is>
      </c>
      <c r="P190" s="16" t="inlineStr">
        <is>
          <t>Basica</t>
        </is>
      </c>
      <c r="Q190" s="16" t="inlineStr">
        <is>
          <t>v2</t>
        </is>
      </c>
      <c r="R190" s="16" t="inlineStr">
        <is>
          <t>Básico</t>
        </is>
      </c>
    </row>
    <row r="191" ht="23.25" customHeight="1" s="12">
      <c r="A191" s="22" t="inlineStr">
        <is>
          <t>F064-1</t>
        </is>
      </c>
      <c r="B191" s="22" t="inlineStr">
        <is>
          <t>comun</t>
        </is>
      </c>
      <c r="C191" s="22" t="inlineStr">
        <is>
          <t>Contratación estatal y supervisión</t>
        </is>
      </c>
      <c r="D191" s="22" t="inlineStr">
        <is>
          <t>C064</t>
        </is>
      </c>
      <c r="E191" s="22" t="inlineStr">
        <is>
          <t>Contratista que no se presenta a liquidar</t>
        </is>
      </c>
      <c r="F191" s="22" t="inlineStr">
        <is>
          <t>Terminó un contrato de suministro hace tres meses. El contratista no responde las citaciones para liquidar y su jefe pregunta hasta cuándo puede hacerse y qué documento soportó la necesidad del contrato.</t>
        </is>
      </c>
      <c r="G191" s="22" t="inlineStr">
        <is>
          <t>A falta de término pactado, la liquidación de mutuo acuerdo se hace dentro de los</t>
        </is>
      </c>
      <c r="H191" s="22" t="inlineStr">
        <is>
          <t>Diez (10) días siguientes a la entrega del último informe de supervisión</t>
        </is>
      </c>
      <c r="I191" s="22" t="inlineStr">
        <is>
          <t>Cuatro (4) meses siguientes a la terminación</t>
        </is>
      </c>
      <c r="J191" s="22" t="inlineStr">
        <is>
          <t>Cinco (5) años siguientes</t>
        </is>
      </c>
      <c r="K191" s="22" t="inlineStr">
        <is>
          <t>B</t>
        </is>
      </c>
      <c r="L191" s="22" t="inlineStr">
        <is>
          <t>Cuatro (4) meses siguientes a la terminación para liquidar de mutuo acuerdo, si no se pactó otro plazo. Ley 1150 de 2007, artículo 11.</t>
        </is>
      </c>
      <c r="M191" s="22" t="inlineStr">
        <is>
          <t>Diez días no alcanzan para liquidar un contrato; cinco años exceden el término y dejarían el vínculo abierto indefinidamente.</t>
        </is>
      </c>
      <c r="N191" s="22" t="inlineStr">
        <is>
          <t>Ley 1150 de 2007, art. 11</t>
        </is>
      </c>
      <c r="O191" s="22" t="inlineStr">
        <is>
          <t>SI</t>
        </is>
      </c>
      <c r="P191" s="16" t="inlineStr">
        <is>
          <t>Basica</t>
        </is>
      </c>
      <c r="Q191" s="16" t="inlineStr">
        <is>
          <t>v2</t>
        </is>
      </c>
      <c r="R191" s="16" t="inlineStr">
        <is>
          <t>Básico</t>
        </is>
      </c>
    </row>
    <row r="192" ht="23.25" customHeight="1" s="12">
      <c r="A192" s="22" t="inlineStr">
        <is>
          <t>F064-2</t>
        </is>
      </c>
      <c r="B192" s="22" t="inlineStr">
        <is>
          <t>comun</t>
        </is>
      </c>
      <c r="C192" s="22" t="inlineStr">
        <is>
          <t>Contratación estatal y supervisión</t>
        </is>
      </c>
      <c r="D192" s="22" t="inlineStr">
        <is>
          <t>C064</t>
        </is>
      </c>
      <c r="E192" s="22" t="inlineStr">
        <is>
          <t>Contratista que no se presenta a liquidar</t>
        </is>
      </c>
      <c r="F192" s="22" t="inlineStr">
        <is>
          <t>Terminó un contrato de suministro hace tres meses. El contratista no responde las citaciones para liquidar y su jefe pregunta hasta cuándo puede hacerse y qué documento soportó la necesidad del contrato.</t>
        </is>
      </c>
      <c r="G192" s="22" t="inlineStr">
        <is>
          <t>Si el contratista no se presenta a liquidar, la entidad puede</t>
        </is>
      </c>
      <c r="H192" s="22" t="inlineStr">
        <is>
          <t>Pedir al juez que liquide de inmediato</t>
        </is>
      </c>
      <c r="I192" s="22" t="inlineStr">
        <is>
          <t>Liquidar unilateralmente dentro de los dos meses siguientes</t>
        </is>
      </c>
      <c r="J192" s="22" t="inlineStr">
        <is>
          <t>Abstenerse de liquidar hasta que el contratista acepte presentarse voluntariamente</t>
        </is>
      </c>
      <c r="K192" s="22" t="inlineStr">
        <is>
          <t>B</t>
        </is>
      </c>
      <c r="L192" s="22" t="inlineStr">
        <is>
          <t>Dos (2) meses más tiene la entidad para liquidar unilateralmente si el contratista no se presenta. Ley 1150 de 2007, artículo 11.</t>
        </is>
      </c>
      <c r="M192" s="22" t="inlineStr">
        <is>
          <t>Acudir al juez de entrada omite la facultad que la ley da a la entidad; abstenerse de liquidar deja el contrato sin cierre y sin saldos definidos.</t>
        </is>
      </c>
      <c r="N192" s="22" t="inlineStr">
        <is>
          <t>Ley 1150 de 2007, art. 11</t>
        </is>
      </c>
      <c r="O192" s="22" t="inlineStr">
        <is>
          <t>SI</t>
        </is>
      </c>
      <c r="P192" s="16" t="inlineStr">
        <is>
          <t>Basica</t>
        </is>
      </c>
      <c r="Q192" s="16" t="inlineStr">
        <is>
          <t>v2</t>
        </is>
      </c>
      <c r="R192" s="16" t="inlineStr">
        <is>
          <t>Básico</t>
        </is>
      </c>
    </row>
    <row r="193" ht="23.25" customHeight="1" s="12">
      <c r="A193" s="22" t="inlineStr">
        <is>
          <t>F064-3</t>
        </is>
      </c>
      <c r="B193" s="22" t="inlineStr">
        <is>
          <t>comun</t>
        </is>
      </c>
      <c r="C193" s="22" t="inlineStr">
        <is>
          <t>Contratación estatal y supervisión</t>
        </is>
      </c>
      <c r="D193" s="22" t="inlineStr">
        <is>
          <t>C064</t>
        </is>
      </c>
      <c r="E193" s="22" t="inlineStr">
        <is>
          <t>Contratista que no se presenta a liquidar</t>
        </is>
      </c>
      <c r="F193" s="22" t="inlineStr">
        <is>
          <t>Terminó un contrato de suministro hace tres meses. El contratista no responde las citaciones para liquidar y su jefe pregunta hasta cuándo puede hacerse y qué documento soportó la necesidad del contrato.</t>
        </is>
      </c>
      <c r="G193" s="22" t="inlineStr">
        <is>
          <t>El documento que respalda la necesidad, el objeto y el valor del contrato antes de iniciar el proceso es</t>
        </is>
      </c>
      <c r="H193" s="22" t="inlineStr">
        <is>
          <t>El acta motivada de liquidación</t>
        </is>
      </c>
      <c r="I193" s="22" t="inlineStr">
        <is>
          <t>El informe previo de supervisión</t>
        </is>
      </c>
      <c r="J193" s="22" t="inlineStr">
        <is>
          <t>El estudio previo del proceso</t>
        </is>
      </c>
      <c r="K193" s="22" t="inlineStr">
        <is>
          <t>C</t>
        </is>
      </c>
      <c r="L193" s="22" t="inlineStr">
        <is>
          <t>Los estudios previos sustentan la necesidad y condiciones del contrato.</t>
        </is>
      </c>
      <c r="M193" s="22" t="inlineStr">
        <is>
          <t>El acta de liquidación cierra el contrato al final; el informe de supervisión documenta la ejecución, no la necesidad previa.</t>
        </is>
      </c>
      <c r="N193" s="22" t="inlineStr">
        <is>
          <t>Ley 1150 de 2007, art. 11; Decreto 1082 de 2015</t>
        </is>
      </c>
      <c r="O193" s="22" t="inlineStr">
        <is>
          <t>SI</t>
        </is>
      </c>
      <c r="P193" s="16" t="inlineStr">
        <is>
          <t>Basica</t>
        </is>
      </c>
      <c r="Q193" s="16" t="inlineStr">
        <is>
          <t>v2</t>
        </is>
      </c>
      <c r="R193" s="16" t="inlineStr">
        <is>
          <t>Básico</t>
        </is>
      </c>
    </row>
    <row r="194" ht="23.25" customHeight="1" s="12">
      <c r="A194" s="22" t="inlineStr">
        <is>
          <t>F065-1</t>
        </is>
      </c>
      <c r="B194" s="22" t="inlineStr">
        <is>
          <t>comun</t>
        </is>
      </c>
      <c r="C194" s="22" t="inlineStr">
        <is>
          <t>Atención al ciudadano y derecho de petición</t>
        </is>
      </c>
      <c r="D194" s="22" t="inlineStr">
        <is>
          <t>C065</t>
        </is>
      </c>
      <c r="E194" s="22" t="inlineStr">
        <is>
          <t>Puertas que se cierran a las cuatro</t>
        </is>
      </c>
      <c r="F194" s="22" t="inlineStr">
        <is>
          <t>La entidad actualiza sus documentos de atención. En la sede, un vigilante cierra la puerta a las 4:00 p. m. con quince personas adentro, y dos adultos mayores llevan dos horas esperando turno.</t>
        </is>
      </c>
      <c r="G194" s="22" t="inlineStr">
        <is>
          <t>La carta de trato digno al usuario debe</t>
        </is>
      </c>
      <c r="H194" s="22" t="inlineStr">
        <is>
          <t>Informar sus derechos y los medios para hacerlos efectivos</t>
        </is>
      </c>
      <c r="I194" s="22" t="inlineStr">
        <is>
          <t>Informar los horarios y los canales de atención de la entidad</t>
        </is>
      </c>
      <c r="J194" s="22" t="inlineStr">
        <is>
          <t>Informar los deberes del usuario frente a cada trámite</t>
        </is>
      </c>
      <c r="K194" s="22" t="inlineStr">
        <is>
          <t>A</t>
        </is>
      </c>
      <c r="L194" s="22" t="inlineStr">
        <is>
          <t>El artículo 7 del CPACA obliga a expedir y hacer visible la carta de trato digno.</t>
        </is>
      </c>
      <c r="M194" s="22" t="inlineStr">
        <is>
          <t>Informar horarios y canales es útil, pero no es el contenido de la carta; enumerar deberes del usuario invierte el sentido del documento.</t>
        </is>
      </c>
      <c r="N194" s="22" t="inlineStr">
        <is>
          <t>Ley 1437 de 2011, arts. 5 y 7</t>
        </is>
      </c>
      <c r="O194" s="22" t="inlineStr">
        <is>
          <t>SI</t>
        </is>
      </c>
      <c r="P194" s="16" t="inlineStr">
        <is>
          <t>Media</t>
        </is>
      </c>
      <c r="Q194" s="16" t="inlineStr">
        <is>
          <t>v2</t>
        </is>
      </c>
      <c r="R194" s="16" t="inlineStr">
        <is>
          <t>Básico</t>
        </is>
      </c>
    </row>
    <row r="195" ht="34.5" customHeight="1" s="12">
      <c r="A195" s="22" t="inlineStr">
        <is>
          <t>F065-2</t>
        </is>
      </c>
      <c r="B195" s="22" t="inlineStr">
        <is>
          <t>comun</t>
        </is>
      </c>
      <c r="C195" s="22" t="inlineStr">
        <is>
          <t>Atención al ciudadano y derecho de petición</t>
        </is>
      </c>
      <c r="D195" s="22" t="inlineStr">
        <is>
          <t>C065</t>
        </is>
      </c>
      <c r="E195" s="22" t="inlineStr">
        <is>
          <t>Puertas que se cierran a las cuatro</t>
        </is>
      </c>
      <c r="F195" s="22" t="inlineStr">
        <is>
          <t>La entidad actualiza sus documentos de atención. En la sede, un vigilante cierra la puerta a las 4:00 p. m. con quince personas adentro, y dos adultos mayores llevan dos horas esperando turno.</t>
        </is>
      </c>
      <c r="G195" s="22" t="inlineStr">
        <is>
          <t>Dentro de los deberes de las autoridades en la atención al público está</t>
        </is>
      </c>
      <c r="H195" s="22" t="inlineStr">
        <is>
          <t>Atender a quienes ingresaron dentro del horario normal</t>
        </is>
      </c>
      <c r="I195" s="22" t="inlineStr">
        <is>
          <t>Atender a quienes alcanzaron a pedir cita para ese día</t>
        </is>
      </c>
      <c r="J195" s="22" t="inlineStr">
        <is>
          <t>Atender hasta la hora de cierre y pedir que vuelvan mañana</t>
        </is>
      </c>
      <c r="K195" s="22" t="inlineStr">
        <is>
          <t>A</t>
        </is>
      </c>
      <c r="L195" s="22" t="inlineStr">
        <is>
          <t>El CPACA ordena atender a quienes ingresaron dentro del horario.</t>
        </is>
      </c>
      <c r="M195" s="22" t="inlineStr">
        <is>
          <t>Atender solo a quien pidió cita excluye a quien llegó por ventanilla; cerrar a la hora exacta desconoce el deber frente a quienes ya ingresaron.</t>
        </is>
      </c>
      <c r="N195" s="22" t="inlineStr">
        <is>
          <t>Ley 1437 de 2011, arts. 5 y 7</t>
        </is>
      </c>
      <c r="O195" s="22" t="inlineStr">
        <is>
          <t>SI</t>
        </is>
      </c>
      <c r="P195" s="16" t="inlineStr">
        <is>
          <t>Media</t>
        </is>
      </c>
      <c r="Q195" s="16" t="inlineStr">
        <is>
          <t>v2</t>
        </is>
      </c>
      <c r="R195" s="16" t="inlineStr">
        <is>
          <t>Básico</t>
        </is>
      </c>
    </row>
    <row r="196" ht="23.25" customHeight="1" s="12">
      <c r="A196" s="22" t="inlineStr">
        <is>
          <t>F065-3</t>
        </is>
      </c>
      <c r="B196" s="22" t="inlineStr">
        <is>
          <t>comun</t>
        </is>
      </c>
      <c r="C196" s="22" t="inlineStr">
        <is>
          <t>Atención al ciudadano y derecho de petición</t>
        </is>
      </c>
      <c r="D196" s="22" t="inlineStr">
        <is>
          <t>C065</t>
        </is>
      </c>
      <c r="E196" s="22" t="inlineStr">
        <is>
          <t>Puertas que se cierran a las cuatro</t>
        </is>
      </c>
      <c r="F196" s="22" t="inlineStr">
        <is>
          <t>La entidad actualiza sus documentos de atención. En la sede, un vigilante cierra la puerta a las 4:00 p. m. con quince personas adentro, y dos adultos mayores llevan dos horas esperando turno.</t>
        </is>
      </c>
      <c r="G196" s="22" t="inlineStr">
        <is>
          <t>Las personas en situación de discapacidad, niños y adultos mayores tienen derecho a</t>
        </is>
      </c>
      <c r="H196" s="22" t="inlineStr">
        <is>
          <t>Esperar su turno, como los demás usuarios</t>
        </is>
      </c>
      <c r="I196" s="22" t="inlineStr">
        <is>
          <t>Recibir atención en la primera hora y en ventanilla aparte</t>
        </is>
      </c>
      <c r="J196" s="22" t="inlineStr">
        <is>
          <t>Recibir atención especial y preferente</t>
        </is>
      </c>
      <c r="K196" s="22" t="inlineStr">
        <is>
          <t>C</t>
        </is>
      </c>
      <c r="L196" s="22" t="inlineStr">
        <is>
          <t>El CPACA reconoce la atención prioritaria a sujetos de especial protección.</t>
        </is>
      </c>
      <c r="M196" s="22" t="inlineStr">
        <is>
          <t>Hacerlos esperar como a los demás desconoce la protección especial; fijar la primera hora del día no es la atención preferente que ordena la ley.</t>
        </is>
      </c>
      <c r="N196" s="22" t="inlineStr">
        <is>
          <t>Ley 1437 de 2011, arts. 5 y 7</t>
        </is>
      </c>
      <c r="O196" s="22" t="inlineStr">
        <is>
          <t>SI</t>
        </is>
      </c>
      <c r="P196" s="16" t="inlineStr">
        <is>
          <t>Media</t>
        </is>
      </c>
      <c r="Q196" s="16" t="inlineStr">
        <is>
          <t>v2</t>
        </is>
      </c>
      <c r="R196" s="16" t="inlineStr">
        <is>
          <t>Básico</t>
        </is>
      </c>
    </row>
    <row r="197" ht="23.25" customHeight="1" s="12">
      <c r="A197" s="22" t="inlineStr">
        <is>
          <t>F066-1</t>
        </is>
      </c>
      <c r="B197" s="22" t="inlineStr">
        <is>
          <t>comun</t>
        </is>
      </c>
      <c r="C197" s="22" t="inlineStr">
        <is>
          <t>Protección de datos y seguridad de la información</t>
        </is>
      </c>
      <c r="D197" s="22" t="inlineStr">
        <is>
          <t>C066</t>
        </is>
      </c>
      <c r="E197" s="22" t="inlineStr">
        <is>
          <t>Ciudadano que pide corregir sus datos</t>
        </is>
      </c>
      <c r="F197" s="22" t="inlineStr">
        <is>
          <t>Un ciudadano pide saber qué datos suyos tiene la entidad, exige corregir su dirección y pregunta ante quién reclama si no le responden. Su historia clínica está en el expediente de un evento adverso.</t>
        </is>
      </c>
      <c r="G197" s="22" t="inlineStr">
        <is>
          <t>Entre los derechos del titular de datos personales está</t>
        </is>
      </c>
      <c r="H197" s="22" t="inlineStr">
        <is>
          <t>Exigir que sus datos se publiquen y se compartan</t>
        </is>
      </c>
      <c r="I197" s="22" t="inlineStr">
        <is>
          <t>Conocer, actualizar y rectificar sus datos</t>
        </is>
      </c>
      <c r="J197" s="22" t="inlineStr">
        <is>
          <t>Ceder sus datos a la entidad</t>
        </is>
      </c>
      <c r="K197" s="22" t="inlineStr">
        <is>
          <t>B</t>
        </is>
      </c>
      <c r="L197" s="22" t="inlineStr">
        <is>
          <t>El titular tiene derecho a conocer, actualizar y rectificar sus datos personales. Ley 1581 de 2012, artículo 8, literal a.</t>
        </is>
      </c>
      <c r="M197" s="22" t="inlineStr">
        <is>
          <t>Exigir la publicación de sus datos contradice la protección de la información; ceder los datos gratuitamente no es un derecho, sino una autorización.</t>
        </is>
      </c>
      <c r="N197" s="22" t="inlineStr">
        <is>
          <t>Ley 1581 de 2012, art. 8, lit. a</t>
        </is>
      </c>
      <c r="O197" s="22" t="inlineStr">
        <is>
          <t>SI</t>
        </is>
      </c>
      <c r="P197" s="16" t="inlineStr">
        <is>
          <t>Basica</t>
        </is>
      </c>
      <c r="Q197" s="16" t="inlineStr">
        <is>
          <t>v2</t>
        </is>
      </c>
      <c r="R197" s="16" t="inlineStr">
        <is>
          <t>Básico</t>
        </is>
      </c>
    </row>
    <row r="198" ht="23.25" customHeight="1" s="12">
      <c r="A198" s="22" t="inlineStr">
        <is>
          <t>F066-2</t>
        </is>
      </c>
      <c r="B198" s="22" t="inlineStr">
        <is>
          <t>comun</t>
        </is>
      </c>
      <c r="C198" s="22" t="inlineStr">
        <is>
          <t>Protección de datos y seguridad de la información</t>
        </is>
      </c>
      <c r="D198" s="22" t="inlineStr">
        <is>
          <t>C066</t>
        </is>
      </c>
      <c r="E198" s="22" t="inlineStr">
        <is>
          <t>Ciudadano que pide corregir sus datos</t>
        </is>
      </c>
      <c r="F198" s="22" t="inlineStr">
        <is>
          <t>Un ciudadano pide saber qué datos suyos tiene la entidad, exige corregir su dirección y pregunta ante quién reclama si no le responden. Su historia clínica está en el expediente de un evento adverso.</t>
        </is>
      </c>
      <c r="G198" s="22" t="inlineStr">
        <is>
          <t>La autoridad de protección de datos personales en Colombia es</t>
        </is>
      </c>
      <c r="H198" s="22" t="inlineStr">
        <is>
          <t>La Superintendencia de Industria y Comercio</t>
        </is>
      </c>
      <c r="I198" s="22" t="inlineStr">
        <is>
          <t>El Ministerio de Tecnologías de la Información y las Comunicaciones</t>
        </is>
      </c>
      <c r="J198" s="22" t="inlineStr">
        <is>
          <t>La Superintendencia Nacional de Salud</t>
        </is>
      </c>
      <c r="K198" s="22" t="inlineStr">
        <is>
          <t>A</t>
        </is>
      </c>
      <c r="L198" s="22" t="inlineStr">
        <is>
          <t>La autoridad de protección de datos personales es la Superintendencia de Industria y Comercio, ante la cual se presentan las quejas. Ley 1581 de 2012, artículos 8, literal d, y 19.</t>
        </is>
      </c>
      <c r="M198" s="22" t="inlineStr">
        <is>
          <t>El Ministerio de Tecnologías de la Información y las Comunicaciones fija política digital, no protege datos personales; la Superintendencia Nacional de Salud vigila el sistema de salud.</t>
        </is>
      </c>
      <c r="N198" s="22" t="inlineStr">
        <is>
          <t>Ley 1581 de 2012, arts. 8, lit. d, y 19</t>
        </is>
      </c>
      <c r="O198" s="22" t="inlineStr">
        <is>
          <t>SI</t>
        </is>
      </c>
      <c r="P198" s="16" t="inlineStr">
        <is>
          <t>Basica</t>
        </is>
      </c>
      <c r="Q198" s="16" t="inlineStr">
        <is>
          <t>v2</t>
        </is>
      </c>
      <c r="R198" s="16" t="inlineStr">
        <is>
          <t>Básico</t>
        </is>
      </c>
    </row>
    <row r="199" ht="23.25" customHeight="1" s="12">
      <c r="A199" s="22" t="inlineStr">
        <is>
          <t>F066-3</t>
        </is>
      </c>
      <c r="B199" s="22" t="inlineStr">
        <is>
          <t>comun</t>
        </is>
      </c>
      <c r="C199" s="22" t="inlineStr">
        <is>
          <t>Protección de datos y seguridad de la información</t>
        </is>
      </c>
      <c r="D199" s="22" t="inlineStr">
        <is>
          <t>C066</t>
        </is>
      </c>
      <c r="E199" s="22" t="inlineStr">
        <is>
          <t>Ciudadano que pide corregir sus datos</t>
        </is>
      </c>
      <c r="F199" s="22" t="inlineStr">
        <is>
          <t>Un ciudadano pide saber qué datos suyos tiene la entidad, exige corregir su dirección y pregunta ante quién reclama si no le responden. Su historia clínica está en el expediente de un evento adverso.</t>
        </is>
      </c>
      <c r="G199" s="22" t="inlineStr">
        <is>
          <t>Para tratar datos personales, por regla general se requiere</t>
        </is>
      </c>
      <c r="H199" s="22" t="inlineStr">
        <is>
          <t>Autorización previa del titular, salvo excepción legal</t>
        </is>
      </c>
      <c r="I199" s="22" t="inlineStr">
        <is>
          <t>Aprobación del jefe y del comité de la dependencia</t>
        </is>
      </c>
      <c r="J199" s="22" t="inlineStr">
        <is>
          <t>Registro previo de la base, ante el comité de la entidad</t>
        </is>
      </c>
      <c r="K199" s="22" t="inlineStr">
        <is>
          <t>A</t>
        </is>
      </c>
      <c r="L199" s="22" t="inlineStr">
        <is>
          <t>El tratamiento requiere autorización previa e informada del titular, salvo las excepciones del artículo 10. Ley 1581 de 2012, artículos 9 y 10.</t>
        </is>
      </c>
      <c r="M199" s="22" t="inlineStr">
        <is>
          <t>La aprobación del jefe no sustituye la autorización del titular; el registro interno de la base no es el requisito que la ley exige para tratar los datos.</t>
        </is>
      </c>
      <c r="N199" s="22" t="inlineStr">
        <is>
          <t>Ley 1581 de 2012, arts. 9 y 10</t>
        </is>
      </c>
      <c r="O199" s="22" t="inlineStr">
        <is>
          <t>SI</t>
        </is>
      </c>
      <c r="P199" s="16" t="inlineStr">
        <is>
          <t>Basica</t>
        </is>
      </c>
      <c r="Q199" s="16" t="inlineStr">
        <is>
          <t>v2</t>
        </is>
      </c>
      <c r="R199" s="16" t="inlineStr">
        <is>
          <t>Básico</t>
        </is>
      </c>
    </row>
    <row r="200" ht="34.5" customHeight="1" s="12">
      <c r="A200" s="22" t="inlineStr">
        <is>
          <t>F067-1</t>
        </is>
      </c>
      <c r="B200" s="22" t="inlineStr">
        <is>
          <t>comun</t>
        </is>
      </c>
      <c r="C200" s="22" t="inlineStr">
        <is>
          <t>Estado colombiano y función administrativa</t>
        </is>
      </c>
      <c r="D200" s="22" t="inlineStr">
        <is>
          <t>C067</t>
        </is>
      </c>
      <c r="E200" s="22" t="inlineStr">
        <is>
          <t>Audiencia de rendición de cuentas</t>
        </is>
      </c>
      <c r="F200" s="22" t="inlineStr">
        <is>
          <t>Su entidad prepara la audiencia anual de rendición de cuentas. El informe no se ha publicado, la convocatoria salió ayer y la dirección quiere presentar solo los logros del año.</t>
        </is>
      </c>
      <c r="G200" s="22" t="inlineStr">
        <is>
          <t>La rendición de cuentas es un proceso</t>
        </is>
      </c>
      <c r="H200" s="22" t="inlineStr">
        <is>
          <t>Permanente de diálogo con la ciudadanía sobre la gestión</t>
        </is>
      </c>
      <c r="I200" s="22" t="inlineStr">
        <is>
          <t>Que se cumple con publicar el informe financiero anual en la página web de la entidad</t>
        </is>
      </c>
      <c r="J200" s="22" t="inlineStr">
        <is>
          <t>Exclusivo para los organismos de control</t>
        </is>
      </c>
      <c r="K200" s="22" t="inlineStr">
        <is>
          <t>A</t>
        </is>
      </c>
      <c r="L200" s="22" t="inlineStr">
        <is>
          <t>La rendición de cuentas es un proceso permanente de diálogo con la ciudadanía. Ley 1757 de 2015, artículo 48.</t>
        </is>
      </c>
      <c r="M200" s="22" t="inlineStr">
        <is>
          <t>Publicar un informe financiero es un acto puntual, no un proceso; reducirla a los organismos de control excluye a la ciudadanía, que es la destinataria.</t>
        </is>
      </c>
      <c r="N200" s="22" t="inlineStr">
        <is>
          <t>Ley 1757 de 2015, art. 48</t>
        </is>
      </c>
      <c r="O200" s="22" t="inlineStr">
        <is>
          <t>SI</t>
        </is>
      </c>
      <c r="P200" s="16" t="inlineStr">
        <is>
          <t>Media</t>
        </is>
      </c>
      <c r="Q200" s="16" t="inlineStr">
        <is>
          <t>v2</t>
        </is>
      </c>
      <c r="R200" s="16" t="inlineStr">
        <is>
          <t>Básico</t>
        </is>
      </c>
    </row>
    <row r="201" ht="23.25" customHeight="1" s="12">
      <c r="A201" s="22" t="inlineStr">
        <is>
          <t>F067-2</t>
        </is>
      </c>
      <c r="B201" s="22" t="inlineStr">
        <is>
          <t>comun</t>
        </is>
      </c>
      <c r="C201" s="22" t="inlineStr">
        <is>
          <t>Estado colombiano y función administrativa</t>
        </is>
      </c>
      <c r="D201" s="22" t="inlineStr">
        <is>
          <t>C067</t>
        </is>
      </c>
      <c r="E201" s="22" t="inlineStr">
        <is>
          <t>Audiencia de rendición de cuentas</t>
        </is>
      </c>
      <c r="F201" s="22" t="inlineStr">
        <is>
          <t>Su entidad prepara la audiencia anual de rendición de cuentas. El informe no se ha publicado, la convocatoria salió ayer y la dirección quiere presentar solo los logros del año.</t>
        </is>
      </c>
      <c r="G201" s="22" t="inlineStr">
        <is>
          <t>La ley estatutaria que regula la participación democrática es</t>
        </is>
      </c>
      <c r="H201" s="22" t="inlineStr">
        <is>
          <t>La Ley 1757 de 2015</t>
        </is>
      </c>
      <c r="I201" s="22" t="inlineStr">
        <is>
          <t>La Ley 1437 de 2011</t>
        </is>
      </c>
      <c r="J201" s="22" t="inlineStr">
        <is>
          <t>La Ley 1581 de 2012</t>
        </is>
      </c>
      <c r="K201" s="22" t="inlineStr">
        <is>
          <t>A</t>
        </is>
      </c>
      <c r="L201" s="22" t="inlineStr">
        <is>
          <t>La rendición de cuentas de la administración pública está regulada por la Ley 1757 de 2015, artículos 48 a 59.</t>
        </is>
      </c>
      <c r="M201" s="22" t="inlineStr">
        <is>
          <t>La Ley 1437 de 2011 regula el procedimiento administrativo; la Ley 1581 de 2012, la protección de datos personales.</t>
        </is>
      </c>
      <c r="N201" s="22" t="inlineStr">
        <is>
          <t>Ley 1757 de 2015, arts. 48 a 59</t>
        </is>
      </c>
      <c r="O201" s="22" t="inlineStr">
        <is>
          <t>SI</t>
        </is>
      </c>
      <c r="P201" s="16" t="inlineStr">
        <is>
          <t>Media</t>
        </is>
      </c>
      <c r="Q201" s="16" t="inlineStr">
        <is>
          <t>v2</t>
        </is>
      </c>
      <c r="R201" s="16" t="inlineStr">
        <is>
          <t>Básico</t>
        </is>
      </c>
    </row>
    <row r="202" ht="23.25" customHeight="1" s="12">
      <c r="A202" s="22" t="inlineStr">
        <is>
          <t>F067-3</t>
        </is>
      </c>
      <c r="B202" s="22" t="inlineStr">
        <is>
          <t>comun</t>
        </is>
      </c>
      <c r="C202" s="22" t="inlineStr">
        <is>
          <t>Estado colombiano y función administrativa</t>
        </is>
      </c>
      <c r="D202" s="22" t="inlineStr">
        <is>
          <t>C067</t>
        </is>
      </c>
      <c r="E202" s="22" t="inlineStr">
        <is>
          <t>Audiencia de rendición de cuentas</t>
        </is>
      </c>
      <c r="F202" s="22" t="inlineStr">
        <is>
          <t>Su entidad prepara la audiencia anual de rendición de cuentas. El informe no se ha publicado, la convocatoria salió ayer y la dirección quiere presentar solo los logros del año.</t>
        </is>
      </c>
      <c r="G202" s="22" t="inlineStr">
        <is>
          <t>Una buena práctica para la audiencia es</t>
        </is>
      </c>
      <c r="H202" s="22" t="inlineStr">
        <is>
          <t>Limitar la asistencia a los funcionarios</t>
        </is>
      </c>
      <c r="I202" s="22" t="inlineStr">
        <is>
          <t>Presentar solo los logros del año</t>
        </is>
      </c>
      <c r="J202" s="22" t="inlineStr">
        <is>
          <t>Publicar el informe antes y recoger las preguntas ciudadanas</t>
        </is>
      </c>
      <c r="K202" s="22" t="inlineStr">
        <is>
          <t>C</t>
        </is>
      </c>
      <c r="L202" s="22" t="inlineStr">
        <is>
          <t>El informe debe publicarse con antelación y recogerse las preguntas de la ciudadanía. Ley 1757 de 2015, artículos 50 y 51.</t>
        </is>
      </c>
      <c r="M202" s="22" t="inlineStr">
        <is>
          <t>Limitar la asistencia a funcionarios convierte la audiencia en una reunión interna; presentar solo los logros impide el control ciudadano sobre lo que falló.</t>
        </is>
      </c>
      <c r="N202" s="22" t="inlineStr">
        <is>
          <t>Ley 1757 de 2015, arts. 50 y 51</t>
        </is>
      </c>
      <c r="O202" s="22" t="inlineStr">
        <is>
          <t>SI</t>
        </is>
      </c>
      <c r="P202" s="16" t="inlineStr">
        <is>
          <t>Media</t>
        </is>
      </c>
      <c r="Q202" s="16" t="inlineStr">
        <is>
          <t>v2</t>
        </is>
      </c>
      <c r="R202" s="16" t="inlineStr">
        <is>
          <t>Básico</t>
        </is>
      </c>
    </row>
    <row r="203" ht="23.25" customHeight="1" s="12">
      <c r="A203" s="22" t="inlineStr">
        <is>
          <t>F068-1</t>
        </is>
      </c>
      <c r="B203" s="22" t="inlineStr">
        <is>
          <t>comun</t>
        </is>
      </c>
      <c r="C203" s="22" t="inlineStr">
        <is>
          <t>Salud pública y sistema de salud</t>
        </is>
      </c>
      <c r="D203" s="22" t="inlineStr">
        <is>
          <t>C068</t>
        </is>
      </c>
      <c r="E203" s="22" t="inlineStr">
        <is>
          <t>Dónde buscar las normas del sector</t>
        </is>
      </c>
      <c r="F203" s="22" t="inlineStr">
        <is>
          <t>Un compañero nuevo pregunta dónde buscar las normas del sector salud, cuál es el código sanitario y qué ley fijó las competencias del Invima en puertos y aeropuertos.</t>
        </is>
      </c>
      <c r="G203" s="22" t="inlineStr">
        <is>
          <t>El decreto único reglamentario del sector salud y protección social es</t>
        </is>
      </c>
      <c r="H203" s="22" t="inlineStr">
        <is>
          <t>El Decreto 780 de 2016</t>
        </is>
      </c>
      <c r="I203" s="22" t="inlineStr">
        <is>
          <t>El Decreto 1083 de 2015</t>
        </is>
      </c>
      <c r="J203" s="22" t="inlineStr">
        <is>
          <t>El Decreto 1082 de 2015</t>
        </is>
      </c>
      <c r="K203" s="22" t="inlineStr">
        <is>
          <t>A</t>
        </is>
      </c>
      <c r="L203" s="22" t="inlineStr">
        <is>
          <t>El Decreto 780 de 2016 compila las normas reglamentarias del sector salud.</t>
        </is>
      </c>
      <c r="M203" s="22" t="inlineStr">
        <is>
          <t>El Decreto 1083 de 2015 compila el sector de función pública; el 1082 de 2015, el de planeación y contratación.</t>
        </is>
      </c>
      <c r="N203" s="22" t="inlineStr">
        <is>
          <t>Decreto 780 de 2016; Ley 9 de 1979; Ley 1122 de 2007, art. 34</t>
        </is>
      </c>
      <c r="O203" s="22" t="inlineStr">
        <is>
          <t>SI</t>
        </is>
      </c>
      <c r="P203" s="16" t="inlineStr">
        <is>
          <t>Basica</t>
        </is>
      </c>
      <c r="Q203" s="16" t="inlineStr">
        <is>
          <t>v2</t>
        </is>
      </c>
      <c r="R203" s="16" t="inlineStr">
        <is>
          <t>Básico</t>
        </is>
      </c>
    </row>
    <row r="204" ht="23.25" customHeight="1" s="12">
      <c r="A204" s="22" t="inlineStr">
        <is>
          <t>F068-2</t>
        </is>
      </c>
      <c r="B204" s="22" t="inlineStr">
        <is>
          <t>comun</t>
        </is>
      </c>
      <c r="C204" s="22" t="inlineStr">
        <is>
          <t>Salud pública y sistema de salud</t>
        </is>
      </c>
      <c r="D204" s="22" t="inlineStr">
        <is>
          <t>C068</t>
        </is>
      </c>
      <c r="E204" s="22" t="inlineStr">
        <is>
          <t>Dónde buscar las normas del sector</t>
        </is>
      </c>
      <c r="F204" s="22" t="inlineStr">
        <is>
          <t>Un compañero nuevo pregunta dónde buscar las normas del sector salud, cuál es el código sanitario y qué ley fijó las competencias del Invima en puertos y aeropuertos.</t>
        </is>
      </c>
      <c r="G204" s="22" t="inlineStr">
        <is>
          <t>La ley conocida como Código Sanitario Nacional es</t>
        </is>
      </c>
      <c r="H204" s="22" t="inlineStr">
        <is>
          <t>La Ley 1122 de 2007</t>
        </is>
      </c>
      <c r="I204" s="22" t="inlineStr">
        <is>
          <t>La Ley 100 de 1993</t>
        </is>
      </c>
      <c r="J204" s="22" t="inlineStr">
        <is>
          <t>La Ley 9 de 1979</t>
        </is>
      </c>
      <c r="K204" s="22" t="inlineStr">
        <is>
          <t>C</t>
        </is>
      </c>
      <c r="L204" s="22" t="inlineStr">
        <is>
          <t>La Ley 9 de 1979 contiene las medidas sanitarias generales.</t>
        </is>
      </c>
      <c r="M204" s="22" t="inlineStr">
        <is>
          <t>La Ley 1122 de 2007 reformó el sistema de salud; la Ley 100 de 1993 lo creó: ninguna es el código sanitario.</t>
        </is>
      </c>
      <c r="N204" s="22" t="inlineStr">
        <is>
          <t>Decreto 780 de 2016; Ley 9 de 1979; Ley 1122 de 2007, art. 34</t>
        </is>
      </c>
      <c r="O204" s="22" t="inlineStr">
        <is>
          <t>SI</t>
        </is>
      </c>
      <c r="P204" s="16" t="inlineStr">
        <is>
          <t>Basica</t>
        </is>
      </c>
      <c r="Q204" s="16" t="inlineStr">
        <is>
          <t>v2</t>
        </is>
      </c>
      <c r="R204" s="16" t="inlineStr">
        <is>
          <t>Básico</t>
        </is>
      </c>
    </row>
    <row r="205" ht="34.5" customHeight="1" s="12">
      <c r="A205" s="22" t="inlineStr">
        <is>
          <t>F068-3</t>
        </is>
      </c>
      <c r="B205" s="22" t="inlineStr">
        <is>
          <t>comun</t>
        </is>
      </c>
      <c r="C205" s="22" t="inlineStr">
        <is>
          <t>Salud pública y sistema de salud</t>
        </is>
      </c>
      <c r="D205" s="22" t="inlineStr">
        <is>
          <t>C068</t>
        </is>
      </c>
      <c r="E205" s="22" t="inlineStr">
        <is>
          <t>Dónde buscar las normas del sector</t>
        </is>
      </c>
      <c r="F205" s="22" t="inlineStr">
        <is>
          <t>Un compañero nuevo pregunta dónde buscar las normas del sector salud, cuál es el código sanitario y qué ley fijó las competencias del Invima en puertos y aeropuertos.</t>
        </is>
      </c>
      <c r="G205" s="22" t="inlineStr">
        <is>
          <t>La norma que asigna competencias exclusivas al Invima en inocuidad de alimentos en puertos, aeropuertos y pasos fronterizos es</t>
        </is>
      </c>
      <c r="H205" s="22" t="inlineStr">
        <is>
          <t>La Ley 1010 de 2006</t>
        </is>
      </c>
      <c r="I205" s="22" t="inlineStr">
        <is>
          <t>La Ley 594 de 2000</t>
        </is>
      </c>
      <c r="J205" s="22" t="inlineStr">
        <is>
          <t>La Ley 1122 de 2007</t>
        </is>
      </c>
      <c r="K205" s="22" t="inlineStr">
        <is>
          <t>C</t>
        </is>
      </c>
      <c r="L205" s="22" t="inlineStr">
        <is>
          <t>El artículo 34 de la Ley 1122 de 2007 fija esas competencias.</t>
        </is>
      </c>
      <c r="M205" s="22" t="inlineStr">
        <is>
          <t>La Ley 1010 de 2006 trata el acoso laboral; la Ley 594 de 2000, los archivos públicos.</t>
        </is>
      </c>
      <c r="N205" s="22" t="inlineStr">
        <is>
          <t>Decreto 780 de 2016; Ley 9 de 1979; Ley 1122 de 2007, art. 34</t>
        </is>
      </c>
      <c r="O205" s="22" t="inlineStr">
        <is>
          <t>SI</t>
        </is>
      </c>
      <c r="P205" s="16" t="inlineStr">
        <is>
          <t>Basica</t>
        </is>
      </c>
      <c r="Q205" s="16" t="inlineStr">
        <is>
          <t>v2</t>
        </is>
      </c>
      <c r="R205" s="16" t="inlineStr">
        <is>
          <t>Básico</t>
        </is>
      </c>
    </row>
    <row r="206" ht="23.25" customHeight="1" s="12">
      <c r="A206" s="22" t="inlineStr">
        <is>
          <t>F069-1</t>
        </is>
      </c>
      <c r="B206" s="22" t="inlineStr">
        <is>
          <t>comun</t>
        </is>
      </c>
      <c r="C206" s="22" t="inlineStr">
        <is>
          <t>Transparencia y acceso a la información pública</t>
        </is>
      </c>
      <c r="D206" s="22" t="inlineStr">
        <is>
          <t>C069</t>
        </is>
      </c>
      <c r="E206" s="22" t="inlineStr">
        <is>
          <t>Denunciante señalado en los pasillos</t>
        </is>
      </c>
      <c r="F206" s="22" t="inlineStr">
        <is>
          <t>Un servidor denunció un posible hecho de corrupción y hoy circula su nombre por los pasillos. La entidad debe actualizar sus acciones institucionales contra la corrupción y definir cómo protegerlo.</t>
        </is>
      </c>
      <c r="G206" s="22" t="inlineStr">
        <is>
          <t>La Ley 2195 de 2022 ordenó a las entidades públicas implementar</t>
        </is>
      </c>
      <c r="H206" s="22" t="inlineStr">
        <is>
          <t>Los Programas de Transparencia y Ética Pública</t>
        </is>
      </c>
      <c r="I206" s="22" t="inlineStr">
        <is>
          <t>Los planes anuales de bienestar e incentivos</t>
        </is>
      </c>
      <c r="J206" s="22" t="inlineStr">
        <is>
          <t>Los comités de conciliación y defensa judicial</t>
        </is>
      </c>
      <c r="K206" s="22" t="inlineStr">
        <is>
          <t>A</t>
        </is>
      </c>
      <c r="L206" s="22" t="inlineStr">
        <is>
          <t>La Ley 2195 de 2022 creó los Programas de Transparencia y Ética Pública.</t>
        </is>
      </c>
      <c r="M206" s="22" t="inlineStr">
        <is>
          <t>Los planes de bienestar e incentivos atienden al talento humano; los comités de conciliación manejan la defensa judicial.</t>
        </is>
      </c>
      <c r="N206" s="22" t="inlineStr">
        <is>
          <t>Ley 2195 de 2022, art. 31</t>
        </is>
      </c>
      <c r="O206" s="22" t="inlineStr">
        <is>
          <t>SI</t>
        </is>
      </c>
      <c r="P206" s="16" t="inlineStr">
        <is>
          <t>Basica</t>
        </is>
      </c>
      <c r="Q206" s="16" t="inlineStr">
        <is>
          <t>v2</t>
        </is>
      </c>
      <c r="R206" s="16" t="inlineStr">
        <is>
          <t>Básico</t>
        </is>
      </c>
    </row>
    <row r="207" ht="23.25" customHeight="1" s="12">
      <c r="A207" s="22" t="inlineStr">
        <is>
          <t>F069-2</t>
        </is>
      </c>
      <c r="B207" s="22" t="inlineStr">
        <is>
          <t>comun</t>
        </is>
      </c>
      <c r="C207" s="22" t="inlineStr">
        <is>
          <t>Transparencia y acceso a la información pública</t>
        </is>
      </c>
      <c r="D207" s="22" t="inlineStr">
        <is>
          <t>C069</t>
        </is>
      </c>
      <c r="E207" s="22" t="inlineStr">
        <is>
          <t>Denunciante señalado en los pasillos</t>
        </is>
      </c>
      <c r="F207" s="22" t="inlineStr">
        <is>
          <t>Un servidor denunció un posible hecho de corrupción y hoy circula su nombre por los pasillos. La entidad debe actualizar sus acciones institucionales contra la corrupción y definir cómo protegerlo.</t>
        </is>
      </c>
      <c r="G207" s="22" t="inlineStr">
        <is>
          <t>Un componente típico de estos programas es</t>
        </is>
      </c>
      <c r="H207" s="22" t="inlineStr">
        <is>
          <t>La reducción de la planta y la tercerización de los trámites</t>
        </is>
      </c>
      <c r="I207" s="22" t="inlineStr">
        <is>
          <t>La eliminación gradual de la atención presencial</t>
        </is>
      </c>
      <c r="J207" s="22" t="inlineStr">
        <is>
          <t>La gestión de riesgos y los canales de denuncia</t>
        </is>
      </c>
      <c r="K207" s="22" t="inlineStr">
        <is>
          <t>C</t>
        </is>
      </c>
      <c r="L207" s="22" t="inlineStr">
        <is>
          <t>Los programas integran gestión de riesgos, canales de denuncia y acciones de integridad.</t>
        </is>
      </c>
      <c r="M207" s="22" t="inlineStr">
        <is>
          <t>Reducir la planta y eliminar la atención presencial son decisiones administrativas que no combaten la corrupción por sí mismas.</t>
        </is>
      </c>
      <c r="N207" s="22" t="inlineStr">
        <is>
          <t>Ley 2195 de 2022, art. 31</t>
        </is>
      </c>
      <c r="O207" s="22" t="inlineStr">
        <is>
          <t>SI</t>
        </is>
      </c>
      <c r="P207" s="16" t="inlineStr">
        <is>
          <t>Basica</t>
        </is>
      </c>
      <c r="Q207" s="16" t="inlineStr">
        <is>
          <t>v2</t>
        </is>
      </c>
      <c r="R207" s="16" t="inlineStr">
        <is>
          <t>Básico</t>
        </is>
      </c>
    </row>
    <row r="208" ht="23.25" customHeight="1" s="12">
      <c r="A208" s="22" t="inlineStr">
        <is>
          <t>F069-3</t>
        </is>
      </c>
      <c r="B208" s="22" t="inlineStr">
        <is>
          <t>comun</t>
        </is>
      </c>
      <c r="C208" s="22" t="inlineStr">
        <is>
          <t>Transparencia y acceso a la información pública</t>
        </is>
      </c>
      <c r="D208" s="22" t="inlineStr">
        <is>
          <t>C069</t>
        </is>
      </c>
      <c r="E208" s="22" t="inlineStr">
        <is>
          <t>Denunciante señalado en los pasillos</t>
        </is>
      </c>
      <c r="F208" s="22" t="inlineStr">
        <is>
          <t>Un servidor denunció un posible hecho de corrupción y hoy circula su nombre por los pasillos. La entidad debe actualizar sus acciones institucionales contra la corrupción y definir cómo protegerlo.</t>
        </is>
      </c>
      <c r="G208" s="22" t="inlineStr">
        <is>
          <t>Si un servidor denuncia un hecho de corrupción de buena fe, la entidad debe</t>
        </is>
      </c>
      <c r="H208" s="22" t="inlineStr">
        <is>
          <t>Publicar su nombre, para dar transparencia al caso</t>
        </is>
      </c>
      <c r="I208" s="22" t="inlineStr">
        <is>
          <t>Trasladar la denuncia al denunciado para su defensa</t>
        </is>
      </c>
      <c r="J208" s="22" t="inlineStr">
        <is>
          <t>Proteger su identidad frente a cualquier represalia</t>
        </is>
      </c>
      <c r="K208" s="22" t="inlineStr">
        <is>
          <t>C</t>
        </is>
      </c>
      <c r="L208" s="22" t="inlineStr">
        <is>
          <t>La protección del denunciante es clave para que los canales funcionen.</t>
        </is>
      </c>
      <c r="M208" s="22" t="inlineStr">
        <is>
          <t>Publicar su nombre lo expone a represalias; trasladar la denuncia al denunciado revela la identidad del denunciante antes de cualquier verificación.</t>
        </is>
      </c>
      <c r="N208" s="22" t="inlineStr">
        <is>
          <t>Ley 2195 de 2022, art. 31</t>
        </is>
      </c>
      <c r="O208" s="22" t="inlineStr">
        <is>
          <t>SI</t>
        </is>
      </c>
      <c r="P208" s="16" t="inlineStr">
        <is>
          <t>Basica</t>
        </is>
      </c>
      <c r="Q208" s="16" t="inlineStr">
        <is>
          <t>v2</t>
        </is>
      </c>
      <c r="R208" s="16" t="inlineStr">
        <is>
          <t>Básico</t>
        </is>
      </c>
    </row>
    <row r="209" ht="45.75" customHeight="1" s="12">
      <c r="A209" s="22" t="inlineStr">
        <is>
          <t>F070-1</t>
        </is>
      </c>
      <c r="B209" s="22" t="inlineStr">
        <is>
          <t>invima</t>
        </is>
      </c>
      <c r="C209" s="22" t="inlineStr">
        <is>
          <t>Naturaleza y estructura del Invima</t>
        </is>
      </c>
      <c r="D209" s="22" t="inlineStr">
        <is>
          <t>C070</t>
        </is>
      </c>
      <c r="E209" s="22" t="inlineStr">
        <is>
          <t>Preguntas de un profesional nuevo</t>
        </is>
      </c>
      <c r="F209" s="22" t="inlineStr">
        <is>
          <t>En la inducción, un profesional nuevo pregunta si el Invima es una superintendencia, quién lo creó y hasta dónde llega su jurisdicción, porque cree que solo opera en Bogotá.</t>
        </is>
      </c>
      <c r="G209" s="22" t="inlineStr">
        <is>
          <t>El Invima es</t>
        </is>
      </c>
      <c r="H209" s="22" t="inlineStr">
        <is>
          <t>Un establecimiento público del orden nacional adscrito a MinSalud</t>
        </is>
      </c>
      <c r="I209" s="22" t="inlineStr">
        <is>
          <t>Una unidad administrativa especial adscrita al Ministerio de Salud</t>
        </is>
      </c>
      <c r="J209" s="22" t="inlineStr">
        <is>
          <t>Una empresa industrial y comercial del Estado del sector salud</t>
        </is>
      </c>
      <c r="K209" s="22" t="inlineStr">
        <is>
          <t>A</t>
        </is>
      </c>
      <c r="L209" s="22" t="inlineStr">
        <is>
          <t>El Invima es un establecimiento público del orden nacional, de carácter científico y tecnológico, adscrito al Ministerio de Salud y Protección Social. Decreto 2078 de 2012, artículo 1.</t>
        </is>
      </c>
      <c r="M209" s="22" t="inlineStr">
        <is>
          <t>La unidad administrativa especial es la forma del Fondo Nacional de Estupefacientes; la empresa industrial y comercial corresponde a entidades con actividad económica.</t>
        </is>
      </c>
      <c r="N209" s="22" t="inlineStr">
        <is>
          <t>Decreto 2078 de 2012, art. 1</t>
        </is>
      </c>
      <c r="O209" s="22" t="inlineStr">
        <is>
          <t>SI</t>
        </is>
      </c>
      <c r="P209" s="16" t="inlineStr">
        <is>
          <t>Media</t>
        </is>
      </c>
      <c r="Q209" s="16" t="inlineStr">
        <is>
          <t>v2</t>
        </is>
      </c>
      <c r="R209" s="16" t="inlineStr">
        <is>
          <t>Específico</t>
        </is>
      </c>
    </row>
    <row r="210" ht="23.25" customHeight="1" s="12">
      <c r="A210" s="22" t="inlineStr">
        <is>
          <t>F070-2</t>
        </is>
      </c>
      <c r="B210" s="22" t="inlineStr">
        <is>
          <t>invima</t>
        </is>
      </c>
      <c r="C210" s="22" t="inlineStr">
        <is>
          <t>Naturaleza y estructura del Invima</t>
        </is>
      </c>
      <c r="D210" s="22" t="inlineStr">
        <is>
          <t>C070</t>
        </is>
      </c>
      <c r="E210" s="22" t="inlineStr">
        <is>
          <t>Preguntas de un profesional nuevo</t>
        </is>
      </c>
      <c r="F210" s="22" t="inlineStr">
        <is>
          <t>En la inducción, un profesional nuevo pregunta si el Invima es una superintendencia, quién lo creó y hasta dónde llega su jurisdicción, porque cree que solo opera en Bogotá.</t>
        </is>
      </c>
      <c r="G210" s="22" t="inlineStr">
        <is>
          <t>El Invima fue creado por</t>
        </is>
      </c>
      <c r="H210" s="22" t="inlineStr">
        <is>
          <t>El artículo 34 de la Ley 1122 de 2007</t>
        </is>
      </c>
      <c r="I210" s="22" t="inlineStr">
        <is>
          <t>El artículo 564 de la Ley 9 de 1979</t>
        </is>
      </c>
      <c r="J210" s="22" t="inlineStr">
        <is>
          <t>El artículo 245 de la Ley 100 de 1993</t>
        </is>
      </c>
      <c r="K210" s="22" t="inlineStr">
        <is>
          <t>C</t>
        </is>
      </c>
      <c r="L210" s="22" t="inlineStr">
        <is>
          <t>El Invima fue creado por la Ley 100 de 1993, artículo 245; su estructura vigente está en el Decreto 2078 de 2012.</t>
        </is>
      </c>
      <c r="M210" s="22" t="inlineStr">
        <is>
          <t>El artículo 34 de la Ley 1122 fija competencias, no crea la entidad; la Ley 9 de 1979 es anterior y no contempla el Invima.</t>
        </is>
      </c>
      <c r="N210" s="22" t="inlineStr">
        <is>
          <t>Ley 100 de 1993, art. 245; Decreto 2078 de 2012, art. 1</t>
        </is>
      </c>
      <c r="O210" s="22" t="inlineStr">
        <is>
          <t>SI</t>
        </is>
      </c>
      <c r="P210" s="16" t="inlineStr">
        <is>
          <t>Media</t>
        </is>
      </c>
      <c r="Q210" s="16" t="inlineStr">
        <is>
          <t>v2</t>
        </is>
      </c>
      <c r="R210" s="16" t="inlineStr">
        <is>
          <t>Específico</t>
        </is>
      </c>
    </row>
    <row r="211" ht="23.25" customHeight="1" s="12">
      <c r="A211" s="22" t="inlineStr">
        <is>
          <t>F070-3</t>
        </is>
      </c>
      <c r="B211" s="22" t="inlineStr">
        <is>
          <t>invima</t>
        </is>
      </c>
      <c r="C211" s="22" t="inlineStr">
        <is>
          <t>Naturaleza y estructura del Invima</t>
        </is>
      </c>
      <c r="D211" s="22" t="inlineStr">
        <is>
          <t>C070</t>
        </is>
      </c>
      <c r="E211" s="22" t="inlineStr">
        <is>
          <t>Preguntas de un profesional nuevo</t>
        </is>
      </c>
      <c r="F211" s="22" t="inlineStr">
        <is>
          <t>En la inducción, un profesional nuevo pregunta si el Invima es una superintendencia, quién lo creó y hasta dónde llega su jurisdicción, porque cree que solo opera en Bogotá.</t>
        </is>
      </c>
      <c r="G211" s="22" t="inlineStr">
        <is>
          <t>La jurisdicción del Invima es</t>
        </is>
      </c>
      <c r="H211" s="22" t="inlineStr">
        <is>
          <t>Los departamentos que suscriban convenio con la entidad</t>
        </is>
      </c>
      <c r="I211" s="22" t="inlineStr">
        <is>
          <t>Las ciudades donde funcionan puertos y aeropuertos</t>
        </is>
      </c>
      <c r="J211" s="22" t="inlineStr">
        <is>
          <t>Todo el territorio nacional, con sede principal en Bogotá</t>
        </is>
      </c>
      <c r="K211" s="22" t="inlineStr">
        <is>
          <t>C</t>
        </is>
      </c>
      <c r="L211" s="22" t="inlineStr">
        <is>
          <t>El Invima tiene jurisdicción en todo el territorio nacional, con domicilio en Bogotá. Decreto 2078 de 2012, artículo 3.</t>
        </is>
      </c>
      <c r="M211" s="22" t="inlineStr">
        <is>
          <t>Condicionar su jurisdicción a convenios la fragmentaría; limitarla a puertos y aeropuertos dejaría sin vigilancia el resto del país.</t>
        </is>
      </c>
      <c r="N211" s="22" t="inlineStr">
        <is>
          <t>Decreto 2078 de 2012, art. 3</t>
        </is>
      </c>
      <c r="O211" s="22" t="inlineStr">
        <is>
          <t>SI</t>
        </is>
      </c>
      <c r="P211" s="16" t="inlineStr">
        <is>
          <t>Media</t>
        </is>
      </c>
      <c r="Q211" s="16" t="inlineStr">
        <is>
          <t>v2</t>
        </is>
      </c>
      <c r="R211" s="16" t="inlineStr">
        <is>
          <t>Específico</t>
        </is>
      </c>
    </row>
    <row r="212" ht="23.25" customHeight="1" s="12">
      <c r="A212" s="22" t="inlineStr">
        <is>
          <t>F071-1</t>
        </is>
      </c>
      <c r="B212" s="22" t="inlineStr">
        <is>
          <t>invima</t>
        </is>
      </c>
      <c r="C212" s="22" t="inlineStr">
        <is>
          <t>Naturaleza y estructura del Invima</t>
        </is>
      </c>
      <c r="D212" s="22" t="inlineStr">
        <is>
          <t>C071</t>
        </is>
      </c>
      <c r="E212" s="22" t="inlineStr">
        <is>
          <t>Tres asuntos, tres dependencias</t>
        </is>
      </c>
      <c r="F212" s="22" t="inlineStr">
        <is>
          <t>Llegan tres asuntos el mismo día: una visita con hallazgos críticos, un expediente sancionatorio para decidir y un hecho que podría ser delito. Cada uno corresponde a una dependencia distinta.</t>
        </is>
      </c>
      <c r="G212" s="22" t="inlineStr">
        <is>
          <t>La dependencia que ejecuta las acciones de IVC y aplica las medidas sanitarias de seguridad es</t>
        </is>
      </c>
      <c r="H212" s="22" t="inlineStr">
        <is>
          <t>La Dirección de Operaciones Sanitarias</t>
        </is>
      </c>
      <c r="I212" s="22" t="inlineStr">
        <is>
          <t>La Dirección de Responsabilidad Sanitaria</t>
        </is>
      </c>
      <c r="J212" s="22" t="inlineStr">
        <is>
          <t>La Secretaría General</t>
        </is>
      </c>
      <c r="K212" s="22" t="inlineStr">
        <is>
          <t>A</t>
        </is>
      </c>
      <c r="L212" s="22" t="inlineStr">
        <is>
          <t>Las visitas y la vigilancia en territorio corresponden a la Dirección de Operaciones Sanitarias. Decreto 2078 de 2012, artículo 23.</t>
        </is>
      </c>
      <c r="M212" s="22" t="inlineStr">
        <is>
          <t>Responsabilidad Sanitaria adelanta los procesos sancionatorios, no las visitas; la Secretaría General atiende funciones de apoyo administrativo.</t>
        </is>
      </c>
      <c r="N212" s="22" t="inlineStr">
        <is>
          <t>Decreto 2078 de 2012, art. 23</t>
        </is>
      </c>
      <c r="O212" s="22" t="inlineStr">
        <is>
          <t>SI</t>
        </is>
      </c>
      <c r="P212" s="16" t="inlineStr">
        <is>
          <t>Basica</t>
        </is>
      </c>
      <c r="Q212" s="16" t="inlineStr">
        <is>
          <t>v2</t>
        </is>
      </c>
      <c r="R212" s="16" t="inlineStr">
        <is>
          <t>Específico</t>
        </is>
      </c>
    </row>
    <row r="213" ht="23.25" customHeight="1" s="12">
      <c r="A213" s="22" t="inlineStr">
        <is>
          <t>F071-2</t>
        </is>
      </c>
      <c r="B213" s="22" t="inlineStr">
        <is>
          <t>invima</t>
        </is>
      </c>
      <c r="C213" s="22" t="inlineStr">
        <is>
          <t>Naturaleza y estructura del Invima</t>
        </is>
      </c>
      <c r="D213" s="22" t="inlineStr">
        <is>
          <t>C071</t>
        </is>
      </c>
      <c r="E213" s="22" t="inlineStr">
        <is>
          <t>Tres asuntos, tres dependencias</t>
        </is>
      </c>
      <c r="F213" s="22" t="inlineStr">
        <is>
          <t>Llegan tres asuntos el mismo día: una visita con hallazgos críticos, un expediente sancionatorio para decidir y un hecho que podría ser delito. Cada uno corresponde a una dependencia distinta.</t>
        </is>
      </c>
      <c r="G213" s="22" t="inlineStr">
        <is>
          <t>Los procesos sancionatorios derivados de las actividades de IVC los adelanta</t>
        </is>
      </c>
      <c r="H213" s="22" t="inlineStr">
        <is>
          <t>La Oficina Asesora de Planeación</t>
        </is>
      </c>
      <c r="I213" s="22" t="inlineStr">
        <is>
          <t>La Dirección de Responsabilidad Sanitaria</t>
        </is>
      </c>
      <c r="J213" s="22" t="inlineStr">
        <is>
          <t>La Oficina de Control Interno</t>
        </is>
      </c>
      <c r="K213" s="22" t="inlineStr">
        <is>
          <t>B</t>
        </is>
      </c>
      <c r="L213" s="22" t="inlineStr">
        <is>
          <t>Los procesos sancionatorios los adelanta la Dirección de Responsabilidad Sanitaria. Decreto 2078 de 2012, artículo 24.</t>
        </is>
      </c>
      <c r="M213" s="22" t="inlineStr">
        <is>
          <t>Planeación formula y hace seguimiento a la gestión; Control Interno evalúa el sistema, sin adelantar procesos sancionatorios.</t>
        </is>
      </c>
      <c r="N213" s="22" t="inlineStr">
        <is>
          <t>Decreto 2078 de 2012, art. 24</t>
        </is>
      </c>
      <c r="O213" s="22" t="inlineStr">
        <is>
          <t>SI</t>
        </is>
      </c>
      <c r="P213" s="16" t="inlineStr">
        <is>
          <t>Basica</t>
        </is>
      </c>
      <c r="Q213" s="16" t="inlineStr">
        <is>
          <t>v2</t>
        </is>
      </c>
      <c r="R213" s="16" t="inlineStr">
        <is>
          <t>Específico</t>
        </is>
      </c>
    </row>
    <row r="214" ht="34.5" customHeight="1" s="12">
      <c r="A214" s="22" t="inlineStr">
        <is>
          <t>F071-3</t>
        </is>
      </c>
      <c r="B214" s="22" t="inlineStr">
        <is>
          <t>invima</t>
        </is>
      </c>
      <c r="C214" s="22" t="inlineStr">
        <is>
          <t>Naturaleza y estructura del Invima</t>
        </is>
      </c>
      <c r="D214" s="22" t="inlineStr">
        <is>
          <t>C071</t>
        </is>
      </c>
      <c r="E214" s="22" t="inlineStr">
        <is>
          <t>Tres asuntos, tres dependencias</t>
        </is>
      </c>
      <c r="F214" s="22" t="inlineStr">
        <is>
          <t>Llegan tres asuntos el mismo día: una visita con hallazgos críticos, un expediente sancionatorio para decidir y un hecho que podría ser delito. Cada uno corresponde a una dependencia distinta.</t>
        </is>
      </c>
      <c r="G214" s="22" t="inlineStr">
        <is>
          <t>Si en un proceso sancionatorio se advierte una posible conducta delictiva, la Dirección de Responsabilidad Sanitaria debe</t>
        </is>
      </c>
      <c r="H214" s="22" t="inlineStr">
        <is>
          <t>Informarla de inmediato a las autoridades competentes</t>
        </is>
      </c>
      <c r="I214" s="22" t="inlineStr">
        <is>
          <t>Esperar la sanción en firme para informar el hallazgo</t>
        </is>
      </c>
      <c r="J214" s="22" t="inlineStr">
        <is>
          <t>Archivar la actuación sanitaria y remitir el expediente</t>
        </is>
      </c>
      <c r="K214" s="22" t="inlineStr">
        <is>
          <t>A</t>
        </is>
      </c>
      <c r="L214" s="22" t="inlineStr">
        <is>
          <t>Ante la posible conducta punible se informa a la justicia ordinaria, sin suspender la actuación sanitaria. Decreto 2078 de 2012, artículo 24; Ley 9 de 1979, artículo 576.</t>
        </is>
      </c>
      <c r="M214" s="22" t="inlineStr">
        <is>
          <t>Esperar la sanción en firme retrasa la actuación penal; archivar lo sanitario renuncia a la competencia propia de la entidad.</t>
        </is>
      </c>
      <c r="N214" s="22" t="inlineStr">
        <is>
          <t>Decreto 2078 de 2012, art. 24; Ley 9 de 1979, art. 576</t>
        </is>
      </c>
      <c r="O214" s="22" t="inlineStr">
        <is>
          <t>SI</t>
        </is>
      </c>
      <c r="P214" s="16" t="inlineStr">
        <is>
          <t>Basica</t>
        </is>
      </c>
      <c r="Q214" s="16" t="inlineStr">
        <is>
          <t>v2</t>
        </is>
      </c>
      <c r="R214" s="16" t="inlineStr">
        <is>
          <t>Específico</t>
        </is>
      </c>
    </row>
    <row r="215" ht="34.5" customHeight="1" s="12">
      <c r="A215" s="22" t="inlineStr">
        <is>
          <t>F072-1</t>
        </is>
      </c>
      <c r="B215" s="22" t="inlineStr">
        <is>
          <t>invima</t>
        </is>
      </c>
      <c r="C215" s="22" t="inlineStr">
        <is>
          <t>Naturaleza y estructura del Invima</t>
        </is>
      </c>
      <c r="D215" s="22" t="inlineStr">
        <is>
          <t>C072</t>
        </is>
      </c>
      <c r="E215" s="22" t="inlineStr">
        <is>
          <t>Quién decide sobre un principio activo</t>
        </is>
      </c>
      <c r="F215" s="22" t="inlineStr">
        <is>
          <t>Un laboratorio pregunta quién decide si un principio activo entra a las normas farmacológicas, quién define cómo se integra ese órgano y adónde llegan las muestras que su empresa envía a análisis.</t>
        </is>
      </c>
      <c r="G215" s="22" t="inlineStr">
        <is>
          <t>Dentro de la estructura del Invima, la Comisión Revisora es</t>
        </is>
      </c>
      <c r="H215" s="22" t="inlineStr">
        <is>
          <t>Una dirección misional de inspección y vigilancia</t>
        </is>
      </c>
      <c r="I215" s="22" t="inlineStr">
        <is>
          <t>Un órgano de asesoría y coordinación</t>
        </is>
      </c>
      <c r="J215" s="22" t="inlineStr">
        <is>
          <t>Una entidad externa del Ministerio</t>
        </is>
      </c>
      <c r="K215" s="22" t="inlineStr">
        <is>
          <t>B</t>
        </is>
      </c>
      <c r="L215" s="22" t="inlineStr">
        <is>
          <t>La Comisión Revisora es un órgano de asesoría y coordinación del Invima. Decreto 2078 de 2012, artículo 29.</t>
        </is>
      </c>
      <c r="M215" s="22" t="inlineStr">
        <is>
          <t>No es una dirección misional, porque no ejecuta IVC; tampoco es externa, pues hace parte de la estructura del Invima.</t>
        </is>
      </c>
      <c r="N215" s="22" t="inlineStr">
        <is>
          <t>Decreto 2078 de 2012, art. 29</t>
        </is>
      </c>
      <c r="O215" s="22" t="inlineStr">
        <is>
          <t>SI</t>
        </is>
      </c>
      <c r="P215" s="16" t="inlineStr">
        <is>
          <t>Basica</t>
        </is>
      </c>
      <c r="Q215" s="16" t="inlineStr">
        <is>
          <t>v2</t>
        </is>
      </c>
      <c r="R215" s="16" t="inlineStr">
        <is>
          <t>Específico</t>
        </is>
      </c>
    </row>
    <row r="216" ht="34.5" customHeight="1" s="12">
      <c r="A216" s="22" t="inlineStr">
        <is>
          <t>F072-2</t>
        </is>
      </c>
      <c r="B216" s="22" t="inlineStr">
        <is>
          <t>invima</t>
        </is>
      </c>
      <c r="C216" s="22" t="inlineStr">
        <is>
          <t>Naturaleza y estructura del Invima</t>
        </is>
      </c>
      <c r="D216" s="22" t="inlineStr">
        <is>
          <t>C072</t>
        </is>
      </c>
      <c r="E216" s="22" t="inlineStr">
        <is>
          <t>Quién decide sobre un principio activo</t>
        </is>
      </c>
      <c r="F216" s="22" t="inlineStr">
        <is>
          <t>Un laboratorio pregunta quién decide si un principio activo entra a las normas farmacológicas, quién define cómo se integra ese órgano y adónde llegan las muestras que su empresa envía a análisis.</t>
        </is>
      </c>
      <c r="G216" s="22" t="inlineStr">
        <is>
          <t>Establecer y modificar la composición y funciones de la Comisión Revisora le corresponde al</t>
        </is>
      </c>
      <c r="H216" s="22" t="inlineStr">
        <is>
          <t>Director General</t>
        </is>
      </c>
      <c r="I216" s="22" t="inlineStr">
        <is>
          <t>Consejo Directivo</t>
        </is>
      </c>
      <c r="J216" s="22" t="inlineStr">
        <is>
          <t>Ministro de Salud</t>
        </is>
      </c>
      <c r="K216" s="22" t="inlineStr">
        <is>
          <t>B</t>
        </is>
      </c>
      <c r="L216" s="22" t="inlineStr">
        <is>
          <t>La composición de la Comisión Revisora y de los demás órganos de asesoría la define el Gobierno; el Consejo Directivo del Invima está integrado en el artículo 7. Decreto 2078 de 2012, artículos 7 y 29.</t>
        </is>
      </c>
      <c r="M216" s="22" t="inlineStr">
        <is>
          <t>El Director General ejecuta las decisiones del Consejo; el Ministro fija política del sector, sin definir esa composición.</t>
        </is>
      </c>
      <c r="N216" s="22" t="inlineStr">
        <is>
          <t>Decreto 2078 de 2012, arts. 7 y 29</t>
        </is>
      </c>
      <c r="O216" s="22" t="inlineStr">
        <is>
          <t>SI</t>
        </is>
      </c>
      <c r="P216" s="16" t="inlineStr">
        <is>
          <t>Basica</t>
        </is>
      </c>
      <c r="Q216" s="16" t="inlineStr">
        <is>
          <t>v2</t>
        </is>
      </c>
      <c r="R216" s="16" t="inlineStr">
        <is>
          <t>Específico</t>
        </is>
      </c>
    </row>
    <row r="217" ht="34.5" customHeight="1" s="12">
      <c r="A217" s="22" t="inlineStr">
        <is>
          <t>F072-3</t>
        </is>
      </c>
      <c r="B217" s="22" t="inlineStr">
        <is>
          <t>invima</t>
        </is>
      </c>
      <c r="C217" s="22" t="inlineStr">
        <is>
          <t>Naturaleza y estructura del Invima</t>
        </is>
      </c>
      <c r="D217" s="22" t="inlineStr">
        <is>
          <t>C072</t>
        </is>
      </c>
      <c r="E217" s="22" t="inlineStr">
        <is>
          <t>Quién decide sobre un principio activo</t>
        </is>
      </c>
      <c r="F217" s="22" t="inlineStr">
        <is>
          <t>Un laboratorio pregunta quién decide si un principio activo entra a las normas farmacológicas, quién define cómo se integra ese órgano y adónde llegan las muestras que su empresa envía a análisis.</t>
        </is>
      </c>
      <c r="G217" s="22" t="inlineStr">
        <is>
          <t>La dependencia que dirige los análisis de laboratorio y el control de calidad es</t>
        </is>
      </c>
      <c r="H217" s="22" t="inlineStr">
        <is>
          <t>La Dirección de Medicamentos y Productos Biológicos</t>
        </is>
      </c>
      <c r="I217" s="22" t="inlineStr">
        <is>
          <t>La Oficina Asesora Jurídica, que valida la cadena de custodia de las muestras</t>
        </is>
      </c>
      <c r="J217" s="22" t="inlineStr">
        <is>
          <t>La Oficina de Laboratorios y Control de Calidad</t>
        </is>
      </c>
      <c r="K217" s="22" t="inlineStr">
        <is>
          <t>C</t>
        </is>
      </c>
      <c r="L217" s="22" t="inlineStr">
        <is>
          <t>Los análisis de laboratorio los realiza la Oficina de Laboratorios y Control de Calidad. Decreto 2078 de 2012, artículo 14.</t>
        </is>
      </c>
      <c r="M217" s="22" t="inlineStr">
        <is>
          <t>La Dirección de Medicamentos y Productos Biológicos evalúa registros, no dirige los laboratorios; la Oficina Asesora Jurídica conceptúa y representa, sin dirigir los análisis.</t>
        </is>
      </c>
      <c r="N217" s="22" t="inlineStr">
        <is>
          <t>Decreto 2078 de 2012, art. 14</t>
        </is>
      </c>
      <c r="O217" s="22" t="inlineStr">
        <is>
          <t>SI</t>
        </is>
      </c>
      <c r="P217" s="16" t="inlineStr">
        <is>
          <t>Basica</t>
        </is>
      </c>
      <c r="Q217" s="16" t="inlineStr">
        <is>
          <t>v2</t>
        </is>
      </c>
      <c r="R217" s="16" t="inlineStr">
        <is>
          <t>Específico</t>
        </is>
      </c>
    </row>
    <row r="218" ht="34.5" customHeight="1" s="12">
      <c r="A218" s="22" t="inlineStr">
        <is>
          <t>F073-1</t>
        </is>
      </c>
      <c r="B218" s="22" t="inlineStr">
        <is>
          <t>invima</t>
        </is>
      </c>
      <c r="C218" s="22" t="inlineStr">
        <is>
          <t>Competencias sanitarias</t>
        </is>
      </c>
      <c r="D218" s="22" t="inlineStr">
        <is>
          <t>C073</t>
        </is>
      </c>
      <c r="E218" s="22" t="inlineStr">
        <is>
          <t>Tres quejas, tres competencias</t>
        </is>
      </c>
      <c r="F218" s="22" t="inlineStr">
        <is>
          <t>El mismo día llegan tres quejas: una planta procesadora de leche en Rivera, un restaurante del centro de Neiva y un contenedor de alimentos retenido en el puerto de Buenaventura.</t>
        </is>
      </c>
      <c r="G218" s="22" t="inlineStr">
        <is>
          <t>La IVC de las plantas de procesamiento de leche y de los centros de acopio le corresponde, de forma exclusiva, a</t>
        </is>
      </c>
      <c r="H218" s="22" t="inlineStr">
        <is>
          <t>El Invima</t>
        </is>
      </c>
      <c r="I218" s="22" t="inlineStr">
        <is>
          <t>La secretaría municipal de salud</t>
        </is>
      </c>
      <c r="J218" s="22" t="inlineStr">
        <is>
          <t>El ICA</t>
        </is>
      </c>
      <c r="K218" s="22" t="inlineStr">
        <is>
          <t>A</t>
        </is>
      </c>
      <c r="L218" s="22" t="inlineStr">
        <is>
          <t>La Ley 1122 de 2007 asigna esa competencia exclusiva al Invima.</t>
        </is>
      </c>
      <c r="M218" s="22" t="inlineStr">
        <is>
          <t>Las secretarías municipales vigilan expendio y distribución; el ICA atiende sanidad agropecuaria, no el procesamiento de leche.</t>
        </is>
      </c>
      <c r="N218" s="22" t="inlineStr">
        <is>
          <t>Ley 1122 de 2007, art. 34</t>
        </is>
      </c>
      <c r="O218" s="22" t="inlineStr">
        <is>
          <t>SI</t>
        </is>
      </c>
      <c r="P218" s="16" t="inlineStr">
        <is>
          <t>Media</t>
        </is>
      </c>
      <c r="Q218" s="16" t="inlineStr">
        <is>
          <t>v2</t>
        </is>
      </c>
      <c r="R218" s="16" t="inlineStr">
        <is>
          <t>Específico</t>
        </is>
      </c>
    </row>
    <row r="219" ht="34.5" customHeight="1" s="12">
      <c r="A219" s="22" t="inlineStr">
        <is>
          <t>F073-2</t>
        </is>
      </c>
      <c r="B219" s="22" t="inlineStr">
        <is>
          <t>invima</t>
        </is>
      </c>
      <c r="C219" s="22" t="inlineStr">
        <is>
          <t>Competencias sanitarias</t>
        </is>
      </c>
      <c r="D219" s="22" t="inlineStr">
        <is>
          <t>C073</t>
        </is>
      </c>
      <c r="E219" s="22" t="inlineStr">
        <is>
          <t>Tres quejas, tres competencias</t>
        </is>
      </c>
      <c r="F219" s="22" t="inlineStr">
        <is>
          <t>El mismo día llegan tres quejas: una planta procesadora de leche en Rivera, un restaurante del centro de Neiva y un contenedor de alimentos retenido en el puerto de Buenaventura.</t>
        </is>
      </c>
      <c r="G219" s="22" t="inlineStr">
        <is>
          <t>La vigilancia de la distribución y comercialización de alimentos, como en restaurantes, le corresponde a</t>
        </is>
      </c>
      <c r="H219" s="22" t="inlineStr">
        <is>
          <t>Los departamentos, distritos y municipios de categorías especial a 3.ª</t>
        </is>
      </c>
      <c r="I219" s="22" t="inlineStr">
        <is>
          <t>La Superintendencia de Industria y Comercio</t>
        </is>
      </c>
      <c r="J219" s="22" t="inlineStr">
        <is>
          <t>El Invima de forma exclusiva</t>
        </is>
      </c>
      <c r="K219" s="22" t="inlineStr">
        <is>
          <t>A</t>
        </is>
      </c>
      <c r="L219" s="22" t="inlineStr">
        <is>
          <t>La Ley 1122 de 2007 asigna esa vigilancia a las entidades territoriales.</t>
        </is>
      </c>
      <c r="M219" s="22" t="inlineStr">
        <is>
          <t>La Superintendencia de Industria y Comercio protege al consumidor, no la inocuidad; el Invima no vigila establecimientos de comercialización al detal.</t>
        </is>
      </c>
      <c r="N219" s="22" t="inlineStr">
        <is>
          <t>Ley 1122 de 2007, art. 34</t>
        </is>
      </c>
      <c r="O219" s="22" t="inlineStr">
        <is>
          <t>SI</t>
        </is>
      </c>
      <c r="P219" s="16" t="inlineStr">
        <is>
          <t>Media</t>
        </is>
      </c>
      <c r="Q219" s="16" t="inlineStr">
        <is>
          <t>v2</t>
        </is>
      </c>
      <c r="R219" s="16" t="inlineStr">
        <is>
          <t>Específico</t>
        </is>
      </c>
    </row>
    <row r="220" ht="34.5" customHeight="1" s="12">
      <c r="A220" s="22" t="inlineStr">
        <is>
          <t>F073-3</t>
        </is>
      </c>
      <c r="B220" s="22" t="inlineStr">
        <is>
          <t>invima</t>
        </is>
      </c>
      <c r="C220" s="22" t="inlineStr">
        <is>
          <t>Competencias sanitarias</t>
        </is>
      </c>
      <c r="D220" s="22" t="inlineStr">
        <is>
          <t>C073</t>
        </is>
      </c>
      <c r="E220" s="22" t="inlineStr">
        <is>
          <t>Tres quejas, tres competencias</t>
        </is>
      </c>
      <c r="F220" s="22" t="inlineStr">
        <is>
          <t>El mismo día llegan tres quejas: una planta procesadora de leche en Rivera, un restaurante del centro de Neiva y un contenedor de alimentos retenido en el puerto de Buenaventura.</t>
        </is>
      </c>
      <c r="G220" s="22" t="inlineStr">
        <is>
          <t>La inocuidad de los alimentos importados en el puerto la vigila</t>
        </is>
      </c>
      <c r="H220" s="22" t="inlineStr">
        <is>
          <t>La DIAN, sin perjuicio de la revisión sanitaria del puerto</t>
        </is>
      </c>
      <c r="I220" s="22" t="inlineStr">
        <is>
          <t>El Invima, sin perjuicio de las competencias del ICA</t>
        </is>
      </c>
      <c r="J220" s="22" t="inlineStr">
        <is>
          <t>La Policía Fiscal, conforme al control aduanero vigente</t>
        </is>
      </c>
      <c r="K220" s="22" t="inlineStr">
        <is>
          <t>B</t>
        </is>
      </c>
      <c r="L220" s="22" t="inlineStr">
        <is>
          <t>La Ley 1122 de 2007 da al Invima esa competencia en puertos, aeropuertos y pasos fronterizos.</t>
        </is>
      </c>
      <c r="M220" s="22" t="inlineStr">
        <is>
          <t>La DIAN controla el ingreso aduanero, no la inocuidad; la Policía Fiscal apoya el control, sin ejercer inspección sanitaria.</t>
        </is>
      </c>
      <c r="N220" s="22" t="inlineStr">
        <is>
          <t>Ley 1122 de 2007, art. 34</t>
        </is>
      </c>
      <c r="O220" s="22" t="inlineStr">
        <is>
          <t>SI</t>
        </is>
      </c>
      <c r="P220" s="16" t="inlineStr">
        <is>
          <t>Media</t>
        </is>
      </c>
      <c r="Q220" s="16" t="inlineStr">
        <is>
          <t>v2</t>
        </is>
      </c>
      <c r="R220" s="16" t="inlineStr">
        <is>
          <t>Específico</t>
        </is>
      </c>
    </row>
    <row r="221" ht="23.25" customHeight="1" s="12">
      <c r="A221" s="22" t="inlineStr">
        <is>
          <t>F074-1</t>
        </is>
      </c>
      <c r="B221" s="22" t="inlineStr">
        <is>
          <t>invima</t>
        </is>
      </c>
      <c r="C221" s="22" t="inlineStr">
        <is>
          <t>Inspección, vigilancia y control sanitario</t>
        </is>
      </c>
      <c r="D221" s="22" t="inlineStr">
        <is>
          <t>C074</t>
        </is>
      </c>
      <c r="E221" s="22" t="inlineStr">
        <is>
          <t>Tipos de medidas sanitarias</t>
        </is>
      </c>
      <c r="F221" s="22" t="inlineStr">
        <is>
          <t>Una empresa a la que se aplicó una medida sanitaria anuncia tutela contra la entidad por violación del debido proceso. En un caso así la Corte declaró improcedente el amparo, porque existía el medio de control ante la jurisdicción administrativa.</t>
        </is>
      </c>
      <c r="G221" s="22" t="inlineStr">
        <is>
          <t>De las siguientes, NO es una medida sanitaria de seguridad:</t>
        </is>
      </c>
      <c r="H221" s="22" t="inlineStr">
        <is>
          <t>El decomiso</t>
        </is>
      </c>
      <c r="I221" s="22" t="inlineStr">
        <is>
          <t>La multa</t>
        </is>
      </c>
      <c r="J221" s="22" t="inlineStr">
        <is>
          <t>La clausura</t>
        </is>
      </c>
      <c r="K221" s="22" t="inlineStr">
        <is>
          <t>B</t>
        </is>
      </c>
      <c r="L221" s="22" t="inlineStr">
        <is>
          <t>La multa es una sanción; las medidas del artículo 576 son preventivas.</t>
        </is>
      </c>
      <c r="M221" s="22" t="inlineStr">
        <is>
          <t>El decomiso y la clausura sí son medidas preventivas del artículo 576; la multa es una sanción que se impone al final del proceso.</t>
        </is>
      </c>
      <c r="N221" s="22" t="inlineStr">
        <is>
          <t>Ley 9 de 1979, arts. 576 y 577; Corte Constitucional, T-991 de 2010</t>
        </is>
      </c>
      <c r="O221" s="22" t="inlineStr">
        <is>
          <t>SI</t>
        </is>
      </c>
      <c r="P221" s="16" t="inlineStr">
        <is>
          <t>Basica</t>
        </is>
      </c>
      <c r="Q221" s="16" t="inlineStr">
        <is>
          <t>v2</t>
        </is>
      </c>
      <c r="R221" s="16" t="inlineStr">
        <is>
          <t>Específico</t>
        </is>
      </c>
    </row>
    <row r="222" ht="34.5" customHeight="1" s="12">
      <c r="A222" s="22" t="inlineStr">
        <is>
          <t>F074-2</t>
        </is>
      </c>
      <c r="B222" s="22" t="inlineStr">
        <is>
          <t>invima</t>
        </is>
      </c>
      <c r="C222" s="22" t="inlineStr">
        <is>
          <t>Inspección, vigilancia y control sanitario</t>
        </is>
      </c>
      <c r="D222" s="22" t="inlineStr">
        <is>
          <t>C074</t>
        </is>
      </c>
      <c r="E222" s="22" t="inlineStr">
        <is>
          <t>Tipos de medidas sanitarias</t>
        </is>
      </c>
      <c r="F222" s="22" t="inlineStr">
        <is>
          <t>Una empresa a la que se aplicó una medida sanitaria anuncia tutela contra la entidad por violación del debido proceso. En un caso así la Corte declaró improcedente el amparo, porque existía el medio de control ante la jurisdicción administrativa.</t>
        </is>
      </c>
      <c r="G222" s="22" t="inlineStr">
        <is>
          <t>La congelación consiste en</t>
        </is>
      </c>
      <c r="H222" s="22" t="inlineStr">
        <is>
          <t>Destruir de inmediato el producto que se encuentre en la bodega</t>
        </is>
      </c>
      <c r="I222" s="22" t="inlineStr">
        <is>
          <t>Retirar el producto y entregarlo en custodia al establecimiento</t>
        </is>
      </c>
      <c r="J222" s="22" t="inlineStr">
        <is>
          <t>Suspender temporalmente la venta del producto mientras se decide</t>
        </is>
      </c>
      <c r="K222" s="22" t="inlineStr">
        <is>
          <t>C</t>
        </is>
      </c>
      <c r="L222" s="22" t="inlineStr">
        <is>
          <t>La Ley 9 de 1979 define la congelación como suspensión temporal de venta o empleo.</t>
        </is>
      </c>
      <c r="M222" s="22" t="inlineStr">
        <is>
          <t>Destruir de inmediato anticipa una decisión definitiva; entregar el producto en custodia al propio establecimiento deja el riesgo bajo control del vigilado.</t>
        </is>
      </c>
      <c r="N222" s="22" t="inlineStr">
        <is>
          <t>Ley 9 de 1979, arts. 576 y 577; Corte Constitucional, T-991 de 2010</t>
        </is>
      </c>
      <c r="O222" s="22" t="inlineStr">
        <is>
          <t>SI</t>
        </is>
      </c>
      <c r="P222" s="16" t="inlineStr">
        <is>
          <t>Basica</t>
        </is>
      </c>
      <c r="Q222" s="16" t="inlineStr">
        <is>
          <t>v2</t>
        </is>
      </c>
      <c r="R222" s="16" t="inlineStr">
        <is>
          <t>Específico</t>
        </is>
      </c>
    </row>
    <row r="223" ht="23.25" customHeight="1" s="12">
      <c r="A223" s="22" t="inlineStr">
        <is>
          <t>F074-3</t>
        </is>
      </c>
      <c r="B223" s="22" t="inlineStr">
        <is>
          <t>invima</t>
        </is>
      </c>
      <c r="C223" s="22" t="inlineStr">
        <is>
          <t>Inspección, vigilancia y control sanitario</t>
        </is>
      </c>
      <c r="D223" s="22" t="inlineStr">
        <is>
          <t>C074</t>
        </is>
      </c>
      <c r="E223" s="22" t="inlineStr">
        <is>
          <t>Tipos de medidas sanitarias</t>
        </is>
      </c>
      <c r="F223" s="22" t="inlineStr">
        <is>
          <t>Una empresa a la que se aplicó una medida sanitaria anuncia tutela contra la entidad por violación del debido proceso. En un caso así la Corte declaró improcedente el amparo, porque existía el medio de control ante la jurisdicción administrativa.</t>
        </is>
      </c>
      <c r="G223" s="22" t="inlineStr">
        <is>
          <t>La clausura temporal del establecimiento puede ser</t>
        </is>
      </c>
      <c r="H223" s="22" t="inlineStr">
        <is>
          <t>Total o parcial</t>
        </is>
      </c>
      <c r="I223" s="22" t="inlineStr">
        <is>
          <t>Solo total</t>
        </is>
      </c>
      <c r="J223" s="22" t="inlineStr">
        <is>
          <t>Solo nocturna</t>
        </is>
      </c>
      <c r="K223" s="22" t="inlineStr">
        <is>
          <t>A</t>
        </is>
      </c>
      <c r="L223" s="22" t="inlineStr">
        <is>
          <t>El artículo 576 permite la clausura temporal total o parcial.</t>
        </is>
      </c>
      <c r="M223" s="22" t="inlineStr">
        <is>
          <t>Restringirla a la clausura total impide cerrar solo el área riesgosa; la clausura nocturna no existe como modalidad en la norma.</t>
        </is>
      </c>
      <c r="N223" s="22" t="inlineStr">
        <is>
          <t>Ley 9 de 1979, arts. 576 y 577; Corte Constitucional, T-991 de 2010</t>
        </is>
      </c>
      <c r="O223" s="22" t="inlineStr">
        <is>
          <t>SI</t>
        </is>
      </c>
      <c r="P223" s="16" t="inlineStr">
        <is>
          <t>Basica</t>
        </is>
      </c>
      <c r="Q223" s="16" t="inlineStr">
        <is>
          <t>v2</t>
        </is>
      </c>
      <c r="R223" s="16" t="inlineStr">
        <is>
          <t>Específico</t>
        </is>
      </c>
    </row>
    <row r="224" ht="23.25" customHeight="1" s="12">
      <c r="A224" s="22" t="inlineStr">
        <is>
          <t>F075-1</t>
        </is>
      </c>
      <c r="B224" s="22" t="inlineStr">
        <is>
          <t>invima</t>
        </is>
      </c>
      <c r="C224" s="22" t="inlineStr">
        <is>
          <t>Procedimiento administrativo sancionatorio</t>
        </is>
      </c>
      <c r="D224" s="22" t="inlineStr">
        <is>
          <t>C075</t>
        </is>
      </c>
      <c r="E224" s="22" t="inlineStr">
        <is>
          <t>Fábrica que operó sin registro</t>
        </is>
      </c>
      <c r="F224" s="22" t="inlineStr">
        <is>
          <t>La investigación concluyó que una fábrica de embutidos operó nueve meses sin registro sanitario y vendió a tres colegios. El representante pregunta cuánto puede costarle y si la multa cierra el asunto.</t>
        </is>
      </c>
      <c r="G224" s="22" t="inlineStr">
        <is>
          <t>Según la Ley 9 de 1979, modificada por el Decreto Ley 2106 de 2019, la multa sanitaria puede llegar hasta</t>
        </is>
      </c>
      <c r="H224" s="22" t="inlineStr">
        <is>
          <t>1.000 salarios mínimos diarios</t>
        </is>
      </c>
      <c r="I224" s="22" t="inlineStr">
        <is>
          <t>10.000 salarios mínimos legales mensuales vigentes</t>
        </is>
      </c>
      <c r="J224" s="22" t="inlineStr">
        <is>
          <t>100 salarios mínimos legales mensuales vigentes</t>
        </is>
      </c>
      <c r="K224" s="22" t="inlineStr">
        <is>
          <t>B</t>
        </is>
      </c>
      <c r="L224" s="22" t="inlineStr">
        <is>
          <t>El artículo 577 permite multas sucesivas hasta 10.000 SMLMV.</t>
        </is>
      </c>
      <c r="M224" s="22" t="inlineStr">
        <is>
          <t>Mil salarios diarios corresponde a la redacción anterior de la norma; cien salarios mensuales se queda muy por debajo del tope vigente.</t>
        </is>
      </c>
      <c r="N224" s="22" t="inlineStr">
        <is>
          <t>Ley 9 de 1979, art. 577 (Decreto Ley 2106 de 2019)</t>
        </is>
      </c>
      <c r="O224" s="22" t="inlineStr">
        <is>
          <t>SI</t>
        </is>
      </c>
      <c r="P224" s="16" t="inlineStr">
        <is>
          <t>Alta</t>
        </is>
      </c>
      <c r="Q224" s="16" t="inlineStr">
        <is>
          <t>v2</t>
        </is>
      </c>
      <c r="R224" s="16" t="inlineStr">
        <is>
          <t>Específico</t>
        </is>
      </c>
    </row>
    <row r="225" ht="34.5" customHeight="1" s="12">
      <c r="A225" s="22" t="inlineStr">
        <is>
          <t>F075-2</t>
        </is>
      </c>
      <c r="B225" s="22" t="inlineStr">
        <is>
          <t>invima</t>
        </is>
      </c>
      <c r="C225" s="22" t="inlineStr">
        <is>
          <t>Procedimiento administrativo sancionatorio</t>
        </is>
      </c>
      <c r="D225" s="22" t="inlineStr">
        <is>
          <t>C075</t>
        </is>
      </c>
      <c r="E225" s="22" t="inlineStr">
        <is>
          <t>Fábrica que operó sin registro</t>
        </is>
      </c>
      <c r="F225" s="22" t="inlineStr">
        <is>
          <t>La investigación concluyó que una fábrica de embutidos operó nueve meses sin registro sanitario y vendió a tres colegios. El representante pregunta cuánto puede costarle y si la multa cierra el asunto.</t>
        </is>
      </c>
      <c r="G225" s="22" t="inlineStr">
        <is>
          <t>Además de la multa, son sanciones sanitarias</t>
        </is>
      </c>
      <c r="H225" s="22" t="inlineStr">
        <is>
          <t>Arresto, prisión y prohibición de contratar con el Estado</t>
        </is>
      </c>
      <c r="I225" s="22" t="inlineStr">
        <is>
          <t>Amonestación, decomiso, suspensión del registro y cierre</t>
        </is>
      </c>
      <c r="J225" s="22" t="inlineStr">
        <is>
          <t>Destitución, inhabilidad general y multa al representante</t>
        </is>
      </c>
      <c r="K225" s="22" t="inlineStr">
        <is>
          <t>B</t>
        </is>
      </c>
      <c r="L225" s="22" t="inlineStr">
        <is>
          <t>El artículo 577 enumera las sanciones sanitarias.</t>
        </is>
      </c>
      <c r="M225" s="22" t="inlineStr">
        <is>
          <t>El arresto y la prisión son penas judiciales; la destitución e inhabilidad son sanciones disciplinarias a servidores, no sanciones sanitarias.</t>
        </is>
      </c>
      <c r="N225" s="22" t="inlineStr">
        <is>
          <t>Ley 9 de 1979, art. 577 (Decreto Ley 2106 de 2019)</t>
        </is>
      </c>
      <c r="O225" s="22" t="inlineStr">
        <is>
          <t>SI</t>
        </is>
      </c>
      <c r="P225" s="16" t="inlineStr">
        <is>
          <t>Alta</t>
        </is>
      </c>
      <c r="Q225" s="16" t="inlineStr">
        <is>
          <t>v2</t>
        </is>
      </c>
      <c r="R225" s="16" t="inlineStr">
        <is>
          <t>Específico</t>
        </is>
      </c>
    </row>
    <row r="226" ht="34.5" customHeight="1" s="12">
      <c r="A226" s="22" t="inlineStr">
        <is>
          <t>F075-3</t>
        </is>
      </c>
      <c r="B226" s="22" t="inlineStr">
        <is>
          <t>invima</t>
        </is>
      </c>
      <c r="C226" s="22" t="inlineStr">
        <is>
          <t>Procedimiento administrativo sancionatorio</t>
        </is>
      </c>
      <c r="D226" s="22" t="inlineStr">
        <is>
          <t>C075</t>
        </is>
      </c>
      <c r="E226" s="22" t="inlineStr">
        <is>
          <t>Fábrica que operó sin registro</t>
        </is>
      </c>
      <c r="F226" s="22" t="inlineStr">
        <is>
          <t>La investigación concluyó que una fábrica de embutidos operó nueve meses sin registro sanitario y vendió a tres colegios. El representante pregunta cuánto puede costarle y si la multa cierra el asunto.</t>
        </is>
      </c>
      <c r="G226" s="22" t="inlineStr">
        <is>
          <t>Para productos o establecimientos de bajo riesgo, el proceso sancionatorio se abre cuando, además de la presunta infracción,</t>
        </is>
      </c>
      <c r="H226" s="22" t="inlineStr">
        <is>
          <t>El vigilado solicita que se adelante la actuación en su contra</t>
        </is>
      </c>
      <c r="I226" s="22" t="inlineStr">
        <is>
          <t>Hay indicios de que el producto se liberó al mercado</t>
        </is>
      </c>
      <c r="J226" s="22" t="inlineStr">
        <is>
          <t>Se completan tres visitas con hallazgos del mismo tipo</t>
        </is>
      </c>
      <c r="K226" s="22" t="inlineStr">
        <is>
          <t>B</t>
        </is>
      </c>
      <c r="L226" s="22" t="inlineStr">
        <is>
          <t>El Decreto Ley 2106 de 2019 introdujo esa condición para el bajo riesgo.</t>
        </is>
      </c>
      <c r="M226" s="22" t="inlineStr">
        <is>
          <t>Que el vigilado lo solicite no es condición de apertura; exigir tres visitas agrega un requisito que la norma no contempla.</t>
        </is>
      </c>
      <c r="N226" s="22" t="inlineStr">
        <is>
          <t>Ley 9 de 1979, art. 577 (Decreto Ley 2106 de 2019)</t>
        </is>
      </c>
      <c r="O226" s="22" t="inlineStr">
        <is>
          <t>SI</t>
        </is>
      </c>
      <c r="P226" s="16" t="inlineStr">
        <is>
          <t>Alta</t>
        </is>
      </c>
      <c r="Q226" s="16" t="inlineStr">
        <is>
          <t>v2</t>
        </is>
      </c>
      <c r="R226" s="16" t="inlineStr">
        <is>
          <t>Específico</t>
        </is>
      </c>
    </row>
    <row r="227" ht="23.25" customHeight="1" s="12">
      <c r="A227" s="22" t="inlineStr">
        <is>
          <t>F076-1</t>
        </is>
      </c>
      <c r="B227" s="22" t="inlineStr">
        <is>
          <t>invima</t>
        </is>
      </c>
      <c r="C227" s="22" t="inlineStr">
        <is>
          <t>Procedimiento administrativo sancionatorio</t>
        </is>
      </c>
      <c r="D227" s="22" t="inlineStr">
        <is>
          <t>C076</t>
        </is>
      </c>
      <c r="E227" s="22" t="inlineStr">
        <is>
          <t>Empresa que paga y pide archivo</t>
        </is>
      </c>
      <c r="F227" s="22" t="inlineStr">
        <is>
          <t>La empresa sancionada paga la multa el mismo día y solicita el archivo. No ha hecho las obras de adecuación ordenadas y el riesgo para los consumidores sigue vigente en la planta.</t>
        </is>
      </c>
      <c r="G227" s="22" t="inlineStr">
        <is>
          <t>El pago de la multa</t>
        </is>
      </c>
      <c r="H227" s="22" t="inlineStr">
        <is>
          <t>No exime de ejecutar las medidas sanitarias ordenadas</t>
        </is>
      </c>
      <c r="I227" s="22" t="inlineStr">
        <is>
          <t>Libera al infractor de cualquier otra obligación derivada de la misma infracción</t>
        </is>
      </c>
      <c r="J227" s="22" t="inlineStr">
        <is>
          <t>Reemplaza la medida sanitaria</t>
        </is>
      </c>
      <c r="K227" s="22" t="inlineStr">
        <is>
          <t>A</t>
        </is>
      </c>
      <c r="L227" s="22" t="inlineStr">
        <is>
          <t>La Ley 9 de 1979 aclara que la multa no exime de las medidas ordenadas.</t>
        </is>
      </c>
      <c r="M227" s="22" t="inlineStr">
        <is>
          <t>Sostener que libera de toda obligación deja sin ejecutar las medidas; tratar la multa como sustituto de la medida confunde sanción con corrección del riesgo.</t>
        </is>
      </c>
      <c r="N227" s="22" t="inlineStr">
        <is>
          <t>Ley 9 de 1979, arts. 578, 579 y 580</t>
        </is>
      </c>
      <c r="O227" s="22" t="inlineStr">
        <is>
          <t>SI</t>
        </is>
      </c>
      <c r="P227" s="16" t="inlineStr">
        <is>
          <t>Alta</t>
        </is>
      </c>
      <c r="Q227" s="16" t="inlineStr">
        <is>
          <t>v2</t>
        </is>
      </c>
      <c r="R227" s="16" t="inlineStr">
        <is>
          <t>Específico</t>
        </is>
      </c>
    </row>
    <row r="228" ht="23.25" customHeight="1" s="12">
      <c r="A228" s="22" t="inlineStr">
        <is>
          <t>F076-2</t>
        </is>
      </c>
      <c r="B228" s="22" t="inlineStr">
        <is>
          <t>invima</t>
        </is>
      </c>
      <c r="C228" s="22" t="inlineStr">
        <is>
          <t>Procedimiento administrativo sancionatorio</t>
        </is>
      </c>
      <c r="D228" s="22" t="inlineStr">
        <is>
          <t>C076</t>
        </is>
      </c>
      <c r="E228" s="22" t="inlineStr">
        <is>
          <t>Empresa que paga y pide archivo</t>
        </is>
      </c>
      <c r="F228" s="22" t="inlineStr">
        <is>
          <t>La empresa sancionada paga la multa el mismo día y solicita el archivo. No ha hecho las obras de adecuación ordenadas y el riesgo para los consumidores sigue vigente en la planta.</t>
        </is>
      </c>
      <c r="G228" s="22" t="inlineStr">
        <is>
          <t>Las sanciones administrativas sanitarias</t>
        </is>
      </c>
      <c r="H228" s="22" t="inlineStr">
        <is>
          <t>No eximen de la responsabilidad civil o penal a que haya lugar</t>
        </is>
      </c>
      <c r="I228" s="22" t="inlineStr">
        <is>
          <t>Extinguen la responsabilidad civil</t>
        </is>
      </c>
      <c r="J228" s="22" t="inlineStr">
        <is>
          <t>Impiden cualquier proceso penal por los mismos hechos</t>
        </is>
      </c>
      <c r="K228" s="22" t="inlineStr">
        <is>
          <t>A</t>
        </is>
      </c>
      <c r="L228" s="22" t="inlineStr">
        <is>
          <t>La Ley 9 de 1979 mantiene la responsabilidad civil y penal.</t>
        </is>
      </c>
      <c r="M228" s="22" t="inlineStr">
        <is>
          <t>Afirmar que extingue la responsabilidad civil desconoce la indemnización de perjuicios; impedir el proceso penal ignora que son responsabilidades independientes.</t>
        </is>
      </c>
      <c r="N228" s="22" t="inlineStr">
        <is>
          <t>Ley 9 de 1979, arts. 578, 579 y 580</t>
        </is>
      </c>
      <c r="O228" s="22" t="inlineStr">
        <is>
          <t>SI</t>
        </is>
      </c>
      <c r="P228" s="16" t="inlineStr">
        <is>
          <t>Alta</t>
        </is>
      </c>
      <c r="Q228" s="16" t="inlineStr">
        <is>
          <t>v2</t>
        </is>
      </c>
      <c r="R228" s="16" t="inlineStr">
        <is>
          <t>Específico</t>
        </is>
      </c>
    </row>
    <row r="229" ht="23.25" customHeight="1" s="12">
      <c r="A229" s="22" t="inlineStr">
        <is>
          <t>F076-3</t>
        </is>
      </c>
      <c r="B229" s="22" t="inlineStr">
        <is>
          <t>invima</t>
        </is>
      </c>
      <c r="C229" s="22" t="inlineStr">
        <is>
          <t>Procedimiento administrativo sancionatorio</t>
        </is>
      </c>
      <c r="D229" s="22" t="inlineStr">
        <is>
          <t>C076</t>
        </is>
      </c>
      <c r="E229" s="22" t="inlineStr">
        <is>
          <t>Empresa que paga y pide archivo</t>
        </is>
      </c>
      <c r="F229" s="22" t="inlineStr">
        <is>
          <t>La empresa sancionada paga la multa el mismo día y solicita el archivo. No ha hecho las obras de adecuación ordenadas y el riesgo para los consumidores sigue vigente en la planta.</t>
        </is>
      </c>
      <c r="G229" s="22" t="inlineStr">
        <is>
          <t>Cuando el incumplimiento genera riesgos para la salud de las personas, la autoridad debe</t>
        </is>
      </c>
      <c r="H229" s="22" t="inlineStr">
        <is>
          <t>Mantenerlo en reserva hasta la sanción</t>
        </is>
      </c>
      <c r="I229" s="22" t="inlineStr">
        <is>
          <t>Dar publicidad al hecho para prevenir a los usuarios</t>
        </is>
      </c>
      <c r="J229" s="22" t="inlineStr">
        <is>
          <t>Informarlo solo al infractor, para que retire voluntariamente el producto del mercado</t>
        </is>
      </c>
      <c r="K229" s="22" t="inlineStr">
        <is>
          <t>B</t>
        </is>
      </c>
      <c r="L229" s="22" t="inlineStr">
        <is>
          <t>La Ley 9 de 1979 ordena dar publicidad para prevenir a los usuarios.</t>
        </is>
      </c>
      <c r="M229" s="22" t="inlineStr">
        <is>
          <t>Mantener el hecho en reserva deja a los usuarios expuestos; informar solo al infractor no previene a quienes consumieron el producto.</t>
        </is>
      </c>
      <c r="N229" s="22" t="inlineStr">
        <is>
          <t>Ley 9 de 1979, arts. 578, 579 y 580</t>
        </is>
      </c>
      <c r="O229" s="22" t="inlineStr">
        <is>
          <t>SI</t>
        </is>
      </c>
      <c r="P229" s="16" t="inlineStr">
        <is>
          <t>Alta</t>
        </is>
      </c>
      <c r="Q229" s="16" t="inlineStr">
        <is>
          <t>v2</t>
        </is>
      </c>
      <c r="R229" s="16" t="inlineStr">
        <is>
          <t>Específico</t>
        </is>
      </c>
    </row>
    <row r="230" ht="23.25" customHeight="1" s="12">
      <c r="A230" s="22" t="inlineStr">
        <is>
          <t>F077-1</t>
        </is>
      </c>
      <c r="B230" s="22" t="inlineStr">
        <is>
          <t>invima</t>
        </is>
      </c>
      <c r="C230" s="22" t="inlineStr">
        <is>
          <t>Procedimiento administrativo sancionatorio</t>
        </is>
      </c>
      <c r="D230" s="22" t="inlineStr">
        <is>
          <t>C077</t>
        </is>
      </c>
      <c r="E230" s="22" t="inlineStr">
        <is>
          <t>Pruebas con varios investigados</t>
        </is>
      </c>
      <c r="F230" s="22" t="inlineStr">
        <is>
          <t>La actuación sancionatoria cubre a cuatro empresas del mismo grupo y una prueba debe practicarse en Panamá. El apoderado de una de ellas pide que se amplíe el período probatorio y otro reclama traslado para alegar.</t>
        </is>
      </c>
      <c r="G230" s="22" t="inlineStr">
        <is>
          <t>Por regla general, el período probatorio no puede ser mayor a</t>
        </is>
      </c>
      <c r="H230" s="22" t="inlineStr">
        <is>
          <t>Noventa (90) días</t>
        </is>
      </c>
      <c r="I230" s="22" t="inlineStr">
        <is>
          <t>Treinta (30) días</t>
        </is>
      </c>
      <c r="J230" s="22" t="inlineStr">
        <is>
          <t>Seis (6) meses</t>
        </is>
      </c>
      <c r="K230" s="22" t="inlineStr">
        <is>
          <t>B</t>
        </is>
      </c>
      <c r="L230" s="22" t="inlineStr">
        <is>
          <t>Treinta (30) días es el período probatorio ordinario en el procedimiento sancionatorio. Ley 1437 de 2011, artículo 48.</t>
        </is>
      </c>
      <c r="M230" s="22" t="inlineStr">
        <is>
          <t>Noventa días y seis meses exceden el término general y alargan la actuación más allá de lo que permite la ley.</t>
        </is>
      </c>
      <c r="N230" s="22" t="inlineStr">
        <is>
          <t>Ley 1437 de 2011, art. 48</t>
        </is>
      </c>
      <c r="O230" s="22" t="inlineStr">
        <is>
          <t>SI</t>
        </is>
      </c>
      <c r="P230" s="16" t="inlineStr">
        <is>
          <t>Alta</t>
        </is>
      </c>
      <c r="Q230" s="16" t="inlineStr">
        <is>
          <t>v2</t>
        </is>
      </c>
      <c r="R230" s="16" t="inlineStr">
        <is>
          <t>Específico</t>
        </is>
      </c>
    </row>
    <row r="231" ht="23.25" customHeight="1" s="12">
      <c r="A231" s="22" t="inlineStr">
        <is>
          <t>F077-2</t>
        </is>
      </c>
      <c r="B231" s="22" t="inlineStr">
        <is>
          <t>invima</t>
        </is>
      </c>
      <c r="C231" s="22" t="inlineStr">
        <is>
          <t>Procedimiento administrativo sancionatorio</t>
        </is>
      </c>
      <c r="D231" s="22" t="inlineStr">
        <is>
          <t>C077</t>
        </is>
      </c>
      <c r="E231" s="22" t="inlineStr">
        <is>
          <t>Pruebas con varios investigados</t>
        </is>
      </c>
      <c r="F231" s="22" t="inlineStr">
        <is>
          <t>La actuación sancionatoria cubre a cuatro empresas del mismo grupo y una prueba debe practicarse en Panamá. El apoderado de una de ellas pide que se amplíe el período probatorio y otro reclama traslado para alegar.</t>
        </is>
      </c>
      <c r="G231" s="22" t="inlineStr">
        <is>
          <t>Como hay tres o más investigados y una prueba en el exterior, el término probatorio puede ser hasta de</t>
        </is>
      </c>
      <c r="H231" s="22" t="inlineStr">
        <is>
          <t>Un (1) año</t>
        </is>
      </c>
      <c r="I231" s="22" t="inlineStr">
        <is>
          <t>Ciento veinte (120) días</t>
        </is>
      </c>
      <c r="J231" s="22" t="inlineStr">
        <is>
          <t>Sesenta (60) días</t>
        </is>
      </c>
      <c r="K231" s="22" t="inlineStr">
        <is>
          <t>C</t>
        </is>
      </c>
      <c r="L231" s="22" t="inlineStr">
        <is>
          <t>Sesenta (60) días cuando hay tres o más investigados o pruebas en el exterior. Ley 1437 de 2011, artículo 48.</t>
        </is>
      </c>
      <c r="M231" s="22" t="inlineStr">
        <is>
          <t>Un año y ciento veinte días exceden el máximo previsto incluso para casos con varios investigados o pruebas en el exterior.</t>
        </is>
      </c>
      <c r="N231" s="22" t="inlineStr">
        <is>
          <t>Ley 1437 de 2011, art. 48</t>
        </is>
      </c>
      <c r="O231" s="22" t="inlineStr">
        <is>
          <t>SI</t>
        </is>
      </c>
      <c r="P231" s="16" t="inlineStr">
        <is>
          <t>Alta</t>
        </is>
      </c>
      <c r="Q231" s="16" t="inlineStr">
        <is>
          <t>v2</t>
        </is>
      </c>
      <c r="R231" s="16" t="inlineStr">
        <is>
          <t>Específico</t>
        </is>
      </c>
    </row>
    <row r="232" ht="23.25" customHeight="1" s="12">
      <c r="A232" s="22" t="inlineStr">
        <is>
          <t>F077-3</t>
        </is>
      </c>
      <c r="B232" s="22" t="inlineStr">
        <is>
          <t>invima</t>
        </is>
      </c>
      <c r="C232" s="22" t="inlineStr">
        <is>
          <t>Procedimiento administrativo sancionatorio</t>
        </is>
      </c>
      <c r="D232" s="22" t="inlineStr">
        <is>
          <t>C077</t>
        </is>
      </c>
      <c r="E232" s="22" t="inlineStr">
        <is>
          <t>Pruebas con varios investigados</t>
        </is>
      </c>
      <c r="F232" s="22" t="inlineStr">
        <is>
          <t>La actuación sancionatoria cubre a cuatro empresas del mismo grupo y una prueba debe practicarse en Panamá. El apoderado de una de ellas pide que se amplíe el período probatorio y otro reclama traslado para alegar.</t>
        </is>
      </c>
      <c r="G232" s="22" t="inlineStr">
        <is>
          <t>Vencido el período probatorio, se da traslado a los investigados para alegar por</t>
        </is>
      </c>
      <c r="H232" s="22" t="inlineStr">
        <is>
          <t>Cinco (5) días</t>
        </is>
      </c>
      <c r="I232" s="22" t="inlineStr">
        <is>
          <t>Diez (10) días</t>
        </is>
      </c>
      <c r="J232" s="22" t="inlineStr">
        <is>
          <t>Quince (15) días</t>
        </is>
      </c>
      <c r="K232" s="22" t="inlineStr">
        <is>
          <t>B</t>
        </is>
      </c>
      <c r="L232" s="22" t="inlineStr">
        <is>
          <t>Diez (10) días de traslado para alegar de conclusión, vencido el período probatorio. Ley 1437 de 2011, artículo 48.</t>
        </is>
      </c>
      <c r="M232" s="22" t="inlineStr">
        <is>
          <t>Cinco días no corresponden a esta etapa; quince días es el término de descargos, no el de alegatos.</t>
        </is>
      </c>
      <c r="N232" s="22" t="inlineStr">
        <is>
          <t>Ley 1437 de 2011, art. 48</t>
        </is>
      </c>
      <c r="O232" s="22" t="inlineStr">
        <is>
          <t>SI</t>
        </is>
      </c>
      <c r="P232" s="16" t="inlineStr">
        <is>
          <t>Alta</t>
        </is>
      </c>
      <c r="Q232" s="16" t="inlineStr">
        <is>
          <t>v2</t>
        </is>
      </c>
      <c r="R232" s="16" t="inlineStr">
        <is>
          <t>Específico</t>
        </is>
      </c>
    </row>
    <row r="233" ht="23.25" customHeight="1" s="12">
      <c r="A233" s="22" t="inlineStr">
        <is>
          <t>F078-1</t>
        </is>
      </c>
      <c r="B233" s="22" t="inlineStr">
        <is>
          <t>invima</t>
        </is>
      </c>
      <c r="C233" s="22" t="inlineStr">
        <is>
          <t>Procedimiento administrativo sancionatorio</t>
        </is>
      </c>
      <c r="D233" s="22" t="inlineStr">
        <is>
          <t>C078</t>
        </is>
      </c>
      <c r="E233" s="22" t="inlineStr">
        <is>
          <t>Decisión final y conducta permanente</t>
        </is>
      </c>
      <c r="F233" s="22" t="inlineStr">
        <is>
          <t>Los alegatos ya se presentaron. La empresa mantiene la infracción y la medida sanitaria sigue vigente, como en un caso en que el juez consideró que la conducta era permanente porque sus efectos no habían cesado. Usted proyecta la decisión final.</t>
        </is>
      </c>
      <c r="G233" s="22" t="inlineStr">
        <is>
          <t>El acto definitivo debe expedirse dentro de los</t>
        </is>
      </c>
      <c r="H233" s="22" t="inlineStr">
        <is>
          <t>Diez (10) días siguientes a la presentación de los alegatos</t>
        </is>
      </c>
      <c r="I233" s="22" t="inlineStr">
        <is>
          <t>Seis (6) meses siguientes al cierre del período probatorio</t>
        </is>
      </c>
      <c r="J233" s="22" t="inlineStr">
        <is>
          <t>Treinta (30) días siguientes a los alegatos</t>
        </is>
      </c>
      <c r="K233" s="22" t="inlineStr">
        <is>
          <t>C</t>
        </is>
      </c>
      <c r="L233" s="22" t="inlineStr">
        <is>
          <t>Treinta (30) días siguientes al vencimiento del traslado para alegar, para expedir el acto definitivo. Ley 1437 de 2011, artículo 49.</t>
        </is>
      </c>
      <c r="M233" s="22" t="inlineStr">
        <is>
          <t>Diez días no alcanzan para el término de decisión; seis meses lo extienden más allá de lo previsto.</t>
        </is>
      </c>
      <c r="N233" s="22" t="inlineStr">
        <is>
          <t>Ley 1437 de 2011, art. 49</t>
        </is>
      </c>
      <c r="O233" s="22" t="inlineStr">
        <is>
          <t>SI</t>
        </is>
      </c>
      <c r="P233" s="16" t="inlineStr">
        <is>
          <t>Alta</t>
        </is>
      </c>
      <c r="Q233" s="16" t="inlineStr">
        <is>
          <t>v2</t>
        </is>
      </c>
      <c r="R233" s="16" t="inlineStr">
        <is>
          <t>Específico</t>
        </is>
      </c>
    </row>
    <row r="234" ht="34.5" customHeight="1" s="12">
      <c r="A234" s="22" t="inlineStr">
        <is>
          <t>F078-2</t>
        </is>
      </c>
      <c r="B234" s="22" t="inlineStr">
        <is>
          <t>invima</t>
        </is>
      </c>
      <c r="C234" s="22" t="inlineStr">
        <is>
          <t>Procedimiento administrativo sancionatorio</t>
        </is>
      </c>
      <c r="D234" s="22" t="inlineStr">
        <is>
          <t>C078</t>
        </is>
      </c>
      <c r="E234" s="22" t="inlineStr">
        <is>
          <t>Decisión final y conducta permanente</t>
        </is>
      </c>
      <c r="F234" s="22" t="inlineStr">
        <is>
          <t>Los alegatos ya se presentaron. La empresa mantiene la infracción y la medida sanitaria sigue vigente, como en un caso en que el juez consideró que la conducta era permanente porque sus efectos no habían cesado. Usted proyecta la decisión final.</t>
        </is>
      </c>
      <c r="G234" s="22" t="inlineStr">
        <is>
          <t>El acto que pone fin al procedimiento debe contener, entre otros,</t>
        </is>
      </c>
      <c r="H234" s="22" t="inlineStr">
        <is>
          <t>El valor de la multa y la cuenta para consignarla</t>
        </is>
      </c>
      <c r="I234" s="22" t="inlineStr">
        <is>
          <t>La opinión del funcionario sobre la conducta del vigilado</t>
        </is>
      </c>
      <c r="J234" s="22" t="inlineStr">
        <is>
          <t>Los hechos, las pruebas, las normas infringidas y la decisión</t>
        </is>
      </c>
      <c r="K234" s="22" t="inlineStr">
        <is>
          <t>C</t>
        </is>
      </c>
      <c r="L234" s="22" t="inlineStr">
        <is>
          <t>El acto sancionatorio debe contener los hechos, las pruebas, las normas infringidas y la decisión. Ley 1437 de 2011, artículo 49.</t>
        </is>
      </c>
      <c r="M234" s="22" t="inlineStr">
        <is>
          <t>Limitarlo al valor de la multa omite la motivación; incluir la opinión del funcionario resta objetividad al acto.</t>
        </is>
      </c>
      <c r="N234" s="22" t="inlineStr">
        <is>
          <t>Ley 1437 de 2011, art. 49</t>
        </is>
      </c>
      <c r="O234" s="22" t="inlineStr">
        <is>
          <t>SI</t>
        </is>
      </c>
      <c r="P234" s="16" t="inlineStr">
        <is>
          <t>Alta</t>
        </is>
      </c>
      <c r="Q234" s="16" t="inlineStr">
        <is>
          <t>v2</t>
        </is>
      </c>
      <c r="R234" s="16" t="inlineStr">
        <is>
          <t>Específico</t>
        </is>
      </c>
    </row>
    <row r="235" ht="23.25" customHeight="1" s="12">
      <c r="A235" s="22" t="inlineStr">
        <is>
          <t>F078-3</t>
        </is>
      </c>
      <c r="B235" s="22" t="inlineStr">
        <is>
          <t>invima</t>
        </is>
      </c>
      <c r="C235" s="22" t="inlineStr">
        <is>
          <t>Procedimiento administrativo sancionatorio</t>
        </is>
      </c>
      <c r="D235" s="22" t="inlineStr">
        <is>
          <t>C078</t>
        </is>
      </c>
      <c r="E235" s="22" t="inlineStr">
        <is>
          <t>Decisión final y conducta permanente</t>
        </is>
      </c>
      <c r="F235" s="22" t="inlineStr">
        <is>
          <t>Los alegatos ya se presentaron. La empresa mantiene la infracción y la medida sanitaria sigue vigente, como en un caso en que el juez consideró que la conducta era permanente porque sus efectos no habían cesado. Usted proyecta la decisión final.</t>
        </is>
      </c>
      <c r="G235" s="22" t="inlineStr">
        <is>
          <t>Los recursos contra el acto sancionatorio deben decidirse en el término de</t>
        </is>
      </c>
      <c r="H235" s="22" t="inlineStr">
        <is>
          <t>Tres (3) años desde el hecho, igual que la facultad sancionatoria</t>
        </is>
      </c>
      <c r="I235" s="22" t="inlineStr">
        <is>
          <t>Un (1) año desde su interposición</t>
        </is>
      </c>
      <c r="J235" s="22" t="inlineStr">
        <is>
          <t>Cinco (5) días, por tratarse de un trámite posterior a la decisión</t>
        </is>
      </c>
      <c r="K235" s="22" t="inlineStr">
        <is>
          <t>B</t>
        </is>
      </c>
      <c r="L235" s="22" t="inlineStr">
        <is>
          <t>Un (1) año desde su interposición para resolver los recursos, so pena de pérdida de competencia. Ley 1437 de 2011, artículo 52.</t>
        </is>
      </c>
      <c r="M235" s="22" t="inlineStr">
        <is>
          <t>Cinco días es un término de trámite; los tres años corresponden a la caducidad de la facultad, no a la decisión del recurso.</t>
        </is>
      </c>
      <c r="N235" s="22" t="inlineStr">
        <is>
          <t>Ley 1437 de 2011, art. 52</t>
        </is>
      </c>
      <c r="O235" s="22" t="inlineStr">
        <is>
          <t>SI</t>
        </is>
      </c>
      <c r="P235" s="16" t="inlineStr">
        <is>
          <t>Alta</t>
        </is>
      </c>
      <c r="Q235" s="16" t="inlineStr">
        <is>
          <t>v2</t>
        </is>
      </c>
      <c r="R235" s="16" t="inlineStr">
        <is>
          <t>Específico</t>
        </is>
      </c>
    </row>
    <row r="236" ht="23.25" customHeight="1" s="12">
      <c r="A236" s="22" t="inlineStr">
        <is>
          <t>F079-1</t>
        </is>
      </c>
      <c r="B236" s="22" t="inlineStr">
        <is>
          <t>invima</t>
        </is>
      </c>
      <c r="C236" s="22" t="inlineStr">
        <is>
          <t>Procedimiento administrativo sancionatorio</t>
        </is>
      </c>
      <c r="D236" s="22" t="inlineStr">
        <is>
          <t>C079</t>
        </is>
      </c>
      <c r="E236" s="22" t="inlineStr">
        <is>
          <t>Auto de cargos y pruebas pedidas</t>
        </is>
      </c>
      <c r="F236" s="22" t="inlineStr">
        <is>
          <t>Usted proyecta el auto de cargos contra una empresa de alimentos. El abogado anuncia recurso contra ese auto y solicita seis pruebas, dos de ellas sobre hechos ajenos a la investigación.</t>
        </is>
      </c>
      <c r="G236" s="22" t="inlineStr">
        <is>
          <t>Contra el acto de formulación de cargos</t>
        </is>
      </c>
      <c r="H236" s="22" t="inlineStr">
        <is>
          <t>No procede recurso</t>
        </is>
      </c>
      <c r="I236" s="22" t="inlineStr">
        <is>
          <t>Procede apelación</t>
        </is>
      </c>
      <c r="J236" s="22" t="inlineStr">
        <is>
          <t>Procede reposición</t>
        </is>
      </c>
      <c r="K236" s="22" t="inlineStr">
        <is>
          <t>A</t>
        </is>
      </c>
      <c r="L236" s="22" t="inlineStr">
        <is>
          <t>El artículo 47 del CPACA dispone que contra la formulación de cargos no procede recurso.</t>
        </is>
      </c>
      <c r="M236" s="22" t="inlineStr">
        <is>
          <t>La apelación y la reposición proceden contra actos definitivos, y la formulación de cargos es un acto de trámite.</t>
        </is>
      </c>
      <c r="N236" s="22" t="inlineStr">
        <is>
          <t>Ley 1437 de 2011, art. 47</t>
        </is>
      </c>
      <c r="O236" s="22" t="inlineStr">
        <is>
          <t>SI</t>
        </is>
      </c>
      <c r="P236" s="16" t="inlineStr">
        <is>
          <t>Alta</t>
        </is>
      </c>
      <c r="Q236" s="16" t="inlineStr">
        <is>
          <t>v2</t>
        </is>
      </c>
      <c r="R236" s="16" t="inlineStr">
        <is>
          <t>Específico</t>
        </is>
      </c>
    </row>
    <row r="237" ht="23.25" customHeight="1" s="12">
      <c r="A237" s="22" t="inlineStr">
        <is>
          <t>F079-2</t>
        </is>
      </c>
      <c r="B237" s="22" t="inlineStr">
        <is>
          <t>invima</t>
        </is>
      </c>
      <c r="C237" s="22" t="inlineStr">
        <is>
          <t>Procedimiento administrativo sancionatorio</t>
        </is>
      </c>
      <c r="D237" s="22" t="inlineStr">
        <is>
          <t>C079</t>
        </is>
      </c>
      <c r="E237" s="22" t="inlineStr">
        <is>
          <t>Auto de cargos y pruebas pedidas</t>
        </is>
      </c>
      <c r="F237" s="22" t="inlineStr">
        <is>
          <t>Usted proyecta el auto de cargos contra una empresa de alimentos. El abogado anuncia recurso contra ese auto y solicita seis pruebas, dos de ellas sobre hechos ajenos a la investigación.</t>
        </is>
      </c>
      <c r="G237" s="22" t="inlineStr">
        <is>
          <t>La formulación de cargos debe notificarse</t>
        </is>
      </c>
      <c r="H237" s="22" t="inlineStr">
        <is>
          <t>Por estado en cartelera</t>
        </is>
      </c>
      <c r="I237" s="22" t="inlineStr">
        <is>
          <t>Por correo simple</t>
        </is>
      </c>
      <c r="J237" s="22" t="inlineStr">
        <is>
          <t>Personalmente a los investigados</t>
        </is>
      </c>
      <c r="K237" s="22" t="inlineStr">
        <is>
          <t>C</t>
        </is>
      </c>
      <c r="L237" s="22" t="inlineStr">
        <is>
          <t>El CPACA exige notificación personal de la formulación de cargos.</t>
        </is>
      </c>
      <c r="M237" s="22" t="inlineStr">
        <is>
          <t>La notificación por estado es propia del proceso judicial; el correo simple no acredita que el investigado conoció los cargos.</t>
        </is>
      </c>
      <c r="N237" s="22" t="inlineStr">
        <is>
          <t>Ley 1437 de 2011, art. 47</t>
        </is>
      </c>
      <c r="O237" s="22" t="inlineStr">
        <is>
          <t>SI</t>
        </is>
      </c>
      <c r="P237" s="16" t="inlineStr">
        <is>
          <t>Alta</t>
        </is>
      </c>
      <c r="Q237" s="16" t="inlineStr">
        <is>
          <t>v2</t>
        </is>
      </c>
      <c r="R237" s="16" t="inlineStr">
        <is>
          <t>Específico</t>
        </is>
      </c>
    </row>
    <row r="238" ht="23.25" customHeight="1" s="12">
      <c r="A238" s="22" t="inlineStr">
        <is>
          <t>F079-3</t>
        </is>
      </c>
      <c r="B238" s="22" t="inlineStr">
        <is>
          <t>invima</t>
        </is>
      </c>
      <c r="C238" s="22" t="inlineStr">
        <is>
          <t>Procedimiento administrativo sancionatorio</t>
        </is>
      </c>
      <c r="D238" s="22" t="inlineStr">
        <is>
          <t>C079</t>
        </is>
      </c>
      <c r="E238" s="22" t="inlineStr">
        <is>
          <t>Auto de cargos y pruebas pedidas</t>
        </is>
      </c>
      <c r="F238" s="22" t="inlineStr">
        <is>
          <t>Usted proyecta el auto de cargos contra una empresa de alimentos. El abogado anuncia recurso contra ese auto y solicita seis pruebas, dos de ellas sobre hechos ajenos a la investigación.</t>
        </is>
      </c>
      <c r="G238" s="22" t="inlineStr">
        <is>
          <t>Las pruebas solicitadas que sean inconducentes, impertinentes o superfluas</t>
        </is>
      </c>
      <c r="H238" s="22" t="inlineStr">
        <is>
          <t>Se practican conforme a lo pedido</t>
        </is>
      </c>
      <c r="I238" s="22" t="inlineStr">
        <is>
          <t>Se rechazan de manera motivada</t>
        </is>
      </c>
      <c r="J238" s="22" t="inlineStr">
        <is>
          <t>Se archivan sin decisión motivada</t>
        </is>
      </c>
      <c r="K238" s="22" t="inlineStr">
        <is>
          <t>B</t>
        </is>
      </c>
      <c r="L238" s="22" t="inlineStr">
        <is>
          <t>El CPACA ordena rechazarlas motivadamente.</t>
        </is>
      </c>
      <c r="M238" s="22" t="inlineStr">
        <is>
          <t>Practicarlas igual dilata el proceso sin aportar nada; archivarlas sin decisión deja al investigado sin respuesta a su solicitud.</t>
        </is>
      </c>
      <c r="N238" s="22" t="inlineStr">
        <is>
          <t>Ley 1437 de 2011, art. 47</t>
        </is>
      </c>
      <c r="O238" s="22" t="inlineStr">
        <is>
          <t>SI</t>
        </is>
      </c>
      <c r="P238" s="16" t="inlineStr">
        <is>
          <t>Alta</t>
        </is>
      </c>
      <c r="Q238" s="16" t="inlineStr">
        <is>
          <t>v2</t>
        </is>
      </c>
      <c r="R238" s="16" t="inlineStr">
        <is>
          <t>Específico</t>
        </is>
      </c>
    </row>
    <row r="239" ht="23.25" customHeight="1" s="12">
      <c r="A239" s="22" t="inlineStr">
        <is>
          <t>F080-1</t>
        </is>
      </c>
      <c r="B239" s="22" t="inlineStr">
        <is>
          <t>invima</t>
        </is>
      </c>
      <c r="C239" s="22" t="inlineStr">
        <is>
          <t>Procedimiento administrativo sancionatorio</t>
        </is>
      </c>
      <c r="D239" s="22" t="inlineStr">
        <is>
          <t>C080</t>
        </is>
      </c>
      <c r="E239" s="22" t="inlineStr">
        <is>
          <t>Dosificación de la sanción</t>
        </is>
      </c>
      <c r="F239" s="22" t="inlineStr">
        <is>
          <t>La empresa reincidió por tercera vez en el mismo incumplimiento, obstaculizó la visita de verificación durante dos días y aceptó los hechos apenas se decretaron las pruebas. Usted debe dosificar la sanción esta semana.</t>
        </is>
      </c>
      <c r="G239" s="22" t="inlineStr">
        <is>
          <t>Es un criterio para graduar la sanción según el CPACA</t>
        </is>
      </c>
      <c r="H239" s="22" t="inlineStr">
        <is>
          <t>El tamaño de la oficina del investigado</t>
        </is>
      </c>
      <c r="I239" s="22" t="inlineStr">
        <is>
          <t>La antigüedad del funcionario que investiga</t>
        </is>
      </c>
      <c r="J239" s="22" t="inlineStr">
        <is>
          <t>La reincidencia en la comisión de la infracción</t>
        </is>
      </c>
      <c r="K239" s="22" t="inlineStr">
        <is>
          <t>C</t>
        </is>
      </c>
      <c r="L239" s="22" t="inlineStr">
        <is>
          <t>El artículo 50 del CPACA enumera los criterios de graduación.</t>
        </is>
      </c>
      <c r="M239" s="22" t="inlineStr">
        <is>
          <t>El tamaño de la oficina del investigado no dice nada sobre la infracción; la antigüedad del funcionario que investiga es ajena a la conducta.</t>
        </is>
      </c>
      <c r="N239" s="22" t="inlineStr">
        <is>
          <t>Ley 1437 de 2011, art. 50</t>
        </is>
      </c>
      <c r="O239" s="22" t="inlineStr">
        <is>
          <t>SI</t>
        </is>
      </c>
      <c r="P239" s="16" t="inlineStr">
        <is>
          <t>Alta</t>
        </is>
      </c>
      <c r="Q239" s="16" t="inlineStr">
        <is>
          <t>v2</t>
        </is>
      </c>
      <c r="R239" s="16" t="inlineStr">
        <is>
          <t>Específico</t>
        </is>
      </c>
    </row>
    <row r="240" ht="23.25" customHeight="1" s="12">
      <c r="A240" s="22" t="inlineStr">
        <is>
          <t>F080-2</t>
        </is>
      </c>
      <c r="B240" s="22" t="inlineStr">
        <is>
          <t>invima</t>
        </is>
      </c>
      <c r="C240" s="22" t="inlineStr">
        <is>
          <t>Procedimiento administrativo sancionatorio</t>
        </is>
      </c>
      <c r="D240" s="22" t="inlineStr">
        <is>
          <t>C080</t>
        </is>
      </c>
      <c r="E240" s="22" t="inlineStr">
        <is>
          <t>Dosificación de la sanción</t>
        </is>
      </c>
      <c r="F240" s="22" t="inlineStr">
        <is>
          <t>La empresa reincidió por tercera vez en el mismo incumplimiento, obstaculizó la visita de verificación durante dos días y aceptó los hechos apenas se decretaron las pruebas. Usted debe dosificar la sanción esta semana.</t>
        </is>
      </c>
      <c r="G240" s="22" t="inlineStr">
        <is>
          <t>El reconocimiento o aceptación expresa de la infracción se tiene en cuenta si ocurre</t>
        </is>
      </c>
      <c r="H240" s="22" t="inlineStr">
        <is>
          <t>Antes del decreto de pruebas</t>
        </is>
      </c>
      <c r="I240" s="22" t="inlineStr">
        <is>
          <t>En cualquier momento, incluso tras el recurso</t>
        </is>
      </c>
      <c r="J240" s="22" t="inlineStr">
        <is>
          <t>Después de la sanción</t>
        </is>
      </c>
      <c r="K240" s="22" t="inlineStr">
        <is>
          <t>A</t>
        </is>
      </c>
      <c r="L240" s="22" t="inlineStr">
        <is>
          <t>El artículo 50 del CPACA considera la aceptación antes del decreto de pruebas.</t>
        </is>
      </c>
      <c r="M240" s="22" t="inlineStr">
        <is>
          <t>Aceptar tras el recurso llega cuando ya se decidió; después de la sanción no permite ninguna reducción.</t>
        </is>
      </c>
      <c r="N240" s="22" t="inlineStr">
        <is>
          <t>Ley 1437 de 2011, art. 50</t>
        </is>
      </c>
      <c r="O240" s="22" t="inlineStr">
        <is>
          <t>SI</t>
        </is>
      </c>
      <c r="P240" s="16" t="inlineStr">
        <is>
          <t>Alta</t>
        </is>
      </c>
      <c r="Q240" s="16" t="inlineStr">
        <is>
          <t>v2</t>
        </is>
      </c>
      <c r="R240" s="16" t="inlineStr">
        <is>
          <t>Específico</t>
        </is>
      </c>
    </row>
    <row r="241" ht="23.25" customHeight="1" s="12">
      <c r="A241" s="22" t="inlineStr">
        <is>
          <t>F080-3</t>
        </is>
      </c>
      <c r="B241" s="22" t="inlineStr">
        <is>
          <t>invima</t>
        </is>
      </c>
      <c r="C241" s="22" t="inlineStr">
        <is>
          <t>Procedimiento administrativo sancionatorio</t>
        </is>
      </c>
      <c r="D241" s="22" t="inlineStr">
        <is>
          <t>C080</t>
        </is>
      </c>
      <c r="E241" s="22" t="inlineStr">
        <is>
          <t>Dosificación de la sanción</t>
        </is>
      </c>
      <c r="F241" s="22" t="inlineStr">
        <is>
          <t>La empresa reincidió por tercera vez en el mismo incumplimiento, obstaculizó la visita de verificación durante dos días y aceptó los hechos apenas se decretaron las pruebas. Usted debe dosificar la sanción esta semana.</t>
        </is>
      </c>
      <c r="G241" s="22" t="inlineStr">
        <is>
          <t>También agrava la situación del investigado</t>
        </is>
      </c>
      <c r="H241" s="22" t="inlineStr">
        <is>
          <t>Haber presentado descargos extensos para controvertir cada uno de los cargos</t>
        </is>
      </c>
      <c r="I241" s="22" t="inlineStr">
        <is>
          <t>Haber pedido pruebas que el investigador considere innecesarias para decidir</t>
        </is>
      </c>
      <c r="J241" s="22" t="inlineStr">
        <is>
          <t>La resistencia u obstrucción a la investigación</t>
        </is>
      </c>
      <c r="K241" s="22" t="inlineStr">
        <is>
          <t>C</t>
        </is>
      </c>
      <c r="L241" s="22" t="inlineStr">
        <is>
          <t>La obstrucción a la investigación es criterio de graduación.</t>
        </is>
      </c>
      <c r="M241" s="22" t="inlineStr">
        <is>
          <t>Presentar descargos y pedir pruebas es ejercer la defensa, y no puede tomarse en contra del investigado.</t>
        </is>
      </c>
      <c r="N241" s="22" t="inlineStr">
        <is>
          <t>Ley 1437 de 2011, art. 50</t>
        </is>
      </c>
      <c r="O241" s="22" t="inlineStr">
        <is>
          <t>SI</t>
        </is>
      </c>
      <c r="P241" s="16" t="inlineStr">
        <is>
          <t>Alta</t>
        </is>
      </c>
      <c r="Q241" s="16" t="inlineStr">
        <is>
          <t>v2</t>
        </is>
      </c>
      <c r="R241" s="16" t="inlineStr">
        <is>
          <t>Específico</t>
        </is>
      </c>
    </row>
    <row r="242" ht="23.25" customHeight="1" s="12">
      <c r="A242" s="22" t="inlineStr">
        <is>
          <t>F081-1</t>
        </is>
      </c>
      <c r="B242" s="22" t="inlineStr">
        <is>
          <t>invima</t>
        </is>
      </c>
      <c r="C242" s="22" t="inlineStr">
        <is>
          <t>Procedimiento administrativo sancionatorio</t>
        </is>
      </c>
      <c r="D242" s="22" t="inlineStr">
        <is>
          <t>C081</t>
        </is>
      </c>
      <c r="E242" s="22" t="inlineStr">
        <is>
          <t>Vigilado que no entrega la información</t>
        </is>
      </c>
      <c r="F242" s="22" t="inlineStr">
        <is>
          <t>Usted pidió por escrito los registros de producción de los últimos seis meses. La empresa no respondió en el plazo y ahora argumenta que entregarlos paraliza su operación. La investigación principal sigue en curso.</t>
        </is>
      </c>
      <c r="G242" s="22" t="inlineStr">
        <is>
          <t>Esa conducta puede sancionarse con multa de hasta</t>
        </is>
      </c>
      <c r="H242" s="22" t="inlineStr">
        <is>
          <t>Cien (100) salarios mínimos mensuales</t>
        </is>
      </c>
      <c r="I242" s="22" t="inlineStr">
        <is>
          <t>Un (1) salario mínimo mensual</t>
        </is>
      </c>
      <c r="J242" s="22" t="inlineStr">
        <is>
          <t>Diez mil (10.000) salarios mínimos mensuales</t>
        </is>
      </c>
      <c r="K242" s="22" t="inlineStr">
        <is>
          <t>A</t>
        </is>
      </c>
      <c r="L242" s="22" t="inlineStr">
        <is>
          <t>Multa de hasta cien (100) salarios mínimos mensuales por renuencia a entregar información. Ley 1437 de 2011, artículo 51.</t>
        </is>
      </c>
      <c r="M242" s="22" t="inlineStr">
        <is>
          <t>Un salario mínimo es un tope irrisorio frente a la conducta; diez mil salarios corresponde a las multas sanitarias, no a la renuencia.</t>
        </is>
      </c>
      <c r="N242" s="22" t="inlineStr">
        <is>
          <t>Ley 1437 de 2011, art. 51</t>
        </is>
      </c>
      <c r="O242" s="22" t="inlineStr">
        <is>
          <t>SI</t>
        </is>
      </c>
      <c r="P242" s="16" t="inlineStr">
        <is>
          <t>Alta</t>
        </is>
      </c>
      <c r="Q242" s="16" t="inlineStr">
        <is>
          <t>v2</t>
        </is>
      </c>
      <c r="R242" s="16" t="inlineStr">
        <is>
          <t>Específico</t>
        </is>
      </c>
    </row>
    <row r="243" ht="23.25" customHeight="1" s="12">
      <c r="A243" s="22" t="inlineStr">
        <is>
          <t>F081-2</t>
        </is>
      </c>
      <c r="B243" s="22" t="inlineStr">
        <is>
          <t>invima</t>
        </is>
      </c>
      <c r="C243" s="22" t="inlineStr">
        <is>
          <t>Procedimiento administrativo sancionatorio</t>
        </is>
      </c>
      <c r="D243" s="22" t="inlineStr">
        <is>
          <t>C081</t>
        </is>
      </c>
      <c r="E243" s="22" t="inlineStr">
        <is>
          <t>Vigilado que no entrega la información</t>
        </is>
      </c>
      <c r="F243" s="22" t="inlineStr">
        <is>
          <t>Usted pidió por escrito los registros de producción de los últimos seis meses. La empresa no respondió en el plazo y ahora argumenta que entregarlos paraliza su operación. La investigación principal sigue en curso.</t>
        </is>
      </c>
      <c r="G243" s="22" t="inlineStr">
        <is>
          <t>Antes de imponer esa multa, se debe dar traslado al renuente para que presente explicaciones en</t>
        </is>
      </c>
      <c r="H243" s="22" t="inlineStr">
        <is>
          <t>Diez (10) días</t>
        </is>
      </c>
      <c r="I243" s="22" t="inlineStr">
        <is>
          <t>Treinta (30) días</t>
        </is>
      </c>
      <c r="J243" s="22" t="inlineStr">
        <is>
          <t>Veinticuatro (24) horas</t>
        </is>
      </c>
      <c r="K243" s="22" t="inlineStr">
        <is>
          <t>A</t>
        </is>
      </c>
      <c r="L243" s="22" t="inlineStr">
        <is>
          <t>Diez (10) días de traslado al renuente para explicar, antes de imponer la multa. Ley 1437 de 2011, artículo 51.</t>
        </is>
      </c>
      <c r="M243" s="22" t="inlineStr">
        <is>
          <t>Treinta días dilatan la actuación principal; veinticuatro horas no dan tiempo real de defensa.</t>
        </is>
      </c>
      <c r="N243" s="22" t="inlineStr">
        <is>
          <t>Ley 1437 de 2011, art. 51</t>
        </is>
      </c>
      <c r="O243" s="22" t="inlineStr">
        <is>
          <t>SI</t>
        </is>
      </c>
      <c r="P243" s="16" t="inlineStr">
        <is>
          <t>Alta</t>
        </is>
      </c>
      <c r="Q243" s="16" t="inlineStr">
        <is>
          <t>v2</t>
        </is>
      </c>
      <c r="R243" s="16" t="inlineStr">
        <is>
          <t>Específico</t>
        </is>
      </c>
    </row>
    <row r="244" ht="23.25" customHeight="1" s="12">
      <c r="A244" s="22" t="inlineStr">
        <is>
          <t>F081-3</t>
        </is>
      </c>
      <c r="B244" s="22" t="inlineStr">
        <is>
          <t>invima</t>
        </is>
      </c>
      <c r="C244" s="22" t="inlineStr">
        <is>
          <t>Procedimiento administrativo sancionatorio</t>
        </is>
      </c>
      <c r="D244" s="22" t="inlineStr">
        <is>
          <t>C081</t>
        </is>
      </c>
      <c r="E244" s="22" t="inlineStr">
        <is>
          <t>Vigilado que no entrega la información</t>
        </is>
      </c>
      <c r="F244" s="22" t="inlineStr">
        <is>
          <t>Usted pidió por escrito los registros de producción de los últimos seis meses. La empresa no respondió en el plazo y ahora argumenta que entregarlos paraliza su operación. La investigación principal sigue en curso.</t>
        </is>
      </c>
      <c r="G244" s="22" t="inlineStr">
        <is>
          <t>La actuación por renuencia</t>
        </is>
      </c>
      <c r="H244" s="22" t="inlineStr">
        <is>
          <t>Suspende el proceso principal hasta que se resuelva</t>
        </is>
      </c>
      <c r="I244" s="22" t="inlineStr">
        <is>
          <t>No suspende ni interrumpe el proceso sancionatorio principal</t>
        </is>
      </c>
      <c r="J244" s="22" t="inlineStr">
        <is>
          <t>Reemplaza el proceso principal</t>
        </is>
      </c>
      <c r="K244" s="22" t="inlineStr">
        <is>
          <t>B</t>
        </is>
      </c>
      <c r="L244" s="22" t="inlineStr">
        <is>
          <t>El parágrafo del artículo 51 lo aclara expresamente.</t>
        </is>
      </c>
      <c r="M244" s="22" t="inlineStr">
        <is>
          <t>Suspender el proceso principal premiaría al renuente; reemplazarlo dejaría sin decidir la infracción que se investiga.</t>
        </is>
      </c>
      <c r="N244" s="22" t="inlineStr">
        <is>
          <t>Ley 1437 de 2011, art. 51</t>
        </is>
      </c>
      <c r="O244" s="22" t="inlineStr">
        <is>
          <t>SI</t>
        </is>
      </c>
      <c r="P244" s="16" t="inlineStr">
        <is>
          <t>Alta</t>
        </is>
      </c>
      <c r="Q244" s="16" t="inlineStr">
        <is>
          <t>v2</t>
        </is>
      </c>
      <c r="R244" s="16" t="inlineStr">
        <is>
          <t>Específico</t>
        </is>
      </c>
    </row>
    <row r="245" ht="34.5" customHeight="1" s="12">
      <c r="A245" s="22" t="inlineStr">
        <is>
          <t>F082-1</t>
        </is>
      </c>
      <c r="B245" s="22" t="inlineStr">
        <is>
          <t>invima</t>
        </is>
      </c>
      <c r="C245" s="22" t="inlineStr">
        <is>
          <t>Medicamentos y registro sanitario</t>
        </is>
      </c>
      <c r="D245" s="22" t="inlineStr">
        <is>
          <t>C082</t>
        </is>
      </c>
      <c r="E245" s="22" t="inlineStr">
        <is>
          <t>Vigencia actual del registro de medicamentos</t>
        </is>
      </c>
      <c r="F245" s="22" t="inlineStr">
        <is>
          <t>Un laboratorio consulta si debe renovar el registro sanitario de un medicamento expedido en 2014. Además pregunta qué pasa si el Invima detecta después un problema de farmacovigilancia en ese producto.</t>
        </is>
      </c>
      <c r="G245" s="22" t="inlineStr">
        <is>
          <t>Con la modificación del Decreto 1474 de 2023, la vigencia de los registros sanitarios de medicamentos es</t>
        </is>
      </c>
      <c r="H245" s="22" t="inlineStr">
        <is>
          <t>Indefinida</t>
        </is>
      </c>
      <c r="I245" s="22" t="inlineStr">
        <is>
          <t>De diez (10) años</t>
        </is>
      </c>
      <c r="J245" s="22" t="inlineStr">
        <is>
          <t>De cinco (5) años</t>
        </is>
      </c>
      <c r="K245" s="22" t="inlineStr">
        <is>
          <t>A</t>
        </is>
      </c>
      <c r="L245" s="22" t="inlineStr">
        <is>
          <t>La vigencia de los registros sanitarios de medicamentos es indefinida. Decreto 677 de 1995, artículo 16, modificado por el artículo 5 del Decreto 1474 de 2023.</t>
        </is>
      </c>
      <c r="M245" s="22" t="inlineStr">
        <is>
          <t>Los diez años corresponden a dispositivos médicos; los cinco años, al régimen anterior de medicamentos, ya modificado.</t>
        </is>
      </c>
      <c r="N245" s="22" t="inlineStr">
        <is>
          <t>Decreto 677 de 1995, art. 16 (mod. art. 5 del Decreto 1474 de 2023)</t>
        </is>
      </c>
      <c r="O245" s="22" t="inlineStr">
        <is>
          <t>SI</t>
        </is>
      </c>
      <c r="P245" s="16" t="inlineStr">
        <is>
          <t>Alta</t>
        </is>
      </c>
      <c r="Q245" s="16" t="inlineStr">
        <is>
          <t>v2</t>
        </is>
      </c>
      <c r="R245" s="16" t="inlineStr">
        <is>
          <t>Específico</t>
        </is>
      </c>
    </row>
    <row r="246" ht="34.5" customHeight="1" s="12">
      <c r="A246" s="22" t="inlineStr">
        <is>
          <t>F082-2</t>
        </is>
      </c>
      <c r="B246" s="22" t="inlineStr">
        <is>
          <t>invima</t>
        </is>
      </c>
      <c r="C246" s="22" t="inlineStr">
        <is>
          <t>Medicamentos y registro sanitario</t>
        </is>
      </c>
      <c r="D246" s="22" t="inlineStr">
        <is>
          <t>C082</t>
        </is>
      </c>
      <c r="E246" s="22" t="inlineStr">
        <is>
          <t>Vigencia actual del registro de medicamentos</t>
        </is>
      </c>
      <c r="F246" s="22" t="inlineStr">
        <is>
          <t>Un laboratorio consulta si debe renovar el registro sanitario de un medicamento expedido en 2014. Además pregunta qué pasa si el Invima detecta después un problema de farmacovigilancia en ese producto.</t>
        </is>
      </c>
      <c r="G246" s="22" t="inlineStr">
        <is>
          <t>La vigencia indefinida del registro</t>
        </is>
      </c>
      <c r="H246" s="22" t="inlineStr">
        <is>
          <t>Exime al titular de reportar los cambios del producto</t>
        </is>
      </c>
      <c r="I246" s="22" t="inlineStr">
        <is>
          <t>No impide que el Invima adopte medidas si hay riesgos</t>
        </is>
      </c>
      <c r="J246" s="22" t="inlineStr">
        <is>
          <t>Impide cualquier revisión posterior del producto amparado</t>
        </is>
      </c>
      <c r="K246" s="22" t="inlineStr">
        <is>
          <t>B</t>
        </is>
      </c>
      <c r="L246" s="22" t="inlineStr">
        <is>
          <t>La vigencia indefinida no impide la vigilancia posterior: el Invima puede revisar de oficio el registro y adoptar medidas sanitarias. Decreto 677 de 1995, artículos 16 y 78; Ley 9 de 1979, artículo 576.</t>
        </is>
      </c>
      <c r="M246" s="22" t="inlineStr">
        <is>
          <t>Eximir del reporte de cambios desconoce las obligaciones del titular; impedir revisiones posteriores anularía la vigilancia poscomercialización.</t>
        </is>
      </c>
      <c r="N246" s="22" t="inlineStr">
        <is>
          <t>Decreto 677 de 1995, arts. 16 y 78; Ley 9 de 1979, art. 576</t>
        </is>
      </c>
      <c r="O246" s="22" t="inlineStr">
        <is>
          <t>SI</t>
        </is>
      </c>
      <c r="P246" s="16" t="inlineStr">
        <is>
          <t>Alta</t>
        </is>
      </c>
      <c r="Q246" s="16" t="inlineStr">
        <is>
          <t>v2</t>
        </is>
      </c>
      <c r="R246" s="16" t="inlineStr">
        <is>
          <t>Específico</t>
        </is>
      </c>
    </row>
    <row r="247" ht="23.25" customHeight="1" s="12">
      <c r="A247" s="22" t="inlineStr">
        <is>
          <t>F082-3</t>
        </is>
      </c>
      <c r="B247" s="22" t="inlineStr">
        <is>
          <t>invima</t>
        </is>
      </c>
      <c r="C247" s="22" t="inlineStr">
        <is>
          <t>Medicamentos y registro sanitario</t>
        </is>
      </c>
      <c r="D247" s="22" t="inlineStr">
        <is>
          <t>C082</t>
        </is>
      </c>
      <c r="E247" s="22" t="inlineStr">
        <is>
          <t>Vigencia actual del registro de medicamentos</t>
        </is>
      </c>
      <c r="F247" s="22" t="inlineStr">
        <is>
          <t>Un laboratorio consulta si debe renovar el registro sanitario de un medicamento expedido en 2014. Además pregunta qué pasa si el Invima detecta después un problema de farmacovigilancia en ese producto.</t>
        </is>
      </c>
      <c r="G247" s="22" t="inlineStr">
        <is>
          <t>Contra el acto que concede o niega el registro sanitario proceden</t>
        </is>
      </c>
      <c r="H247" s="22" t="inlineStr">
        <is>
          <t>La acción de tutela</t>
        </is>
      </c>
      <c r="I247" s="22" t="inlineStr">
        <is>
          <t>Los recursos previstos en el CPACA</t>
        </is>
      </c>
      <c r="J247" s="22" t="inlineStr">
        <is>
          <t>El recurso de queja ante el Ministerio</t>
        </is>
      </c>
      <c r="K247" s="22" t="inlineStr">
        <is>
          <t>B</t>
        </is>
      </c>
      <c r="L247" s="22" t="inlineStr">
        <is>
          <t>Contra el acto que concede o niega el registro proceden los recursos del procedimiento administrativo. Decreto 677 de 1995, artículo 16 (mod. Decreto 1474 de 2023); Ley 1437 de 2011, artículo 74.</t>
        </is>
      </c>
      <c r="M247" s="22" t="inlineStr">
        <is>
          <t>La tutela es subsidiaria y no reemplaza los recursos; la queja opera cuando se rechaza una apelación, no contra el registro.</t>
        </is>
      </c>
      <c r="N247" s="22" t="inlineStr">
        <is>
          <t>Decreto 677 de 1995, art. 16; Ley 1437 de 2011, art. 74</t>
        </is>
      </c>
      <c r="O247" s="22" t="inlineStr">
        <is>
          <t>SI</t>
        </is>
      </c>
      <c r="P247" s="16" t="inlineStr">
        <is>
          <t>Alta</t>
        </is>
      </c>
      <c r="Q247" s="16" t="inlineStr">
        <is>
          <t>v2</t>
        </is>
      </c>
      <c r="R247" s="16" t="inlineStr">
        <is>
          <t>Específico</t>
        </is>
      </c>
    </row>
    <row r="248" ht="23.25" customHeight="1" s="12">
      <c r="A248" s="22" t="inlineStr">
        <is>
          <t>F083-1</t>
        </is>
      </c>
      <c r="B248" s="22" t="inlineStr">
        <is>
          <t>invima</t>
        </is>
      </c>
      <c r="C248" s="22" t="inlineStr">
        <is>
          <t>Medicamentos y registro sanitario</t>
        </is>
      </c>
      <c r="D248" s="22" t="inlineStr">
        <is>
          <t>C083</t>
        </is>
      </c>
      <c r="E248" s="22" t="inlineStr">
        <is>
          <t>Antibiótico de origen dudoso</t>
        </is>
      </c>
      <c r="F248" s="22" t="inlineStr">
        <is>
          <t>En una bodega sin licencia se hallan frascos rotulados como un antibiótico de marca, elaborados por un laboratorio que no tiene licencia sanitaria, y cajas del mismo producto almacenadas al sol en el patio.</t>
        </is>
      </c>
      <c r="G248" s="22" t="inlineStr">
        <is>
          <t>Un medicamento elaborado por un laboratorio que no tiene licencia sanitaria de funcionamiento se considera</t>
        </is>
      </c>
      <c r="H248" s="22" t="inlineStr">
        <is>
          <t>Fraudulento</t>
        </is>
      </c>
      <c r="I248" s="22" t="inlineStr">
        <is>
          <t>Genérico</t>
        </is>
      </c>
      <c r="J248" s="22" t="inlineStr">
        <is>
          <t>Alterado</t>
        </is>
      </c>
      <c r="K248" s="22" t="inlineStr">
        <is>
          <t>A</t>
        </is>
      </c>
      <c r="L248" s="22" t="inlineStr">
        <is>
          <t>Es fraudulento el elaborado por laboratorio sin licencia sanitaria de funcionamiento, entre otras causales. Decreto 677 de 1995, artículo 2, definición de producto farmacéutico fraudulento.</t>
        </is>
      </c>
      <c r="M248" s="22" t="inlineStr">
        <is>
          <t>Genérico se refiere a la denominación del principio activo; alterado alude al deterioro o sustitución, no al origen sin licencia.</t>
        </is>
      </c>
      <c r="N248" s="22" t="inlineStr">
        <is>
          <t>Decreto 677 de 1995, art. 2</t>
        </is>
      </c>
      <c r="O248" s="22" t="inlineStr">
        <is>
          <t>SI</t>
        </is>
      </c>
      <c r="P248" s="16" t="inlineStr">
        <is>
          <t>Basica</t>
        </is>
      </c>
      <c r="Q248" s="16" t="inlineStr">
        <is>
          <t>v2</t>
        </is>
      </c>
      <c r="R248" s="16" t="inlineStr">
        <is>
          <t>Específico</t>
        </is>
      </c>
    </row>
    <row r="249" ht="23.25" customHeight="1" s="12">
      <c r="A249" s="22" t="inlineStr">
        <is>
          <t>F083-2</t>
        </is>
      </c>
      <c r="B249" s="22" t="inlineStr">
        <is>
          <t>invima</t>
        </is>
      </c>
      <c r="C249" s="22" t="inlineStr">
        <is>
          <t>Medicamentos y registro sanitario</t>
        </is>
      </c>
      <c r="D249" s="22" t="inlineStr">
        <is>
          <t>C083</t>
        </is>
      </c>
      <c r="E249" s="22" t="inlineStr">
        <is>
          <t>Antibiótico de origen dudoso</t>
        </is>
      </c>
      <c r="F249" s="22" t="inlineStr">
        <is>
          <t>En una bodega sin licencia se hallan frascos rotulados como un antibiótico de marca, elaborados por un laboratorio que no tiene licencia sanitaria, y cajas del mismo producto almacenadas al sol en el patio.</t>
        </is>
      </c>
      <c r="G249" s="22" t="inlineStr">
        <is>
          <t>Un medicamento que no se almacenó ni conservó con las debidas precauciones se considera</t>
        </is>
      </c>
      <c r="H249" s="22" t="inlineStr">
        <is>
          <t>Alterado</t>
        </is>
      </c>
      <c r="I249" s="22" t="inlineStr">
        <is>
          <t>Fraudulento</t>
        </is>
      </c>
      <c r="J249" s="22" t="inlineStr">
        <is>
          <t>Esencial</t>
        </is>
      </c>
      <c r="K249" s="22" t="inlineStr">
        <is>
          <t>A</t>
        </is>
      </c>
      <c r="L249" s="22" t="inlineStr">
        <is>
          <t>Es alterado, entre otros casos, el que no se almacena ni conserva con las debidas precauciones. Decreto 677 de 1995, artículo 2, definición de producto farmacéutico alterado.</t>
        </is>
      </c>
      <c r="M249" s="22" t="inlineStr">
        <is>
          <t>Fraudulento apunta al origen o la identidad falsa del producto; esencial es una categoría de política farmacéutica, no una condición de calidad.</t>
        </is>
      </c>
      <c r="N249" s="22" t="inlineStr">
        <is>
          <t>Decreto 677 de 1995, art. 2</t>
        </is>
      </c>
      <c r="O249" s="22" t="inlineStr">
        <is>
          <t>SI</t>
        </is>
      </c>
      <c r="P249" s="16" t="inlineStr">
        <is>
          <t>Basica</t>
        </is>
      </c>
      <c r="Q249" s="16" t="inlineStr">
        <is>
          <t>v2</t>
        </is>
      </c>
      <c r="R249" s="16" t="inlineStr">
        <is>
          <t>Específico</t>
        </is>
      </c>
    </row>
    <row r="250" ht="23.25" customHeight="1" s="12">
      <c r="A250" s="22" t="inlineStr">
        <is>
          <t>F083-3</t>
        </is>
      </c>
      <c r="B250" s="22" t="inlineStr">
        <is>
          <t>invima</t>
        </is>
      </c>
      <c r="C250" s="22" t="inlineStr">
        <is>
          <t>Medicamentos y registro sanitario</t>
        </is>
      </c>
      <c r="D250" s="22" t="inlineStr">
        <is>
          <t>C083</t>
        </is>
      </c>
      <c r="E250" s="22" t="inlineStr">
        <is>
          <t>Antibiótico de origen dudoso</t>
        </is>
      </c>
      <c r="F250" s="22" t="inlineStr">
        <is>
          <t>En una bodega sin licencia se hallan frascos rotulados como un antibiótico de marca, elaborados por un laboratorio que no tiene licencia sanitaria, y cajas del mismo producto almacenadas al sol en el patio.</t>
        </is>
      </c>
      <c r="G250" s="22" t="inlineStr">
        <is>
          <t>Un medicamento al que se le sustituyeron componentes de la fórmula aprobada es</t>
        </is>
      </c>
      <c r="H250" s="22" t="inlineStr">
        <is>
          <t>De venta libre</t>
        </is>
      </c>
      <c r="I250" s="22" t="inlineStr">
        <is>
          <t>Un medicamento nuevo</t>
        </is>
      </c>
      <c r="J250" s="22" t="inlineStr">
        <is>
          <t>Alterado</t>
        </is>
      </c>
      <c r="K250" s="22" t="inlineStr">
        <is>
          <t>C</t>
        </is>
      </c>
      <c r="L250" s="22" t="inlineStr">
        <is>
          <t>La sustitución de elementos constitutivos de la fórmula aprobada configura alteración. Decreto 677 de 1995, artículo 2.</t>
        </is>
      </c>
      <c r="M250" s="22" t="inlineStr">
        <is>
          <t>Venta libre indica la condición de dispensación; llamarlo medicamento nuevo daría por válida una fórmula que fue modificada sin autorización.</t>
        </is>
      </c>
      <c r="N250" s="22" t="inlineStr">
        <is>
          <t>Decreto 677 de 1995, art. 2</t>
        </is>
      </c>
      <c r="O250" s="22" t="inlineStr">
        <is>
          <t>SI</t>
        </is>
      </c>
      <c r="P250" s="16" t="inlineStr">
        <is>
          <t>Basica</t>
        </is>
      </c>
      <c r="Q250" s="16" t="inlineStr">
        <is>
          <t>v2</t>
        </is>
      </c>
      <c r="R250" s="16" t="inlineStr">
        <is>
          <t>Específico</t>
        </is>
      </c>
    </row>
    <row r="251" ht="23.25" customHeight="1" s="12">
      <c r="A251" s="22" t="inlineStr">
        <is>
          <t>F084-1</t>
        </is>
      </c>
      <c r="B251" s="22" t="inlineStr">
        <is>
          <t>invima</t>
        </is>
      </c>
      <c r="C251" s="22" t="inlineStr">
        <is>
          <t>Publicidad de productos</t>
        </is>
      </c>
      <c r="D251" s="22" t="inlineStr">
        <is>
          <t>C084</t>
        </is>
      </c>
      <c r="E251" s="22" t="inlineStr">
        <is>
          <t>Suspensión de una pauta nacional</t>
        </is>
      </c>
      <c r="F251" s="22" t="inlineStr">
        <is>
          <t>Una cervecería difunde a nivel nacional una pauta que omite las advertencias exigidas. En un caso semejante, el Invima inició el proceso sancionatorio y ordenó la suspensión de la publicidad en todo el país, y la acción popular reconoció que cumplió su función de control.</t>
        </is>
      </c>
      <c r="G251" s="22" t="inlineStr">
        <is>
          <t>Según el Decreto 334 de 2022, la publicidad de medicamentos</t>
        </is>
      </c>
      <c r="H251" s="22" t="inlineStr">
        <is>
          <t>Requiere aprobación previa del Invima en todos los casos</t>
        </is>
      </c>
      <c r="I251" s="22" t="inlineStr">
        <is>
          <t>Está prohibida en redes sociales y medios digitales</t>
        </is>
      </c>
      <c r="J251" s="22" t="inlineStr">
        <is>
          <t>No requiere aprobación previa, pero sí control posterior</t>
        </is>
      </c>
      <c r="K251" s="22" t="inlineStr">
        <is>
          <t>C</t>
        </is>
      </c>
      <c r="L251" s="22" t="inlineStr">
        <is>
          <t>La publicidad no requiere aprobación previa y se somete a control posterior del Invima. Decreto 334 de 2022, artículo 10; el artículo 79 del Decreto 677 de 1995 fue derogado por el artículo 29 del Decreto 334 de 2022.</t>
        </is>
      </c>
      <c r="M251" s="22" t="inlineStr">
        <is>
          <t>La aprobación previa fue eliminada por la norma vigente; prohibirla en redes desconoce que el medio no define la legalidad de la pauta.</t>
        </is>
      </c>
      <c r="N251" s="22" t="inlineStr">
        <is>
          <t>Decreto 334 de 2022, arts. 10 y 29</t>
        </is>
      </c>
      <c r="O251" s="22" t="inlineStr">
        <is>
          <t>SI</t>
        </is>
      </c>
      <c r="P251" s="16" t="inlineStr">
        <is>
          <t>Media</t>
        </is>
      </c>
      <c r="Q251" s="16" t="inlineStr">
        <is>
          <t>v2</t>
        </is>
      </c>
      <c r="R251" s="16" t="inlineStr">
        <is>
          <t>Específico</t>
        </is>
      </c>
    </row>
    <row r="252" ht="23.25" customHeight="1" s="12">
      <c r="A252" s="22" t="inlineStr">
        <is>
          <t>F084-2</t>
        </is>
      </c>
      <c r="B252" s="22" t="inlineStr">
        <is>
          <t>invima</t>
        </is>
      </c>
      <c r="C252" s="22" t="inlineStr">
        <is>
          <t>Publicidad de productos</t>
        </is>
      </c>
      <c r="D252" s="22" t="inlineStr">
        <is>
          <t>C084</t>
        </is>
      </c>
      <c r="E252" s="22" t="inlineStr">
        <is>
          <t>Suspensión de una pauta nacional</t>
        </is>
      </c>
      <c r="F252" s="22" t="inlineStr">
        <is>
          <t>Una cervecería difunde a nivel nacional una pauta que omite las advertencias exigidas. En un caso semejante, el Invima inició el proceso sancionatorio y ordenó la suspensión de la publicidad en todo el país, y la acción popular reconoció que cumplió su función de control.</t>
        </is>
      </c>
      <c r="G252" s="22" t="inlineStr">
        <is>
          <t>La publicidad debe sujetarse a</t>
        </is>
      </c>
      <c r="H252" s="22" t="inlineStr">
        <is>
          <t>Las condiciones aprobadas en el registro sanitario</t>
        </is>
      </c>
      <c r="I252" s="22" t="inlineStr">
        <is>
          <t>Las recomendaciones del área de mercadeo del titular</t>
        </is>
      </c>
      <c r="J252" s="22" t="inlineStr">
        <is>
          <t>Los formatos que fije la agencia de publicidad</t>
        </is>
      </c>
      <c r="K252" s="22" t="inlineStr">
        <is>
          <t>A</t>
        </is>
      </c>
      <c r="L252" s="22" t="inlineStr">
        <is>
          <t>La pauta debe sujetarse a las condiciones aprobadas en el registro sanitario. Decreto 334 de 2022, artículos 10 y 16, numeral 16.1.</t>
        </is>
      </c>
      <c r="M252" s="22" t="inlineStr">
        <is>
          <t>Las recomendaciones de mercadeo no tienen valor normativo; los formatos de la agencia son un asunto creativo, no regulatorio.</t>
        </is>
      </c>
      <c r="N252" s="22" t="inlineStr">
        <is>
          <t>Decreto 334 de 2022, arts. 10 y 16</t>
        </is>
      </c>
      <c r="O252" s="22" t="inlineStr">
        <is>
          <t>SI</t>
        </is>
      </c>
      <c r="P252" s="16" t="inlineStr">
        <is>
          <t>Media</t>
        </is>
      </c>
      <c r="Q252" s="16" t="inlineStr">
        <is>
          <t>v2</t>
        </is>
      </c>
      <c r="R252" s="16" t="inlineStr">
        <is>
          <t>Específico</t>
        </is>
      </c>
    </row>
    <row r="253" ht="23.25" customHeight="1" s="12">
      <c r="A253" s="22" t="inlineStr">
        <is>
          <t>F084-3</t>
        </is>
      </c>
      <c r="B253" s="22" t="inlineStr">
        <is>
          <t>invima</t>
        </is>
      </c>
      <c r="C253" s="22" t="inlineStr">
        <is>
          <t>Publicidad de productos</t>
        </is>
      </c>
      <c r="D253" s="22" t="inlineStr">
        <is>
          <t>C084</t>
        </is>
      </c>
      <c r="E253" s="22" t="inlineStr">
        <is>
          <t>Suspensión de una pauta nacional</t>
        </is>
      </c>
      <c r="F253" s="22" t="inlineStr">
        <is>
          <t>Una cervecería difunde a nivel nacional una pauta que omite las advertencias exigidas. En un caso semejante, el Invima inició el proceso sancionatorio y ordenó la suspensión de la publicidad en todo el país, y la acción popular reconoció que cumplió su función de control.</t>
        </is>
      </c>
      <c r="G253" s="22" t="inlineStr">
        <is>
          <t>Si en el control posterior el Invima encuentra incumplimientos, procede</t>
        </is>
      </c>
      <c r="H253" s="22" t="inlineStr">
        <is>
          <t>Solicitar al titular que ajuste la pauta en seis meses</t>
        </is>
      </c>
      <c r="I253" s="22" t="inlineStr">
        <is>
          <t>Aplicar las medidas sanitarias de seguridad del caso</t>
        </is>
      </c>
      <c r="J253" s="22" t="inlineStr">
        <is>
          <t>Archivar la actuación</t>
        </is>
      </c>
      <c r="K253" s="22" t="inlineStr">
        <is>
          <t>B</t>
        </is>
      </c>
      <c r="L253" s="22" t="inlineStr">
        <is>
          <t>La infracción da lugar a medidas sanitarias y al procedimiento sancionatorio, sin plazos de gracia. Decreto 334 de 2022, artículo 27; Ley 9 de 1979, artículos 576 y 577.</t>
        </is>
      </c>
      <c r="M253" s="22" t="inlineStr">
        <is>
          <t>Dar seis meses para ajustar mantiene la infracción vigente; archivar con constancia deja sin efecto el control posterior.</t>
        </is>
      </c>
      <c r="N253" s="22" t="inlineStr">
        <is>
          <t>Decreto 334 de 2022, art. 27; Ley 9 de 1979, arts. 576 y 577</t>
        </is>
      </c>
      <c r="O253" s="22" t="inlineStr">
        <is>
          <t>SI</t>
        </is>
      </c>
      <c r="P253" s="16" t="inlineStr">
        <is>
          <t>Media</t>
        </is>
      </c>
      <c r="Q253" s="16" t="inlineStr">
        <is>
          <t>v2</t>
        </is>
      </c>
      <c r="R253" s="16" t="inlineStr">
        <is>
          <t>Específico</t>
        </is>
      </c>
    </row>
    <row r="254" ht="23.25" customHeight="1" s="12">
      <c r="A254" s="22" t="inlineStr">
        <is>
          <t>F085-1</t>
        </is>
      </c>
      <c r="B254" s="22" t="inlineStr">
        <is>
          <t>invima</t>
        </is>
      </c>
      <c r="C254" s="22" t="inlineStr">
        <is>
          <t>Suplementos dietarios y productos especiales</t>
        </is>
      </c>
      <c r="D254" s="22" t="inlineStr">
        <is>
          <t>C085</t>
        </is>
      </c>
      <c r="E254" s="22" t="inlineStr">
        <is>
          <t>Suplemento vendido en la calle</t>
        </is>
      </c>
      <c r="F254" s="22" t="inlineStr">
        <is>
          <t>Un vendedor ambulante ofrece frente a un gimnasio un suplemento dietario que se promociona en redes con propiedades que no corresponden a su registro. Una noticia de prensa sobre un producto similar bastó para que la entidad abriera actuación administrativa en 2020.</t>
        </is>
      </c>
      <c r="G254" s="22" t="inlineStr">
        <is>
          <t>Los suplementos dietarios requieren, para su fabricación, importación y comercialización,</t>
        </is>
      </c>
      <c r="H254" s="22" t="inlineStr">
        <is>
          <t>Notificación a la cámara de comercio</t>
        </is>
      </c>
      <c r="I254" s="22" t="inlineStr">
        <is>
          <t>Solo el permiso del alcalde</t>
        </is>
      </c>
      <c r="J254" s="22" t="inlineStr">
        <is>
          <t>Registro sanitario expedido por el Invima</t>
        </is>
      </c>
      <c r="K254" s="22" t="inlineStr">
        <is>
          <t>C</t>
        </is>
      </c>
      <c r="L254" s="22" t="inlineStr">
        <is>
          <t>El suplemento dietario requiere registro sanitario expedido por el Invima. Decreto 3249 de 2006, artículos 9 y 11.</t>
        </is>
      </c>
      <c r="M254" s="22" t="inlineStr">
        <is>
          <t>La cámara de comercio registra la actividad mercantil; el permiso del alcalde no habilita productos sujetos a registro sanitario.</t>
        </is>
      </c>
      <c r="N254" s="22" t="inlineStr">
        <is>
          <t>Decreto 3249 de 2006, arts. 9 y 11</t>
        </is>
      </c>
      <c r="O254" s="22" t="inlineStr">
        <is>
          <t>SI</t>
        </is>
      </c>
      <c r="P254" s="16" t="inlineStr">
        <is>
          <t>Basica</t>
        </is>
      </c>
      <c r="Q254" s="16" t="inlineStr">
        <is>
          <t>v2</t>
        </is>
      </c>
      <c r="R254" s="16" t="inlineStr">
        <is>
          <t>Específico</t>
        </is>
      </c>
    </row>
    <row r="255" ht="23.25" customHeight="1" s="12">
      <c r="A255" s="22" t="inlineStr">
        <is>
          <t>F085-2</t>
        </is>
      </c>
      <c r="B255" s="22" t="inlineStr">
        <is>
          <t>invima</t>
        </is>
      </c>
      <c r="C255" s="22" t="inlineStr">
        <is>
          <t>Suplementos dietarios y productos especiales</t>
        </is>
      </c>
      <c r="D255" s="22" t="inlineStr">
        <is>
          <t>C085</t>
        </is>
      </c>
      <c r="E255" s="22" t="inlineStr">
        <is>
          <t>Suplemento vendido en la calle</t>
        </is>
      </c>
      <c r="F255" s="22" t="inlineStr">
        <is>
          <t>Un vendedor ambulante ofrece frente a un gimnasio un suplemento dietario que se promociona en redes con propiedades que no corresponden a su registro. Una noticia de prensa sobre un producto similar bastó para que la entidad abriera actuación administrativa en 2020.</t>
        </is>
      </c>
      <c r="G255" s="22" t="inlineStr">
        <is>
          <t>La venta ambulante de suplementos dietarios</t>
        </is>
      </c>
      <c r="H255" s="22" t="inlineStr">
        <is>
          <t>Está prohibida</t>
        </is>
      </c>
      <c r="I255" s="22" t="inlineStr">
        <is>
          <t>Está permitida en eventos deportivos</t>
        </is>
      </c>
      <c r="J255" s="22" t="inlineStr">
        <is>
          <t>Está permitida si el vendedor tiene factura</t>
        </is>
      </c>
      <c r="K255" s="22" t="inlineStr">
        <is>
          <t>A</t>
        </is>
      </c>
      <c r="L255" s="22" t="inlineStr">
        <is>
          <t>La publicidad de suplementos debe ajustarse a los beneficios de sus ingredientes y contar con aprobación previa. Decreto 3249 de 2006, artículo 24, modificado por el artículo 6 del Decreto 3863 de 2008.</t>
        </is>
      </c>
      <c r="M255" s="22" t="inlineStr">
        <is>
          <t>Permitirla en eventos deportivos abre un canal sin control; la factura acredita la venta, no la legalidad de comercializar así.</t>
        </is>
      </c>
      <c r="N255" s="22" t="inlineStr">
        <is>
          <t>Decreto 3249 de 2006, art. 24 (mod. Decreto 3863 de 2008)</t>
        </is>
      </c>
      <c r="O255" s="22" t="inlineStr">
        <is>
          <t>SI</t>
        </is>
      </c>
      <c r="P255" s="16" t="inlineStr">
        <is>
          <t>Basica</t>
        </is>
      </c>
      <c r="Q255" s="16" t="inlineStr">
        <is>
          <t>v2</t>
        </is>
      </c>
      <c r="R255" s="16" t="inlineStr">
        <is>
          <t>Específico</t>
        </is>
      </c>
    </row>
    <row r="256" ht="23.25" customHeight="1" s="12">
      <c r="A256" s="22" t="inlineStr">
        <is>
          <t>F085-3</t>
        </is>
      </c>
      <c r="B256" s="22" t="inlineStr">
        <is>
          <t>invima</t>
        </is>
      </c>
      <c r="C256" s="22" t="inlineStr">
        <is>
          <t>Suplementos dietarios y productos especiales</t>
        </is>
      </c>
      <c r="D256" s="22" t="inlineStr">
        <is>
          <t>C085</t>
        </is>
      </c>
      <c r="E256" s="22" t="inlineStr">
        <is>
          <t>Suplemento vendido en la calle</t>
        </is>
      </c>
      <c r="F256" s="22" t="inlineStr">
        <is>
          <t>Un vendedor ambulante ofrece frente a un gimnasio un suplemento dietario que se promociona en redes con propiedades que no corresponden a su registro. Una noticia de prensa sobre un producto similar bastó para que la entidad abriera actuación administrativa en 2020.</t>
        </is>
      </c>
      <c r="G256" s="22" t="inlineStr">
        <is>
          <t>Un suplemento dietario es un producto cuyo propósito es</t>
        </is>
      </c>
      <c r="H256" s="22" t="inlineStr">
        <is>
          <t>Adicionar la dieta normal con nutrientes concentrados</t>
        </is>
      </c>
      <c r="I256" s="22" t="inlineStr">
        <is>
          <t>Reemplazar los medicamentos formulados cuando el paciente prefiere una opción natural</t>
        </is>
      </c>
      <c r="J256" s="22" t="inlineStr">
        <is>
          <t>Curar enfermedades leves sin necesidad de acudir a una consulta médica</t>
        </is>
      </c>
      <c r="K256" s="22" t="inlineStr">
        <is>
          <t>A</t>
        </is>
      </c>
      <c r="L256" s="22" t="inlineStr">
        <is>
          <t>El suplemento complementa la dieta normal: no reemplaza medicamentos ni cura enfermedades. Decreto 3249 de 2006, artículos 2 y 21.</t>
        </is>
      </c>
      <c r="M256" s="22" t="inlineStr">
        <is>
          <t>Reemplazar medicamentos formulados y curar enfermedades son promesas terapéuticas que la norma excluye de estos productos.</t>
        </is>
      </c>
      <c r="N256" s="22" t="inlineStr">
        <is>
          <t>Decreto 3249 de 2006, arts. 2 y 21</t>
        </is>
      </c>
      <c r="O256" s="22" t="inlineStr">
        <is>
          <t>SI</t>
        </is>
      </c>
      <c r="P256" s="16" t="inlineStr">
        <is>
          <t>Basica</t>
        </is>
      </c>
      <c r="Q256" s="16" t="inlineStr">
        <is>
          <t>v2</t>
        </is>
      </c>
      <c r="R256" s="16" t="inlineStr">
        <is>
          <t>Específico</t>
        </is>
      </c>
    </row>
    <row r="257" ht="23.25" customHeight="1" s="12">
      <c r="A257" s="22" t="inlineStr">
        <is>
          <t>F086-1</t>
        </is>
      </c>
      <c r="B257" s="22" t="inlineStr">
        <is>
          <t>invima</t>
        </is>
      </c>
      <c r="C257" s="22" t="inlineStr">
        <is>
          <t>Dispositivos médicos y tecnovigilancia</t>
        </is>
      </c>
      <c r="D257" s="22" t="inlineStr">
        <is>
          <t>C086</t>
        </is>
      </c>
      <c r="E257" s="22" t="inlineStr">
        <is>
          <t>Registro de dispositivos y usos no aprobados</t>
        </is>
      </c>
      <c r="F257" s="22" t="inlineStr">
        <is>
          <t>Una IPS pregunta por un dispositivo y, de paso, por un medicamento que el médico formuló para un uso distinto al aprobado en su registro. La Corte ha aceptado ese suministro por tutela cuando la comunidad científica respalda la indicación.</t>
        </is>
      </c>
      <c r="G257" s="22" t="inlineStr">
        <is>
          <t>Los dispositivos de clases I y IIa que no son de tecnología controlada requieren</t>
        </is>
      </c>
      <c r="H257" s="22" t="inlineStr">
        <is>
          <t>Registro sanitario automático</t>
        </is>
      </c>
      <c r="I257" s="22" t="inlineStr">
        <is>
          <t>Registro con evaluación previa</t>
        </is>
      </c>
      <c r="J257" s="22" t="inlineStr">
        <is>
          <t>Permiso de comercialización</t>
        </is>
      </c>
      <c r="K257" s="22" t="inlineStr">
        <is>
          <t>A</t>
        </is>
      </c>
      <c r="L257" s="22" t="inlineStr">
        <is>
          <t>Las clases I y IIa que no son de tecnología controlada obtienen registro sanitario automático. Decreto 4725 de 2005, artículo 17.</t>
        </is>
      </c>
      <c r="M257" s="22" t="inlineStr">
        <is>
          <t>El registro con evaluación previa corresponde a clases IIb y III; el permiso de comercialización aplica a otros productos, no a estos dispositivos.</t>
        </is>
      </c>
      <c r="N257" s="22" t="inlineStr">
        <is>
          <t>Decreto 4725 de 2005, art. 17</t>
        </is>
      </c>
      <c r="O257" s="22" t="inlineStr">
        <is>
          <t>SI</t>
        </is>
      </c>
      <c r="P257" s="16" t="inlineStr">
        <is>
          <t>Basica</t>
        </is>
      </c>
      <c r="Q257" s="16" t="inlineStr">
        <is>
          <t>v2</t>
        </is>
      </c>
      <c r="R257" s="16" t="inlineStr">
        <is>
          <t>Específico</t>
        </is>
      </c>
    </row>
    <row r="258" ht="23.25" customHeight="1" s="12">
      <c r="A258" s="22" t="inlineStr">
        <is>
          <t>F086-2</t>
        </is>
      </c>
      <c r="B258" s="22" t="inlineStr">
        <is>
          <t>invima</t>
        </is>
      </c>
      <c r="C258" s="22" t="inlineStr">
        <is>
          <t>Dispositivos médicos y tecnovigilancia</t>
        </is>
      </c>
      <c r="D258" s="22" t="inlineStr">
        <is>
          <t>C086</t>
        </is>
      </c>
      <c r="E258" s="22" t="inlineStr">
        <is>
          <t>Registro de dispositivos y usos no aprobados</t>
        </is>
      </c>
      <c r="F258" s="22" t="inlineStr">
        <is>
          <t>Una IPS pregunta por un dispositivo y, de paso, por un medicamento que el médico formuló para un uso distinto al aprobado en su registro. La Corte ha aceptado ese suministro por tutela cuando la comunidad científica respalda la indicación.</t>
        </is>
      </c>
      <c r="G258" s="22" t="inlineStr">
        <is>
          <t>Los registros sanitarios y permisos de comercialización de dispositivos médicos tienen una vigencia de</t>
        </is>
      </c>
      <c r="H258" s="22" t="inlineStr">
        <is>
          <t>Cinco (5) años</t>
        </is>
      </c>
      <c r="I258" s="22" t="inlineStr">
        <is>
          <t>Un (1) año</t>
        </is>
      </c>
      <c r="J258" s="22" t="inlineStr">
        <is>
          <t>Diez (10) años</t>
        </is>
      </c>
      <c r="K258" s="22" t="inlineStr">
        <is>
          <t>C</t>
        </is>
      </c>
      <c r="L258" s="22" t="inlineStr">
        <is>
          <t>Diez (10) años de vigencia para los registros sanitarios y permisos de comercialización de dispositivos médicos. Decreto 4725 de 2005, artículo 31.</t>
        </is>
      </c>
      <c r="M258" s="22" t="inlineStr">
        <is>
          <t>Cinco años corresponde a alimentos; un año no aplica a ningún registro de dispositivos.</t>
        </is>
      </c>
      <c r="N258" s="22" t="inlineStr">
        <is>
          <t>Decreto 4725 de 2005, art. 31</t>
        </is>
      </c>
      <c r="O258" s="22" t="inlineStr">
        <is>
          <t>SI</t>
        </is>
      </c>
      <c r="P258" s="16" t="inlineStr">
        <is>
          <t>Basica</t>
        </is>
      </c>
      <c r="Q258" s="16" t="inlineStr">
        <is>
          <t>v2</t>
        </is>
      </c>
      <c r="R258" s="16" t="inlineStr">
        <is>
          <t>Específico</t>
        </is>
      </c>
    </row>
    <row r="259" ht="23.25" customHeight="1" s="12">
      <c r="A259" s="22" t="inlineStr">
        <is>
          <t>F086-3</t>
        </is>
      </c>
      <c r="B259" s="22" t="inlineStr">
        <is>
          <t>invima</t>
        </is>
      </c>
      <c r="C259" s="22" t="inlineStr">
        <is>
          <t>Dispositivos médicos y tecnovigilancia</t>
        </is>
      </c>
      <c r="D259" s="22" t="inlineStr">
        <is>
          <t>C086</t>
        </is>
      </c>
      <c r="E259" s="22" t="inlineStr">
        <is>
          <t>Registro de dispositivos y usos no aprobados</t>
        </is>
      </c>
      <c r="F259" s="22" t="inlineStr">
        <is>
          <t>Una IPS pregunta por un dispositivo y, de paso, por un medicamento que el médico formuló para un uso distinto al aprobado en su registro. La Corte ha aceptado ese suministro por tutela cuando la comunidad científica respalda la indicación.</t>
        </is>
      </c>
      <c r="G259" s="22" t="inlineStr">
        <is>
          <t>Un dispositivo destinado a proteger o mantener la vida, de muy alto riesgo, pertenece a la clase</t>
        </is>
      </c>
      <c r="H259" s="22" t="inlineStr">
        <is>
          <t>IIa</t>
        </is>
      </c>
      <c r="I259" s="22" t="inlineStr">
        <is>
          <t>III</t>
        </is>
      </c>
      <c r="J259" s="22" t="inlineStr">
        <is>
          <t>I</t>
        </is>
      </c>
      <c r="K259" s="22" t="inlineStr">
        <is>
          <t>B</t>
        </is>
      </c>
      <c r="L259" s="22" t="inlineStr">
        <is>
          <t>El dispositivo destinado a proteger o mantener la vida, con muy alto riesgo, es de clase III. Decreto 4725 de 2005, artículo 7.</t>
        </is>
      </c>
      <c r="M259" s="22" t="inlineStr">
        <is>
          <t>La clase IIa agrupa riesgo moderado; la clase I, riesgo bajo, muy lejos de un dispositivo que sostiene la vida.</t>
        </is>
      </c>
      <c r="N259" s="22" t="inlineStr">
        <is>
          <t>Decreto 4725 de 2005, art. 7</t>
        </is>
      </c>
      <c r="O259" s="22" t="inlineStr">
        <is>
          <t>SI</t>
        </is>
      </c>
      <c r="P259" s="16" t="inlineStr">
        <is>
          <t>Basica</t>
        </is>
      </c>
      <c r="Q259" s="16" t="inlineStr">
        <is>
          <t>v2</t>
        </is>
      </c>
      <c r="R259" s="16" t="inlineStr">
        <is>
          <t>Específico</t>
        </is>
      </c>
    </row>
    <row r="260" ht="23.25" customHeight="1" s="12">
      <c r="A260" s="22" t="inlineStr">
        <is>
          <t>F087-1</t>
        </is>
      </c>
      <c r="B260" s="22" t="inlineStr">
        <is>
          <t>invima</t>
        </is>
      </c>
      <c r="C260" s="22" t="inlineStr">
        <is>
          <t>Dispositivos médicos y tecnovigilancia</t>
        </is>
      </c>
      <c r="D260" s="22" t="inlineStr">
        <is>
          <t>C087</t>
        </is>
      </c>
      <c r="E260" s="22" t="inlineStr">
        <is>
          <t>Falla de un marcapasos implantado</t>
        </is>
      </c>
      <c r="F260" s="22" t="inlineStr">
        <is>
          <t>Una clínica reporta que un marcapasos implantado presentó una falla que obligó a reintervenir al paciente, y pregunta si los incidentes menores del mismo lote también deben reportarse y con qué periodicidad.</t>
        </is>
      </c>
      <c r="G260" s="22" t="inlineStr">
        <is>
          <t>El Programa Nacional de Tecnovigilancia está reglamentado por</t>
        </is>
      </c>
      <c r="H260" s="22" t="inlineStr">
        <is>
          <t>La Resolución 4816 de 2008</t>
        </is>
      </c>
      <c r="I260" s="22" t="inlineStr">
        <is>
          <t>La Resolución 2674 de 2013</t>
        </is>
      </c>
      <c r="J260" s="22" t="inlineStr">
        <is>
          <t>La Resolución 1478 de 2006</t>
        </is>
      </c>
      <c r="K260" s="22" t="inlineStr">
        <is>
          <t>A</t>
        </is>
      </c>
      <c r="L260" s="22" t="inlineStr">
        <is>
          <t>El Programa Nacional de Tecnovigilancia está reglamentado por la Resolución 4816 de 2008, expedida con fundamento en el artículo 61 del Decreto 4725 de 2005.</t>
        </is>
      </c>
      <c r="M260" s="22" t="inlineStr">
        <is>
          <t>La Resolución 2674 de 2013 regula alimentos; la Resolución 1478 de 2006, medicamentos de control especial.</t>
        </is>
      </c>
      <c r="N260" s="22" t="inlineStr">
        <is>
          <t>Resolución 4816 de 2008, art. 1; Decreto 4725 de 2005, art. 61</t>
        </is>
      </c>
      <c r="O260" s="22" t="inlineStr">
        <is>
          <t>SI</t>
        </is>
      </c>
      <c r="P260" s="16" t="inlineStr">
        <is>
          <t>Basica</t>
        </is>
      </c>
      <c r="Q260" s="16" t="inlineStr">
        <is>
          <t>v2</t>
        </is>
      </c>
      <c r="R260" s="16" t="inlineStr">
        <is>
          <t>Específico</t>
        </is>
      </c>
    </row>
    <row r="261" ht="23.25" customHeight="1" s="12">
      <c r="A261" s="22" t="inlineStr">
        <is>
          <t>F087-2</t>
        </is>
      </c>
      <c r="B261" s="22" t="inlineStr">
        <is>
          <t>invima</t>
        </is>
      </c>
      <c r="C261" s="22" t="inlineStr">
        <is>
          <t>Dispositivos médicos y tecnovigilancia</t>
        </is>
      </c>
      <c r="D261" s="22" t="inlineStr">
        <is>
          <t>C087</t>
        </is>
      </c>
      <c r="E261" s="22" t="inlineStr">
        <is>
          <t>Falla de un marcapasos implantado</t>
        </is>
      </c>
      <c r="F261" s="22" t="inlineStr">
        <is>
          <t>Una clínica reporta que un marcapasos implantado presentó una falla que obligó a reintervenir al paciente, y pregunta si los incidentes menores del mismo lote también deben reportarse y con qué periodicidad.</t>
        </is>
      </c>
      <c r="G261" s="22" t="inlineStr">
        <is>
          <t>Los eventos o incidentes adversos serios se reportan</t>
        </is>
      </c>
      <c r="H261" s="22" t="inlineStr">
        <is>
          <t>De forma inmediata</t>
        </is>
      </c>
      <c r="I261" s="22" t="inlineStr">
        <is>
          <t>En el informe trimestral</t>
        </is>
      </c>
      <c r="J261" s="22" t="inlineStr">
        <is>
          <t>En el informe anual</t>
        </is>
      </c>
      <c r="K261" s="22" t="inlineStr">
        <is>
          <t>A</t>
        </is>
      </c>
      <c r="L261" s="22" t="inlineStr">
        <is>
          <t>El evento o incidente adverso serio se reporta dentro de las setenta y dos (72) horas siguientes a su ocurrencia. Resolución 4816 de 2008, artículo 15.</t>
        </is>
      </c>
      <c r="M261" s="22" t="inlineStr">
        <is>
          <t>El informe trimestral corresponde a los eventos no serios (artículo 16) y el semestral es el consolidado que el Invima envía al Ministerio (artículo 18): ninguno aplica al evento serio.</t>
        </is>
      </c>
      <c r="N261" s="22" t="inlineStr">
        <is>
          <t>Resolución 4816 de 2008, art. 15</t>
        </is>
      </c>
      <c r="O261" s="22" t="inlineStr">
        <is>
          <t>SI</t>
        </is>
      </c>
      <c r="P261" s="16" t="inlineStr">
        <is>
          <t>Basica</t>
        </is>
      </c>
      <c r="Q261" s="16" t="inlineStr">
        <is>
          <t>v2</t>
        </is>
      </c>
      <c r="R261" s="16" t="inlineStr">
        <is>
          <t>Específico</t>
        </is>
      </c>
    </row>
    <row r="262" ht="23.25" customHeight="1" s="12">
      <c r="A262" s="22" t="inlineStr">
        <is>
          <t>F087-3</t>
        </is>
      </c>
      <c r="B262" s="22" t="inlineStr">
        <is>
          <t>invima</t>
        </is>
      </c>
      <c r="C262" s="22" t="inlineStr">
        <is>
          <t>Dispositivos médicos y tecnovigilancia</t>
        </is>
      </c>
      <c r="D262" s="22" t="inlineStr">
        <is>
          <t>C087</t>
        </is>
      </c>
      <c r="E262" s="22" t="inlineStr">
        <is>
          <t>Falla de un marcapasos implantado</t>
        </is>
      </c>
      <c r="F262" s="22" t="inlineStr">
        <is>
          <t>Una clínica reporta que un marcapasos implantado presentó una falla que obligó a reintervenir al paciente, y pregunta si los incidentes menores del mismo lote también deben reportarse y con qué periodicidad.</t>
        </is>
      </c>
      <c r="G262" s="22" t="inlineStr">
        <is>
          <t>Los eventos e incidentes no serios se consolidan en reportes</t>
        </is>
      </c>
      <c r="H262" s="22" t="inlineStr">
        <is>
          <t>Trimestrales</t>
        </is>
      </c>
      <c r="I262" s="22" t="inlineStr">
        <is>
          <t>Diarios</t>
        </is>
      </c>
      <c r="J262" s="22" t="inlineStr">
        <is>
          <t>Quinquenales</t>
        </is>
      </c>
      <c r="K262" s="22" t="inlineStr">
        <is>
          <t>A</t>
        </is>
      </c>
      <c r="L262" s="22" t="inlineStr">
        <is>
          <t>Los eventos e incidentes no serios se consolidan en reportes trimestrales. Resolución 4816 de 2008, artículo 16.</t>
        </is>
      </c>
      <c r="M262" s="22" t="inlineStr">
        <is>
          <t>Reportes diarios saturan el sistema sin necesidad; los quinquenales harían inútil la vigilancia de lo no serio.</t>
        </is>
      </c>
      <c r="N262" s="22" t="inlineStr">
        <is>
          <t>Resolución 4816 de 2008, art. 16</t>
        </is>
      </c>
      <c r="O262" s="22" t="inlineStr">
        <is>
          <t>SI</t>
        </is>
      </c>
      <c r="P262" s="16" t="inlineStr">
        <is>
          <t>Basica</t>
        </is>
      </c>
      <c r="Q262" s="16" t="inlineStr">
        <is>
          <t>v2</t>
        </is>
      </c>
      <c r="R262" s="16" t="inlineStr">
        <is>
          <t>Específico</t>
        </is>
      </c>
    </row>
    <row r="263" ht="34.5" customHeight="1" s="12">
      <c r="A263" s="22" t="inlineStr">
        <is>
          <t>F088-1</t>
        </is>
      </c>
      <c r="B263" s="22" t="inlineStr">
        <is>
          <t>invima</t>
        </is>
      </c>
      <c r="C263" s="22" t="inlineStr">
        <is>
          <t>Vigilancia poscomercialización y alertas</t>
        </is>
      </c>
      <c r="D263" s="22" t="inlineStr">
        <is>
          <t>C088</t>
        </is>
      </c>
      <c r="E263" s="22" t="inlineStr">
        <is>
          <t>Tres pacientes hospitalizados</t>
        </is>
      </c>
      <c r="F263" s="22" t="inlineStr">
        <is>
          <t>Tras aplicar un inyectable, tres pacientes de dos hospitales presentan reacciones que obligan a hospitalizarlos. Los reportes llegan en la misma semana y todos corresponden al mismo lote.</t>
        </is>
      </c>
      <c r="G263" s="22" t="inlineStr">
        <is>
          <t>Un evento adverso se considera serio cuando, entre otros,</t>
        </is>
      </c>
      <c r="H263" s="22" t="inlineStr">
        <is>
          <t>Cuando el paciente reporta molestias leves y pasajeras</t>
        </is>
      </c>
      <c r="I263" s="22" t="inlineStr">
        <is>
          <t>Cuando el tratamiento resulta costoso para la institución</t>
        </is>
      </c>
      <c r="J263" s="22" t="inlineStr">
        <is>
          <t>Cuando causa muerte, amenaza la vida o exige hospitalización</t>
        </is>
      </c>
      <c r="K263" s="22" t="inlineStr">
        <is>
          <t>C</t>
        </is>
      </c>
      <c r="L263" s="22" t="inlineStr">
        <is>
          <t>Esos desenlaces caracterizan la seriedad en farmacovigilancia.</t>
        </is>
      </c>
      <c r="M263" s="22" t="inlineStr">
        <is>
          <t>Las molestias leves no configuran seriedad; el costo del tratamiento es un criterio económico, ajeno a la definición clínica.</t>
        </is>
      </c>
      <c r="N263" s="22" t="inlineStr">
        <is>
          <t>Programa Nacional de Farmacovigilancia; Resolución 2004009455 de 2004</t>
        </is>
      </c>
      <c r="O263" s="22" t="inlineStr">
        <is>
          <t>SI</t>
        </is>
      </c>
      <c r="P263" s="16" t="inlineStr">
        <is>
          <t>Media</t>
        </is>
      </c>
      <c r="Q263" s="16" t="inlineStr">
        <is>
          <t>v2</t>
        </is>
      </c>
      <c r="R263" s="16" t="inlineStr">
        <is>
          <t>Específico</t>
        </is>
      </c>
    </row>
    <row r="264" ht="34.5" customHeight="1" s="12">
      <c r="A264" s="22" t="inlineStr">
        <is>
          <t>F088-2</t>
        </is>
      </c>
      <c r="B264" s="22" t="inlineStr">
        <is>
          <t>invima</t>
        </is>
      </c>
      <c r="C264" s="22" t="inlineStr">
        <is>
          <t>Vigilancia poscomercialización y alertas</t>
        </is>
      </c>
      <c r="D264" s="22" t="inlineStr">
        <is>
          <t>C088</t>
        </is>
      </c>
      <c r="E264" s="22" t="inlineStr">
        <is>
          <t>Tres pacientes hospitalizados</t>
        </is>
      </c>
      <c r="F264" s="22" t="inlineStr">
        <is>
          <t>Tras aplicar un inyectable, tres pacientes de dos hospitales presentan reacciones que obligan a hospitalizarlos. Los reportes llegan en la misma semana y todos corresponden al mismo lote.</t>
        </is>
      </c>
      <c r="G264" s="22" t="inlineStr">
        <is>
          <t>El objetivo de la farmacovigilancia es</t>
        </is>
      </c>
      <c r="H264" s="22" t="inlineStr">
        <is>
          <t>Vigilar el precio de los medicamentos que circulan en el país</t>
        </is>
      </c>
      <c r="I264" s="22" t="inlineStr">
        <is>
          <t>Detectar, evaluar y prevenir los efectos adversos de esos productos</t>
        </is>
      </c>
      <c r="J264" s="22" t="inlineStr">
        <is>
          <t>Verificar las ventas y los precios de los medicamentos de mayor consumo</t>
        </is>
      </c>
      <c r="K264" s="22" t="inlineStr">
        <is>
          <t>B</t>
        </is>
      </c>
      <c r="L264" s="22" t="inlineStr">
        <is>
          <t>Esa es la definición aceptada de farmacovigilancia.</t>
        </is>
      </c>
      <c r="M264" s="22" t="inlineStr">
        <is>
          <t>Vigilar precios corresponde a la política farmacéutica; verificar ventas es un dato de mercado, no un objetivo de seguridad.</t>
        </is>
      </c>
      <c r="N264" s="22" t="inlineStr">
        <is>
          <t>Programa Nacional de Farmacovigilancia; Resolución 2004009455 de 2004</t>
        </is>
      </c>
      <c r="O264" s="22" t="inlineStr">
        <is>
          <t>SI</t>
        </is>
      </c>
      <c r="P264" s="16" t="inlineStr">
        <is>
          <t>Media</t>
        </is>
      </c>
      <c r="Q264" s="16" t="inlineStr">
        <is>
          <t>v2</t>
        </is>
      </c>
      <c r="R264" s="16" t="inlineStr">
        <is>
          <t>Específico</t>
        </is>
      </c>
    </row>
    <row r="265" ht="34.5" customHeight="1" s="12">
      <c r="A265" s="22" t="inlineStr">
        <is>
          <t>F088-3</t>
        </is>
      </c>
      <c r="B265" s="22" t="inlineStr">
        <is>
          <t>invima</t>
        </is>
      </c>
      <c r="C265" s="22" t="inlineStr">
        <is>
          <t>Vigilancia poscomercialización y alertas</t>
        </is>
      </c>
      <c r="D265" s="22" t="inlineStr">
        <is>
          <t>C088</t>
        </is>
      </c>
      <c r="E265" s="22" t="inlineStr">
        <is>
          <t>Tres pacientes hospitalizados</t>
        </is>
      </c>
      <c r="F265" s="22" t="inlineStr">
        <is>
          <t>Tras aplicar un inyectable, tres pacientes de dos hospitales presentan reacciones que obligan a hospitalizarlos. Los reportes llegan en la misma semana y todos corresponden al mismo lote.</t>
        </is>
      </c>
      <c r="G265" s="22" t="inlineStr">
        <is>
          <t>Para evaluar la relación entre el medicamento y la reacción se realiza</t>
        </is>
      </c>
      <c r="H265" s="22" t="inlineStr">
        <is>
          <t>Un análisis de causalidad</t>
        </is>
      </c>
      <c r="I265" s="22" t="inlineStr">
        <is>
          <t>Una encuesta de satisfacción</t>
        </is>
      </c>
      <c r="J265" s="22" t="inlineStr">
        <is>
          <t>Una auditoría financiera</t>
        </is>
      </c>
      <c r="K265" s="22" t="inlineStr">
        <is>
          <t>A</t>
        </is>
      </c>
      <c r="L265" s="22" t="inlineStr">
        <is>
          <t>La causalidad establece la probabilidad de relación entre fármaco y evento.</t>
        </is>
      </c>
      <c r="M265" s="22" t="inlineStr">
        <is>
          <t>Una encuesta de satisfacción mide percepción; una auditoría financiera revisa recursos, y ninguna establece relación causa-efecto.</t>
        </is>
      </c>
      <c r="N265" s="22" t="inlineStr">
        <is>
          <t>Programa Nacional de Farmacovigilancia; Resolución 2004009455 de 2004</t>
        </is>
      </c>
      <c r="O265" s="22" t="inlineStr">
        <is>
          <t>SI</t>
        </is>
      </c>
      <c r="P265" s="16" t="inlineStr">
        <is>
          <t>Media</t>
        </is>
      </c>
      <c r="Q265" s="16" t="inlineStr">
        <is>
          <t>v2</t>
        </is>
      </c>
      <c r="R265" s="16" t="inlineStr">
        <is>
          <t>Específico</t>
        </is>
      </c>
    </row>
    <row r="266" ht="23.25" customHeight="1" s="12">
      <c r="A266" s="22" t="inlineStr">
        <is>
          <t>F089-1</t>
        </is>
      </c>
      <c r="B266" s="22" t="inlineStr">
        <is>
          <t>invima</t>
        </is>
      </c>
      <c r="C266" s="22" t="inlineStr">
        <is>
          <t>Alimentos: buenas prácticas y requisitos sanitarios</t>
        </is>
      </c>
      <c r="D266" s="22" t="inlineStr">
        <is>
          <t>C089</t>
        </is>
      </c>
      <c r="E266" s="22" t="inlineStr">
        <is>
          <t>Tres productos, tres trámites</t>
        </is>
      </c>
      <c r="F266" s="22" t="inlineStr">
        <is>
          <t>Una empresa familiar quiere vender arequipe, jugos pasteurizados y frutas enteras sin procesar. Pregunta qué autorización necesita para cada uno y cuánto le dura, porque planea exportar en dos años.</t>
        </is>
      </c>
      <c r="G266" s="22" t="inlineStr">
        <is>
          <t>La vigencia del registro sanitario (RSA) y del permiso sanitario (PSA) de alimentos es de</t>
        </is>
      </c>
      <c r="H266" s="22" t="inlineStr">
        <is>
          <t>Cinco (5) años ambos</t>
        </is>
      </c>
      <c r="I266" s="22" t="inlineStr">
        <is>
          <t>Cinco (5) años el registro y siete (7) el permiso</t>
        </is>
      </c>
      <c r="J266" s="22" t="inlineStr">
        <is>
          <t>Diez (10) años ambos</t>
        </is>
      </c>
      <c r="K266" s="22" t="inlineStr">
        <is>
          <t>B</t>
        </is>
      </c>
      <c r="L266" s="22" t="inlineStr">
        <is>
          <t>Cinco (5) años el registro sanitario (RSA) y siete (7) años el permiso sanitario (PSA); la renovación se pide tres meses antes del vencimiento. Resolución 2674 de 2013, artículo 39.</t>
        </is>
      </c>
      <c r="M266" s="22" t="inlineStr">
        <is>
          <t>Decir que ambos duran cinco años desconoce que el permiso sanitario dura siete; diez años corresponde a la notificación sanitaria, no al registro ni al permiso.</t>
        </is>
      </c>
      <c r="N266" s="22" t="inlineStr">
        <is>
          <t>Resolución 2674 de 2013, art. 39</t>
        </is>
      </c>
      <c r="O266" s="22" t="inlineStr">
        <is>
          <t>SI</t>
        </is>
      </c>
      <c r="P266" s="16" t="inlineStr">
        <is>
          <t>Basica</t>
        </is>
      </c>
      <c r="Q266" s="16" t="inlineStr">
        <is>
          <t>v2</t>
        </is>
      </c>
      <c r="R266" s="16" t="inlineStr">
        <is>
          <t>Específico</t>
        </is>
      </c>
    </row>
    <row r="267" ht="23.25" customHeight="1" s="12">
      <c r="A267" s="22" t="inlineStr">
        <is>
          <t>F089-2</t>
        </is>
      </c>
      <c r="B267" s="22" t="inlineStr">
        <is>
          <t>invima</t>
        </is>
      </c>
      <c r="C267" s="22" t="inlineStr">
        <is>
          <t>Alimentos: buenas prácticas y requisitos sanitarios</t>
        </is>
      </c>
      <c r="D267" s="22" t="inlineStr">
        <is>
          <t>C089</t>
        </is>
      </c>
      <c r="E267" s="22" t="inlineStr">
        <is>
          <t>Tres productos, tres trámites</t>
        </is>
      </c>
      <c r="F267" s="22" t="inlineStr">
        <is>
          <t>Una empresa familiar quiere vender arequipe, jugos pasteurizados y frutas enteras sin procesar. Pregunta qué autorización necesita para cada uno y cuánto le dura, porque planea exportar en dos años.</t>
        </is>
      </c>
      <c r="G267" s="22" t="inlineStr">
        <is>
          <t>La notificación sanitaria (NSA) tiene una vigencia de</t>
        </is>
      </c>
      <c r="H267" s="22" t="inlineStr">
        <is>
          <t>Diez (10) años</t>
        </is>
      </c>
      <c r="I267" s="22" t="inlineStr">
        <is>
          <t>Dos (2) años</t>
        </is>
      </c>
      <c r="J267" s="22" t="inlineStr">
        <is>
          <t>Cinco (5) años</t>
        </is>
      </c>
      <c r="K267" s="22" t="inlineStr">
        <is>
          <t>A</t>
        </is>
      </c>
      <c r="L267" s="22" t="inlineStr">
        <is>
          <t>Diez (10) años de vigencia para la notificación sanitaria (NSA), renovable por períodos iguales. Resolución 2674 de 2013, artículo 41.</t>
        </is>
      </c>
      <c r="M267" s="22" t="inlineStr">
        <is>
          <t>Dos años no corresponde a ningún trámite de alimentos; cinco años es la vigencia del registro y del permiso.</t>
        </is>
      </c>
      <c r="N267" s="22" t="inlineStr">
        <is>
          <t>Resolución 2674 de 2013, art. 41</t>
        </is>
      </c>
      <c r="O267" s="22" t="inlineStr">
        <is>
          <t>SI</t>
        </is>
      </c>
      <c r="P267" s="16" t="inlineStr">
        <is>
          <t>Basica</t>
        </is>
      </c>
      <c r="Q267" s="16" t="inlineStr">
        <is>
          <t>v2</t>
        </is>
      </c>
      <c r="R267" s="16" t="inlineStr">
        <is>
          <t>Específico</t>
        </is>
      </c>
    </row>
    <row r="268" ht="23.25" customHeight="1" s="12">
      <c r="A268" s="22" t="inlineStr">
        <is>
          <t>F089-3</t>
        </is>
      </c>
      <c r="B268" s="22" t="inlineStr">
        <is>
          <t>invima</t>
        </is>
      </c>
      <c r="C268" s="22" t="inlineStr">
        <is>
          <t>Alimentos: buenas prácticas y requisitos sanitarios</t>
        </is>
      </c>
      <c r="D268" s="22" t="inlineStr">
        <is>
          <t>C089</t>
        </is>
      </c>
      <c r="E268" s="22" t="inlineStr">
        <is>
          <t>Tres productos, tres trámites</t>
        </is>
      </c>
      <c r="F268" s="22" t="inlineStr">
        <is>
          <t>Una empresa familiar quiere vender arequipe, jugos pasteurizados y frutas enteras sin procesar. Pregunta qué autorización necesita para cada uno y cuánto le dura, porque planea exportar en dos años.</t>
        </is>
      </c>
      <c r="G268" s="22" t="inlineStr">
        <is>
          <t>Frutas y hortalizas frescas que no se someten a transformación</t>
        </is>
      </c>
      <c r="H268" s="22" t="inlineStr">
        <is>
          <t>No requieren NSA, PSA ni RSA</t>
        </is>
      </c>
      <c r="I268" s="22" t="inlineStr">
        <is>
          <t>Requieren permiso sanitario</t>
        </is>
      </c>
      <c r="J268" s="22" t="inlineStr">
        <is>
          <t>Requieren registro sanitario</t>
        </is>
      </c>
      <c r="K268" s="22" t="inlineStr">
        <is>
          <t>A</t>
        </is>
      </c>
      <c r="L268" s="22" t="inlineStr">
        <is>
          <t>Los alimentos naturales sin transformación no requieren NSA, PSA ni RSA. Resolución 2674 de 2013, artículo 37 (modificado por la Resolución 3168 de 2015).</t>
        </is>
      </c>
      <c r="M268" s="22" t="inlineStr">
        <is>
          <t>Exigir permiso o registro a un alimento sin transformación impone un trámite que la norma excluye expresamente.</t>
        </is>
      </c>
      <c r="N268" s="22" t="inlineStr">
        <is>
          <t>Resolución 2674 de 2013, art. 37; Resolución 3168 de 2015, art. 1</t>
        </is>
      </c>
      <c r="O268" s="22" t="inlineStr">
        <is>
          <t>SI</t>
        </is>
      </c>
      <c r="P268" s="16" t="inlineStr">
        <is>
          <t>Basica</t>
        </is>
      </c>
      <c r="Q268" s="16" t="inlineStr">
        <is>
          <t>v2</t>
        </is>
      </c>
      <c r="R268" s="16" t="inlineStr">
        <is>
          <t>Específico</t>
        </is>
      </c>
    </row>
    <row r="269" ht="23.25" customHeight="1" s="12">
      <c r="A269" s="22" t="inlineStr">
        <is>
          <t>F090-1</t>
        </is>
      </c>
      <c r="B269" s="22" t="inlineStr">
        <is>
          <t>invima</t>
        </is>
      </c>
      <c r="C269" s="22" t="inlineStr">
        <is>
          <t>Alimentos: buenas prácticas y requisitos sanitarios</t>
        </is>
      </c>
      <c r="D269" s="22" t="inlineStr">
        <is>
          <t>C090</t>
        </is>
      </c>
      <c r="E269" s="22" t="inlineStr">
        <is>
          <t>Manipuladores en una planta de arepas</t>
        </is>
      </c>
      <c r="F269" s="22" t="inlineStr">
        <is>
          <t>En una planta de arepas, un operario con una herida infectada en la mano trabaja sin guantes, otro usa reloj y anillos, y el último reconocimiento médico del personal es de hace dos años.</t>
        </is>
      </c>
      <c r="G269" s="22" t="inlineStr">
        <is>
          <t>El reconocimiento médico del personal manipulador debe hacerse, como mínimo,</t>
        </is>
      </c>
      <c r="H269" s="22" t="inlineStr">
        <is>
          <t>Solo al momento de contratarlo</t>
        </is>
      </c>
      <c r="I269" s="22" t="inlineStr">
        <is>
          <t>Cada cinco años</t>
        </is>
      </c>
      <c r="J269" s="22" t="inlineStr">
        <is>
          <t>Una vez al año</t>
        </is>
      </c>
      <c r="K269" s="22" t="inlineStr">
        <is>
          <t>C</t>
        </is>
      </c>
      <c r="L269" s="22" t="inlineStr">
        <is>
          <t>Reconocimiento médico al personal manipulador por lo menos una (1) vez al año, y cada vez que sea clínicamente necesario. Resolución 2674 de 2013, artículo 11, numeral 1.</t>
        </is>
      </c>
      <c r="M269" s="22" t="inlineStr">
        <is>
          <t>Hacerlo solo al ingresar deja años sin control; cada cinco años supera con creces la periodicidad exigida.</t>
        </is>
      </c>
      <c r="N269" s="22" t="inlineStr">
        <is>
          <t>Resolución 2674 de 2013, art. 11, num. 1</t>
        </is>
      </c>
      <c r="O269" s="22" t="inlineStr">
        <is>
          <t>SI</t>
        </is>
      </c>
      <c r="P269" s="16" t="inlineStr">
        <is>
          <t>Basica</t>
        </is>
      </c>
      <c r="Q269" s="16" t="inlineStr">
        <is>
          <t>v2</t>
        </is>
      </c>
      <c r="R269" s="16" t="inlineStr">
        <is>
          <t>Específico</t>
        </is>
      </c>
    </row>
    <row r="270" ht="23.25" customHeight="1" s="12">
      <c r="A270" s="22" t="inlineStr">
        <is>
          <t>F090-2</t>
        </is>
      </c>
      <c r="B270" s="22" t="inlineStr">
        <is>
          <t>invima</t>
        </is>
      </c>
      <c r="C270" s="22" t="inlineStr">
        <is>
          <t>Alimentos: buenas prácticas y requisitos sanitarios</t>
        </is>
      </c>
      <c r="D270" s="22" t="inlineStr">
        <is>
          <t>C090</t>
        </is>
      </c>
      <c r="E270" s="22" t="inlineStr">
        <is>
          <t>Manipuladores en una planta de arepas</t>
        </is>
      </c>
      <c r="F270" s="22" t="inlineStr">
        <is>
          <t>En una planta de arepas, un operario con una herida infectada en la mano trabaja sin guantes, otro usa reloj y anillos, y el último reconocimiento médico del personal es de hace dos años.</t>
        </is>
      </c>
      <c r="G270" s="22" t="inlineStr">
        <is>
          <t>Sobre las uñas del manipulador, la norma exige que estén</t>
        </is>
      </c>
      <c r="H270" s="22" t="inlineStr">
        <is>
          <t>De cualquier longitud si usa guantes</t>
        </is>
      </c>
      <c r="I270" s="22" t="inlineStr">
        <is>
          <t>Cortas y con esmalte transparente</t>
        </is>
      </c>
      <c r="J270" s="22" t="inlineStr">
        <is>
          <t>Cortas, limpias y sin esmalte</t>
        </is>
      </c>
      <c r="K270" s="22" t="inlineStr">
        <is>
          <t>C</t>
        </is>
      </c>
      <c r="L270" s="22" t="inlineStr">
        <is>
          <t>La Resolución 2674 de 2013 lo establece entre las prácticas higiénicas.</t>
        </is>
      </c>
      <c r="M270" s="22" t="inlineStr">
        <is>
          <t>Los guantes no reemplazan la higiene de las uñas; el esmalte, aunque sea transparente, puede desprenderse en el alimento.</t>
        </is>
      </c>
      <c r="N270" s="22" t="inlineStr">
        <is>
          <t>Resolución 2674 de 2013, arts. 11 y 14</t>
        </is>
      </c>
      <c r="O270" s="22" t="inlineStr">
        <is>
          <t>SI</t>
        </is>
      </c>
      <c r="P270" s="16" t="inlineStr">
        <is>
          <t>Basica</t>
        </is>
      </c>
      <c r="Q270" s="16" t="inlineStr">
        <is>
          <t>v2</t>
        </is>
      </c>
      <c r="R270" s="16" t="inlineStr">
        <is>
          <t>Específico</t>
        </is>
      </c>
    </row>
    <row r="271" ht="23.25" customHeight="1" s="12">
      <c r="A271" s="22" t="inlineStr">
        <is>
          <t>F090-3</t>
        </is>
      </c>
      <c r="B271" s="22" t="inlineStr">
        <is>
          <t>invima</t>
        </is>
      </c>
      <c r="C271" s="22" t="inlineStr">
        <is>
          <t>Alimentos: buenas prácticas y requisitos sanitarios</t>
        </is>
      </c>
      <c r="D271" s="22" t="inlineStr">
        <is>
          <t>C090</t>
        </is>
      </c>
      <c r="E271" s="22" t="inlineStr">
        <is>
          <t>Manipuladores en una planta de arepas</t>
        </is>
      </c>
      <c r="F271" s="22" t="inlineStr">
        <is>
          <t>En una planta de arepas, un operario con una herida infectada en la mano trabaja sin guantes, otro usa reloj y anillos, y el último reconocimiento médico del personal es de hace dos años.</t>
        </is>
      </c>
      <c r="G271" s="22" t="inlineStr">
        <is>
          <t>Mientras realiza sus labores, el manipulador</t>
        </is>
      </c>
      <c r="H271" s="22" t="inlineStr">
        <is>
          <t>Puede usar anillos si son lisos</t>
        </is>
      </c>
      <c r="I271" s="22" t="inlineStr">
        <is>
          <t>Puede usar reloj si es resistente al agua</t>
        </is>
      </c>
      <c r="J271" s="22" t="inlineStr">
        <is>
          <t>No puede usar reloj, anillos, aretes ni joyas</t>
        </is>
      </c>
      <c r="K271" s="22" t="inlineStr">
        <is>
          <t>C</t>
        </is>
      </c>
      <c r="L271" s="22" t="inlineStr">
        <is>
          <t>La Resolución 2674 de 2013 prohíbe esos accesorios.</t>
        </is>
      </c>
      <c r="M271" s="22" t="inlineStr">
        <is>
          <t>Permitir anillos lisos o relojes resistentes al agua mantiene objetos que pueden caer al producto o acumular suciedad.</t>
        </is>
      </c>
      <c r="N271" s="22" t="inlineStr">
        <is>
          <t>Resolución 2674 de 2013, arts. 11 y 14</t>
        </is>
      </c>
      <c r="O271" s="22" t="inlineStr">
        <is>
          <t>SI</t>
        </is>
      </c>
      <c r="P271" s="16" t="inlineStr">
        <is>
          <t>Basica</t>
        </is>
      </c>
      <c r="Q271" s="16" t="inlineStr">
        <is>
          <t>v2</t>
        </is>
      </c>
      <c r="R271" s="16" t="inlineStr">
        <is>
          <t>Específico</t>
        </is>
      </c>
    </row>
    <row r="272" ht="23.25" customHeight="1" s="12">
      <c r="A272" s="22" t="inlineStr">
        <is>
          <t>F091-1</t>
        </is>
      </c>
      <c r="B272" s="22" t="inlineStr">
        <is>
          <t>invima</t>
        </is>
      </c>
      <c r="C272" s="22" t="inlineStr">
        <is>
          <t>Alimentos: buenas prácticas y requisitos sanitarios</t>
        </is>
      </c>
      <c r="D272" s="22" t="inlineStr">
        <is>
          <t>C091</t>
        </is>
      </c>
      <c r="E272" s="22" t="inlineStr">
        <is>
          <t>Dotación del personal de empaque</t>
        </is>
      </c>
      <c r="F272" s="22" t="inlineStr">
        <is>
          <t>En la línea de empaque, tres operarios usan dotación gris con botones, salen a la calle con el uniforme a la hora del almuerzo y guardan esferos en el bolsillo del pecho.</t>
        </is>
      </c>
      <c r="G272" s="22" t="inlineStr">
        <is>
          <t>La vestimenta de trabajo del manipulador debe ser</t>
        </is>
      </c>
      <c r="H272" s="22" t="inlineStr">
        <is>
          <t>De color claro</t>
        </is>
      </c>
      <c r="I272" s="22" t="inlineStr">
        <is>
          <t>Gris, porque disimula manchas y resiste mejor el lavado industrial</t>
        </is>
      </c>
      <c r="J272" s="22" t="inlineStr">
        <is>
          <t>De cualquier color oscuro, siempre que se cambie a diario</t>
        </is>
      </c>
      <c r="K272" s="22" t="inlineStr">
        <is>
          <t>A</t>
        </is>
      </c>
      <c r="L272" s="22" t="inlineStr">
        <is>
          <t>La Resolución 2674 de 2013 exige colores claros y prohíbe el gris.</t>
        </is>
      </c>
      <c r="M272" s="22" t="inlineStr">
        <is>
          <t>El gris está expresamente excluido, porque disimula la suciedad; cualquier color oscuro impide advertir si la dotación está limpia.</t>
        </is>
      </c>
      <c r="N272" s="22" t="inlineStr">
        <is>
          <t>Resolución 2674 de 2013, art. 14</t>
        </is>
      </c>
      <c r="O272" s="22" t="inlineStr">
        <is>
          <t>SI</t>
        </is>
      </c>
      <c r="P272" s="16" t="inlineStr">
        <is>
          <t>Basica</t>
        </is>
      </c>
      <c r="Q272" s="16" t="inlineStr">
        <is>
          <t>v2</t>
        </is>
      </c>
      <c r="R272" s="16" t="inlineStr">
        <is>
          <t>Específico</t>
        </is>
      </c>
    </row>
    <row r="273" ht="23.25" customHeight="1" s="12">
      <c r="A273" s="22" t="inlineStr">
        <is>
          <t>F091-2</t>
        </is>
      </c>
      <c r="B273" s="22" t="inlineStr">
        <is>
          <t>invima</t>
        </is>
      </c>
      <c r="C273" s="22" t="inlineStr">
        <is>
          <t>Alimentos: buenas prácticas y requisitos sanitarios</t>
        </is>
      </c>
      <c r="D273" s="22" t="inlineStr">
        <is>
          <t>C091</t>
        </is>
      </c>
      <c r="E273" s="22" t="inlineStr">
        <is>
          <t>Dotación del personal de empaque</t>
        </is>
      </c>
      <c r="F273" s="22" t="inlineStr">
        <is>
          <t>En la línea de empaque, tres operarios usan dotación gris con botones, salen a la calle con el uniforme a la hora del almuerzo y guardan esferos en el bolsillo del pecho.</t>
        </is>
      </c>
      <c r="G273" s="22" t="inlineStr">
        <is>
          <t>Respecto a salir del establecimiento con la vestimenta de trabajo,</t>
        </is>
      </c>
      <c r="H273" s="22" t="inlineStr">
        <is>
          <t>No está permitido</t>
        </is>
      </c>
      <c r="I273" s="22" t="inlineStr">
        <is>
          <t>Está permitido en la hora de almuerzo</t>
        </is>
      </c>
      <c r="J273" s="22" t="inlineStr">
        <is>
          <t>Está permitido si usan chaqueta encima</t>
        </is>
      </c>
      <c r="K273" s="22" t="inlineStr">
        <is>
          <t>A</t>
        </is>
      </c>
      <c r="L273" s="22" t="inlineStr">
        <is>
          <t>La norma prohíbe salir e ingresar con la vestimenta de trabajo.</t>
        </is>
      </c>
      <c r="M273" s="22" t="inlineStr">
        <is>
          <t>Salir al almuerzo con la dotación la expone a contaminación externa; cubrirla con una chaqueta no evita el contacto con el exterior.</t>
        </is>
      </c>
      <c r="N273" s="22" t="inlineStr">
        <is>
          <t>Resolución 2674 de 2013, art. 14</t>
        </is>
      </c>
      <c r="O273" s="22" t="inlineStr">
        <is>
          <t>SI</t>
        </is>
      </c>
      <c r="P273" s="16" t="inlineStr">
        <is>
          <t>Basica</t>
        </is>
      </c>
      <c r="Q273" s="16" t="inlineStr">
        <is>
          <t>v2</t>
        </is>
      </c>
      <c r="R273" s="16" t="inlineStr">
        <is>
          <t>Específico</t>
        </is>
      </c>
    </row>
    <row r="274" ht="23.25" customHeight="1" s="12">
      <c r="A274" s="22" t="inlineStr">
        <is>
          <t>F091-3</t>
        </is>
      </c>
      <c r="B274" s="22" t="inlineStr">
        <is>
          <t>invima</t>
        </is>
      </c>
      <c r="C274" s="22" t="inlineStr">
        <is>
          <t>Alimentos: buenas prácticas y requisitos sanitarios</t>
        </is>
      </c>
      <c r="D274" s="22" t="inlineStr">
        <is>
          <t>C091</t>
        </is>
      </c>
      <c r="E274" s="22" t="inlineStr">
        <is>
          <t>Dotación del personal de empaque</t>
        </is>
      </c>
      <c r="F274" s="22" t="inlineStr">
        <is>
          <t>En la línea de empaque, tres operarios usan dotación gris con botones, salen a la calle con el uniforme a la hora del almuerzo y guardan esferos en el bolsillo del pecho.</t>
        </is>
      </c>
      <c r="G274" s="22" t="inlineStr">
        <is>
          <t>La vestimenta debe tener</t>
        </is>
      </c>
      <c r="H274" s="22" t="inlineStr">
        <is>
          <t>Cierres o broches, sin bolsillos arriba de la cintura</t>
        </is>
      </c>
      <c r="I274" s="22" t="inlineStr">
        <is>
          <t>Botones resistentes</t>
        </is>
      </c>
      <c r="J274" s="22" t="inlineStr">
        <is>
          <t>Bolsillos en el pecho para llevar esferos y la libreta de registros</t>
        </is>
      </c>
      <c r="K274" s="22" t="inlineStr">
        <is>
          <t>A</t>
        </is>
      </c>
      <c r="L274" s="22" t="inlineStr">
        <is>
          <t>Así se evita que objetos caigan en el alimento.</t>
        </is>
      </c>
      <c r="M274" s="22" t="inlineStr">
        <is>
          <t>Los botones pueden desprenderse y caer al alimento; los bolsillos en el pecho permiten que objetos caigan sobre el producto.</t>
        </is>
      </c>
      <c r="N274" s="22" t="inlineStr">
        <is>
          <t>Resolución 2674 de 2013, art. 14</t>
        </is>
      </c>
      <c r="O274" s="22" t="inlineStr">
        <is>
          <t>SI</t>
        </is>
      </c>
      <c r="P274" s="16" t="inlineStr">
        <is>
          <t>Basica</t>
        </is>
      </c>
      <c r="Q274" s="16" t="inlineStr">
        <is>
          <t>v2</t>
        </is>
      </c>
      <c r="R274" s="16" t="inlineStr">
        <is>
          <t>Específico</t>
        </is>
      </c>
    </row>
    <row r="275" ht="23.25" customHeight="1" s="12">
      <c r="A275" s="22" t="inlineStr">
        <is>
          <t>F092-1</t>
        </is>
      </c>
      <c r="B275" s="22" t="inlineStr">
        <is>
          <t>invima</t>
        </is>
      </c>
      <c r="C275" s="22" t="inlineStr">
        <is>
          <t>Alimentos: buenas prácticas y requisitos sanitarios</t>
        </is>
      </c>
      <c r="D275" s="22" t="inlineStr">
        <is>
          <t>C092</t>
        </is>
      </c>
      <c r="E275" s="22" t="inlineStr">
        <is>
          <t>Capacitación solo en el papel</t>
        </is>
      </c>
      <c r="F275" s="22" t="inlineStr">
        <is>
          <t>La fábrica presenta como plan de capacitación una carpeta con listas de asistencia de 2023. No hay cronograma, ni temas, ni docentes, y los operarios no saben explicar el lavado de manos.</t>
        </is>
      </c>
      <c r="G275" s="22" t="inlineStr">
        <is>
          <t>El plan de capacitación debe contener, al menos,</t>
        </is>
      </c>
      <c r="H275" s="22" t="inlineStr">
        <is>
          <t>El presupuesto de la capacitación</t>
        </is>
      </c>
      <c r="I275" s="22" t="inlineStr">
        <is>
          <t>Metodología, duración, docentes, cronograma y temas</t>
        </is>
      </c>
      <c r="J275" s="22" t="inlineStr">
        <is>
          <t>La lista de asistentes y la firma del jefe de planta en cada sesión</t>
        </is>
      </c>
      <c r="K275" s="22" t="inlineStr">
        <is>
          <t>B</t>
        </is>
      </c>
      <c r="L275" s="22" t="inlineStr">
        <is>
          <t>El plan de capacitación debe indicar metodología, duración, docentes, cronograma y temas, con mínimo diez (10) horas anuales. Resolución 2674 de 2013, artículos 12 y 13.</t>
        </is>
      </c>
      <c r="M275" s="22" t="inlineStr">
        <is>
          <t>El presupuesto de mercadeo es ajeno al plan sanitario; la lista de asistentes prueba la asistencia, no el contenido de la formación.</t>
        </is>
      </c>
      <c r="N275" s="22" t="inlineStr">
        <is>
          <t>Resolución 2674 de 2013, arts. 12 y 13</t>
        </is>
      </c>
      <c r="O275" s="22" t="inlineStr">
        <is>
          <t>SI</t>
        </is>
      </c>
      <c r="P275" s="16" t="inlineStr">
        <is>
          <t>Basica</t>
        </is>
      </c>
      <c r="Q275" s="16" t="inlineStr">
        <is>
          <t>v2</t>
        </is>
      </c>
      <c r="R275" s="16" t="inlineStr">
        <is>
          <t>Específico</t>
        </is>
      </c>
    </row>
    <row r="276" ht="23.25" customHeight="1" s="12">
      <c r="A276" s="22" t="inlineStr">
        <is>
          <t>F092-2</t>
        </is>
      </c>
      <c r="B276" s="22" t="inlineStr">
        <is>
          <t>invima</t>
        </is>
      </c>
      <c r="C276" s="22" t="inlineStr">
        <is>
          <t>Alimentos: buenas prácticas y requisitos sanitarios</t>
        </is>
      </c>
      <c r="D276" s="22" t="inlineStr">
        <is>
          <t>C092</t>
        </is>
      </c>
      <c r="E276" s="22" t="inlineStr">
        <is>
          <t>Capacitación solo en el papel</t>
        </is>
      </c>
      <c r="F276" s="22" t="inlineStr">
        <is>
          <t>La fábrica presenta como plan de capacitación una carpeta con listas de asistencia de 2023. No hay cronograma, ni temas, ni docentes, y los operarios no saben explicar el lavado de manos.</t>
        </is>
      </c>
      <c r="G276" s="22" t="inlineStr">
        <is>
          <t>La capacitación de los manipuladores debe ser</t>
        </is>
      </c>
      <c r="H276" s="22" t="inlineStr">
        <is>
          <t>Permanente, durante todo el vínculo laboral</t>
        </is>
      </c>
      <c r="I276" s="22" t="inlineStr">
        <is>
          <t>Única, al momento de ingresar a la planta</t>
        </is>
      </c>
      <c r="J276" s="22" t="inlineStr">
        <is>
          <t>Opcional, según la carga de trabajo del turno</t>
        </is>
      </c>
      <c r="K276" s="22" t="inlineStr">
        <is>
          <t>A</t>
        </is>
      </c>
      <c r="L276" s="22" t="inlineStr">
        <is>
          <t>La Resolución 2674 de 2013 exige un plan continuo y permanente.</t>
        </is>
      </c>
      <c r="M276" s="22" t="inlineStr">
        <is>
          <t>Capacitar solo al ingresar deja sin actualización al personal; volverla opcional desconoce que la norma la exige.</t>
        </is>
      </c>
      <c r="N276" s="22" t="inlineStr">
        <is>
          <t>Resolución 2674 de 2013, arts. 12 y 13</t>
        </is>
      </c>
      <c r="O276" s="22" t="inlineStr">
        <is>
          <t>SI</t>
        </is>
      </c>
      <c r="P276" s="16" t="inlineStr">
        <is>
          <t>Basica</t>
        </is>
      </c>
      <c r="Q276" s="16" t="inlineStr">
        <is>
          <t>v2</t>
        </is>
      </c>
      <c r="R276" s="16" t="inlineStr">
        <is>
          <t>Específico</t>
        </is>
      </c>
    </row>
    <row r="277" ht="23.25" customHeight="1" s="12">
      <c r="A277" s="22" t="inlineStr">
        <is>
          <t>F092-3</t>
        </is>
      </c>
      <c r="B277" s="22" t="inlineStr">
        <is>
          <t>invima</t>
        </is>
      </c>
      <c r="C277" s="22" t="inlineStr">
        <is>
          <t>Alimentos: buenas prácticas y requisitos sanitarios</t>
        </is>
      </c>
      <c r="D277" s="22" t="inlineStr">
        <is>
          <t>C092</t>
        </is>
      </c>
      <c r="E277" s="22" t="inlineStr">
        <is>
          <t>Capacitación solo en el papel</t>
        </is>
      </c>
      <c r="F277" s="22" t="inlineStr">
        <is>
          <t>La fábrica presenta como plan de capacitación una carpeta con listas de asistencia de 2023. No hay cronograma, ni temas, ni docentes, y los operarios no saben explicar el lavado de manos.</t>
        </is>
      </c>
      <c r="G277" s="22" t="inlineStr">
        <is>
          <t>La efectividad de la capacitación se demuestra con</t>
        </is>
      </c>
      <c r="H277" s="22" t="inlineStr">
        <is>
          <t>El desempeño de los operarios y la condición sanitaria</t>
        </is>
      </c>
      <c r="I277" s="22" t="inlineStr">
        <is>
          <t>El número de certificados de asistencia colgados en la pared de la planta</t>
        </is>
      </c>
      <c r="J277" s="22" t="inlineStr">
        <is>
          <t>La firma de las listas de asistencia y el número de horas dictadas</t>
        </is>
      </c>
      <c r="K277" s="22" t="inlineStr">
        <is>
          <t>A</t>
        </is>
      </c>
      <c r="L277" s="22" t="inlineStr">
        <is>
          <t>La Resolución 2674 de 2013 exige demostrar efectividad e impacto.</t>
        </is>
      </c>
      <c r="M277" s="22" t="inlineStr">
        <is>
          <t>Los certificados colgados acreditan que hubo curso, no que se aplique; las listas firmadas prueban asistencia, no aprendizaje.</t>
        </is>
      </c>
      <c r="N277" s="22" t="inlineStr">
        <is>
          <t>Resolución 2674 de 2013, arts. 12 y 13</t>
        </is>
      </c>
      <c r="O277" s="22" t="inlineStr">
        <is>
          <t>SI</t>
        </is>
      </c>
      <c r="P277" s="16" t="inlineStr">
        <is>
          <t>Basica</t>
        </is>
      </c>
      <c r="Q277" s="16" t="inlineStr">
        <is>
          <t>v2</t>
        </is>
      </c>
      <c r="R277" s="16" t="inlineStr">
        <is>
          <t>Específico</t>
        </is>
      </c>
    </row>
    <row r="278" ht="23.25" customHeight="1" s="12">
      <c r="A278" s="22" t="inlineStr">
        <is>
          <t>F093-1</t>
        </is>
      </c>
      <c r="B278" s="22" t="inlineStr">
        <is>
          <t>invima</t>
        </is>
      </c>
      <c r="C278" s="22" t="inlineStr">
        <is>
          <t>Alimentos: buenas prácticas y requisitos sanitarios</t>
        </is>
      </c>
      <c r="D278" s="22" t="inlineStr">
        <is>
          <t>C093</t>
        </is>
      </c>
      <c r="E278" s="22" t="inlineStr">
        <is>
          <t>Plan de saneamiento sin soportes</t>
        </is>
      </c>
      <c r="F278" s="22" t="inlineStr">
        <is>
          <t>El gerente de una fábrica de lácteos afirma que su plan de saneamiento 'está en la cabeza del jefe de planta'. No hay cronogramas, ni registros de limpieza, ni responsables asignados, y la última fumigación no tiene soporte.</t>
        </is>
      </c>
      <c r="G278" s="22" t="inlineStr">
        <is>
          <t>El plan de saneamiento debe estar</t>
        </is>
      </c>
      <c r="H278" s="22" t="inlineStr">
        <is>
          <t>En poder del proveedor de aseo</t>
        </is>
      </c>
      <c r="I278" s="22" t="inlineStr">
        <is>
          <t>Escrito, a disposición de la autoridad sanitaria</t>
        </is>
      </c>
      <c r="J278" s="22" t="inlineStr">
        <is>
          <t>En la memoria del jefe de planta</t>
        </is>
      </c>
      <c r="K278" s="22" t="inlineStr">
        <is>
          <t>B</t>
        </is>
      </c>
      <c r="L278" s="22" t="inlineStr">
        <is>
          <t>La Resolución 2674 de 2013 exige que el plan esté escrito y disponible.</t>
        </is>
      </c>
      <c r="M278" s="22" t="inlineStr">
        <is>
          <t>Dejarlo en manos del proveedor de aseo traslada una obligación del establecimiento; tenerlo solo en la memoria impide verificarlo en la visita.</t>
        </is>
      </c>
      <c r="N278" s="22" t="inlineStr">
        <is>
          <t>Resolución 2674 de 2013, art. 26</t>
        </is>
      </c>
      <c r="O278" s="22" t="inlineStr">
        <is>
          <t>SI</t>
        </is>
      </c>
      <c r="P278" s="16" t="inlineStr">
        <is>
          <t>Basica</t>
        </is>
      </c>
      <c r="Q278" s="16" t="inlineStr">
        <is>
          <t>v2</t>
        </is>
      </c>
      <c r="R278" s="16" t="inlineStr">
        <is>
          <t>Específico</t>
        </is>
      </c>
    </row>
    <row r="279" ht="23.25" customHeight="1" s="12">
      <c r="A279" s="22" t="inlineStr">
        <is>
          <t>F093-2</t>
        </is>
      </c>
      <c r="B279" s="22" t="inlineStr">
        <is>
          <t>invima</t>
        </is>
      </c>
      <c r="C279" s="22" t="inlineStr">
        <is>
          <t>Alimentos: buenas prácticas y requisitos sanitarios</t>
        </is>
      </c>
      <c r="D279" s="22" t="inlineStr">
        <is>
          <t>C093</t>
        </is>
      </c>
      <c r="E279" s="22" t="inlineStr">
        <is>
          <t>Plan de saneamiento sin soportes</t>
        </is>
      </c>
      <c r="F279" s="22" t="inlineStr">
        <is>
          <t>El gerente de una fábrica de lácteos afirma que su plan de saneamiento 'está en la cabeza del jefe de planta'. No hay cronogramas, ni registros de limpieza, ni responsables asignados, y la última fumigación no tiene soporte.</t>
        </is>
      </c>
      <c r="G279" s="22" t="inlineStr">
        <is>
          <t>Cada programa del plan debe incluir, como mínimo,</t>
        </is>
      </c>
      <c r="H279" s="22" t="inlineStr">
        <is>
          <t>Procedimientos, cronogramas, registros y responsables</t>
        </is>
      </c>
      <c r="I279" s="22" t="inlineStr">
        <is>
          <t>El nombre del programa y la firma del representante</t>
        </is>
      </c>
      <c r="J279" s="22" t="inlineStr">
        <is>
          <t>Fotografías de la planta y del personal manipulador</t>
        </is>
      </c>
      <c r="K279" s="22" t="inlineStr">
        <is>
          <t>A</t>
        </is>
      </c>
      <c r="L279" s="22" t="inlineStr">
        <is>
          <t>La Resolución 2674 de 2013 fija ese contenido mínimo.</t>
        </is>
      </c>
      <c r="M279" s="22" t="inlineStr">
        <is>
          <t>El nombre del programa y una firma no permiten ejecutar ni auditar; las fotografías ilustran, pero no reemplazan procedimientos ni responsables.</t>
        </is>
      </c>
      <c r="N279" s="22" t="inlineStr">
        <is>
          <t>Resolución 2674 de 2013, art. 26</t>
        </is>
      </c>
      <c r="O279" s="22" t="inlineStr">
        <is>
          <t>SI</t>
        </is>
      </c>
      <c r="P279" s="16" t="inlineStr">
        <is>
          <t>Basica</t>
        </is>
      </c>
      <c r="Q279" s="16" t="inlineStr">
        <is>
          <t>v2</t>
        </is>
      </c>
      <c r="R279" s="16" t="inlineStr">
        <is>
          <t>Específico</t>
        </is>
      </c>
    </row>
    <row r="280" ht="23.25" customHeight="1" s="12">
      <c r="A280" s="22" t="inlineStr">
        <is>
          <t>F093-3</t>
        </is>
      </c>
      <c r="B280" s="22" t="inlineStr">
        <is>
          <t>invima</t>
        </is>
      </c>
      <c r="C280" s="22" t="inlineStr">
        <is>
          <t>Alimentos: buenas prácticas y requisitos sanitarios</t>
        </is>
      </c>
      <c r="D280" s="22" t="inlineStr">
        <is>
          <t>C093</t>
        </is>
      </c>
      <c r="E280" s="22" t="inlineStr">
        <is>
          <t>Plan de saneamiento sin soportes</t>
        </is>
      </c>
      <c r="F280" s="22" t="inlineStr">
        <is>
          <t>El gerente de una fábrica de lácteos afirma que su plan de saneamiento 'está en la cabeza del jefe de planta'. No hay cronogramas, ni registros de limpieza, ni responsables asignados, y la última fumigación no tiene soporte.</t>
        </is>
      </c>
      <c r="G280" s="22" t="inlineStr">
        <is>
          <t>El objetivo del plan de saneamiento es</t>
        </is>
      </c>
      <c r="H280" s="22" t="inlineStr">
        <is>
          <t>Reducir los costos de nómina mediante la tercerización del personal de aseo</t>
        </is>
      </c>
      <c r="I280" s="22" t="inlineStr">
        <is>
          <t>Disminuir los riesgos de contaminación</t>
        </is>
      </c>
      <c r="J280" s="22" t="inlineStr">
        <is>
          <t>Aumentar la producción al reducir los tiempos muertos por limpieza</t>
        </is>
      </c>
      <c r="K280" s="22" t="inlineStr">
        <is>
          <t>B</t>
        </is>
      </c>
      <c r="L280" s="22" t="inlineStr">
        <is>
          <t>Así lo define la Resolución 2674 de 2013.</t>
        </is>
      </c>
      <c r="M280" s="22" t="inlineStr">
        <is>
          <t>Reducir costos de nómina y aumentar producción son metas de gestión, no el propósito sanitario del plan.</t>
        </is>
      </c>
      <c r="N280" s="22" t="inlineStr">
        <is>
          <t>Resolución 2674 de 2013, art. 26</t>
        </is>
      </c>
      <c r="O280" s="22" t="inlineStr">
        <is>
          <t>SI</t>
        </is>
      </c>
      <c r="P280" s="16" t="inlineStr">
        <is>
          <t>Basica</t>
        </is>
      </c>
      <c r="Q280" s="16" t="inlineStr">
        <is>
          <t>v2</t>
        </is>
      </c>
      <c r="R280" s="16" t="inlineStr">
        <is>
          <t>Específico</t>
        </is>
      </c>
    </row>
    <row r="281" ht="34.5" customHeight="1" s="12">
      <c r="A281" s="22" t="inlineStr">
        <is>
          <t>F094-1</t>
        </is>
      </c>
      <c r="B281" s="22" t="inlineStr">
        <is>
          <t>invima</t>
        </is>
      </c>
      <c r="C281" s="22" t="inlineStr">
        <is>
          <t>Alimentos: etiquetado y rotulado</t>
        </is>
      </c>
      <c r="D281" s="22" t="inlineStr">
        <is>
          <t>C094</t>
        </is>
      </c>
      <c r="E281" s="22" t="inlineStr">
        <is>
          <t>Snack salado y jugo sin azúcar añadida</t>
        </is>
      </c>
      <c r="F281" s="22" t="inlineStr">
        <is>
          <t>Una empresa va a lanzar un snack de papa al que le adiciona sal, con 420 mg de sodio por cada 100 gramos, y un jugo sin azúcar añadida. Pregunta cuáles sellos frontales debe llevar cada uno.</t>
        </is>
      </c>
      <c r="G281" s="22" t="inlineStr">
        <is>
          <t>El sello frontal de advertencia aplica a productos</t>
        </is>
      </c>
      <c r="H281" s="22" t="inlineStr">
        <is>
          <t>Procesados a los que se adicionó el nutriente y superan el límite</t>
        </is>
      </c>
      <c r="I281" s="22" t="inlineStr">
        <is>
          <t>Procesados que superan el límite, aunque el nutriente sea propio</t>
        </is>
      </c>
      <c r="J281" s="22" t="inlineStr">
        <is>
          <t>Naturales y a granel que superan el límite del nutriente</t>
        </is>
      </c>
      <c r="K281" s="22" t="inlineStr">
        <is>
          <t>A</t>
        </is>
      </c>
      <c r="L281" s="22" t="inlineStr">
        <is>
          <t>El sello aplica a los procesados o ultraprocesados a los que se adicionó sal/sodio, azúcares, grasas o edulcorantes y superan los límites de la Tabla 17. Resolución 810 de 2021, artículo 32.</t>
        </is>
      </c>
      <c r="M281" s="22" t="inlineStr">
        <is>
          <t>Si el nutriente es propio del alimento y no fue adicionado, no se activa el sello; los productos naturales y a granel están excluidos de esta regla.</t>
        </is>
      </c>
      <c r="N281" s="22" t="inlineStr">
        <is>
          <t>Resolución 810 de 2021, art. 32 y Tabla 17</t>
        </is>
      </c>
      <c r="O281" s="22" t="inlineStr">
        <is>
          <t>SI</t>
        </is>
      </c>
      <c r="P281" s="16" t="inlineStr">
        <is>
          <t>Media</t>
        </is>
      </c>
      <c r="Q281" s="16" t="inlineStr">
        <is>
          <t>v2</t>
        </is>
      </c>
      <c r="R281" s="16" t="inlineStr">
        <is>
          <t>Específico</t>
        </is>
      </c>
    </row>
    <row r="282" ht="23.25" customHeight="1" s="12">
      <c r="A282" s="22" t="inlineStr">
        <is>
          <t>F094-2</t>
        </is>
      </c>
      <c r="B282" s="22" t="inlineStr">
        <is>
          <t>invima</t>
        </is>
      </c>
      <c r="C282" s="22" t="inlineStr">
        <is>
          <t>Alimentos: etiquetado y rotulado</t>
        </is>
      </c>
      <c r="D282" s="22" t="inlineStr">
        <is>
          <t>C094</t>
        </is>
      </c>
      <c r="E282" s="22" t="inlineStr">
        <is>
          <t>Snack salado y jugo sin azúcar añadida</t>
        </is>
      </c>
      <c r="F282" s="22" t="inlineStr">
        <is>
          <t>Una empresa va a lanzar un snack de papa al que le adiciona sal, con 420 mg de sodio por cada 100 gramos, y un jugo sin azúcar añadida. Pregunta cuáles sellos frontales debe llevar cada uno.</t>
        </is>
      </c>
      <c r="G282" s="22" t="inlineStr">
        <is>
          <t>Para sólidos, el sello de sodio aplica, entre otros criterios, cuando el contenido es igual o superior a</t>
        </is>
      </c>
      <c r="H282" s="22" t="inlineStr">
        <is>
          <t>300 mg por cada 100 g</t>
        </is>
      </c>
      <c r="I282" s="22" t="inlineStr">
        <is>
          <t>3 mg por cada 100 g</t>
        </is>
      </c>
      <c r="J282" s="22" t="inlineStr">
        <is>
          <t>3.000 mg por cada 100 g</t>
        </is>
      </c>
      <c r="K282" s="22" t="inlineStr">
        <is>
          <t>A</t>
        </is>
      </c>
      <c r="L282" s="22" t="inlineStr">
        <is>
          <t>El límite de sodio para sólidos es de 1 mg por kilocaloría o 300 mg por cada 100 g. Resolución 810 de 2021, artículo 32, Tabla 17 (corregido por la Resolución 254 de 2023).</t>
        </is>
      </c>
      <c r="M282" s="22" t="inlineStr">
        <is>
          <t>Tres miligramos es un valor irrisorio que marcaría casi todo; tres mil miligramos es diez veces el límite y dejaría sin sello a la mayoría.</t>
        </is>
      </c>
      <c r="N282" s="22" t="inlineStr">
        <is>
          <t>Resolución 810 de 2021, art. 32, Tabla 17</t>
        </is>
      </c>
      <c r="O282" s="22" t="inlineStr">
        <is>
          <t>SI</t>
        </is>
      </c>
      <c r="P282" s="16" t="inlineStr">
        <is>
          <t>Media</t>
        </is>
      </c>
      <c r="Q282" s="16" t="inlineStr">
        <is>
          <t>v2</t>
        </is>
      </c>
      <c r="R282" s="16" t="inlineStr">
        <is>
          <t>Específico</t>
        </is>
      </c>
    </row>
    <row r="283" ht="23.25" customHeight="1" s="12">
      <c r="A283" s="22" t="inlineStr">
        <is>
          <t>F094-3</t>
        </is>
      </c>
      <c r="B283" s="22" t="inlineStr">
        <is>
          <t>invima</t>
        </is>
      </c>
      <c r="C283" s="22" t="inlineStr">
        <is>
          <t>Alimentos: etiquetado y rotulado</t>
        </is>
      </c>
      <c r="D283" s="22" t="inlineStr">
        <is>
          <t>C094</t>
        </is>
      </c>
      <c r="E283" s="22" t="inlineStr">
        <is>
          <t>Snack salado y jugo sin azúcar añadida</t>
        </is>
      </c>
      <c r="F283" s="22" t="inlineStr">
        <is>
          <t>Una empresa va a lanzar un snack de papa al que le adiciona sal, con 420 mg de sodio por cada 100 gramos, y un jugo sin azúcar añadida. Pregunta cuáles sellos frontales debe llevar cada uno.</t>
        </is>
      </c>
      <c r="G283" s="22" t="inlineStr">
        <is>
          <t>Si a un producto no se le adicionó azúcar, el sello de azúcares</t>
        </is>
      </c>
      <c r="H283" s="22" t="inlineStr">
        <is>
          <t>Le aplica ese sello, porque supera el límite de la tabla</t>
        </is>
      </c>
      <c r="I283" s="22" t="inlineStr">
        <is>
          <t>Le aplica ese sello cuando el producto es una bebida</t>
        </is>
      </c>
      <c r="J283" s="22" t="inlineStr">
        <is>
          <t>No le aplica ese sello, porque el azúcar no fue adicionada</t>
        </is>
      </c>
      <c r="K283" s="22" t="inlineStr">
        <is>
          <t>C</t>
        </is>
      </c>
      <c r="L283" s="22" t="inlineStr">
        <is>
          <t>Si el azúcar no fue adicionada, no se activa el sello aunque supere el límite de la tabla. Resolución 810 de 2021, artículo 32.</t>
        </is>
      </c>
      <c r="M283" s="22" t="inlineStr">
        <is>
          <t>Aplicar el sello por superar la tabla omite la condición de adición; distinguir según sea bebida agrega un criterio que la norma no prevé.</t>
        </is>
      </c>
      <c r="N283" s="22" t="inlineStr">
        <is>
          <t>Resolución 810 de 2021, art. 32 y Tabla 17</t>
        </is>
      </c>
      <c r="O283" s="22" t="inlineStr">
        <is>
          <t>SI</t>
        </is>
      </c>
      <c r="P283" s="16" t="inlineStr">
        <is>
          <t>Media</t>
        </is>
      </c>
      <c r="Q283" s="16" t="inlineStr">
        <is>
          <t>v2</t>
        </is>
      </c>
      <c r="R283" s="16" t="inlineStr">
        <is>
          <t>Específico</t>
        </is>
      </c>
    </row>
    <row r="284" ht="23.25" customHeight="1" s="12">
      <c r="A284" s="22" t="inlineStr">
        <is>
          <t>F095-1</t>
        </is>
      </c>
      <c r="B284" s="22" t="inlineStr">
        <is>
          <t>invima</t>
        </is>
      </c>
      <c r="C284" s="22" t="inlineStr">
        <is>
          <t>Alimentos: etiquetado y rotulado</t>
        </is>
      </c>
      <c r="D284" s="22" t="inlineStr">
        <is>
          <t>C095</t>
        </is>
      </c>
      <c r="E284" s="22" t="inlineStr">
        <is>
          <t>Bebida láctea exhibida como leche</t>
        </is>
      </c>
      <c r="F284" s="22" t="inlineStr">
        <is>
          <t>Una bebida láctea se exhibe en las mismas góndolas de la leche, con un nombre de fantasía que evoca el campo y sin que la denominación del producto aparezca en la cara principal. Un tribunal concluyó que esa presentación constituye publicidad engañosa para el consumidor.</t>
        </is>
      </c>
      <c r="G284" s="22" t="inlineStr">
        <is>
          <t>El nombre del alimento en la etiqueta debe</t>
        </is>
      </c>
      <c r="H284" s="22" t="inlineStr">
        <is>
          <t>Corresponder al nombre de fantasía de la marca</t>
        </is>
      </c>
      <c r="I284" s="22" t="inlineStr">
        <is>
          <t>Indicar la verdadera naturaleza del alimento</t>
        </is>
      </c>
      <c r="J284" s="22" t="inlineStr">
        <is>
          <t>Corresponder al nombre comercial del fabricante</t>
        </is>
      </c>
      <c r="K284" s="22" t="inlineStr">
        <is>
          <t>B</t>
        </is>
      </c>
      <c r="L284" s="22" t="inlineStr">
        <is>
          <t>El nombre debe indicar la verdadera naturaleza del alimento y ser específico, no genérico. Resolución 5109 de 2005, artículo 5, numeral 5.1.</t>
        </is>
      </c>
      <c r="M284" s="22" t="inlineStr">
        <is>
          <t>El nombre de fantasía identifica la marca, no el producto; el nombre comercial del fabricante no dice qué es el alimento.</t>
        </is>
      </c>
      <c r="N284" s="22" t="inlineStr">
        <is>
          <t>Resolución 5109 de 2005, art. 5, num. 5.1</t>
        </is>
      </c>
      <c r="O284" s="22" t="inlineStr">
        <is>
          <t>SI</t>
        </is>
      </c>
      <c r="P284" s="16" t="inlineStr">
        <is>
          <t>Basica</t>
        </is>
      </c>
      <c r="Q284" s="16" t="inlineStr">
        <is>
          <t>v2</t>
        </is>
      </c>
      <c r="R284" s="16" t="inlineStr">
        <is>
          <t>Específico</t>
        </is>
      </c>
    </row>
    <row r="285" ht="34.5" customHeight="1" s="12">
      <c r="A285" s="22" t="inlineStr">
        <is>
          <t>F095-2</t>
        </is>
      </c>
      <c r="B285" s="22" t="inlineStr">
        <is>
          <t>invima</t>
        </is>
      </c>
      <c r="C285" s="22" t="inlineStr">
        <is>
          <t>Alimentos: etiquetado y rotulado</t>
        </is>
      </c>
      <c r="D285" s="22" t="inlineStr">
        <is>
          <t>C095</t>
        </is>
      </c>
      <c r="E285" s="22" t="inlineStr">
        <is>
          <t>Bebida láctea exhibida como leche</t>
        </is>
      </c>
      <c r="F285" s="22" t="inlineStr">
        <is>
          <t>Una bebida láctea se exhibe en las mismas góndolas de la leche, con un nombre de fantasía que evoca el campo y sin que la denominación del producto aparezca en la cara principal. Un tribunal concluyó que esa presentación constituye publicidad engañosa para el consumidor.</t>
        </is>
      </c>
      <c r="G285" s="22" t="inlineStr">
        <is>
          <t>Un nombre de fantasía o marca puede usarse</t>
        </is>
      </c>
      <c r="H285" s="22" t="inlineStr">
        <is>
          <t>Como única identificación del producto en la cara principal</t>
        </is>
      </c>
      <c r="I285" s="22" t="inlineStr">
        <is>
          <t>En la cara posterior, al lado de la lista de ingredientes</t>
        </is>
      </c>
      <c r="J285" s="22" t="inlineStr">
        <is>
          <t>Junto con la denominación del alimento en la cara principal</t>
        </is>
      </c>
      <c r="K285" s="22" t="inlineStr">
        <is>
          <t>C</t>
        </is>
      </c>
      <c r="L285" s="22" t="inlineStr">
        <is>
          <t>El nombre de fantasía puede acompañar, pero no sustituir, la denominación del alimento en la cara principal. Resolución 5109 de 2005, artículos 5 y 6.</t>
        </is>
      </c>
      <c r="M285" s="22" t="inlineStr">
        <is>
          <t>Usarlo como única identificación deja al consumidor sin saber qué compra; relegarlo a la cara posterior incumple la exigencia de la cara principal.</t>
        </is>
      </c>
      <c r="N285" s="22" t="inlineStr">
        <is>
          <t>Resolución 5109 de 2005, arts. 5 y 6</t>
        </is>
      </c>
      <c r="O285" s="22" t="inlineStr">
        <is>
          <t>SI</t>
        </is>
      </c>
      <c r="P285" s="16" t="inlineStr">
        <is>
          <t>Basica</t>
        </is>
      </c>
      <c r="Q285" s="16" t="inlineStr">
        <is>
          <t>v2</t>
        </is>
      </c>
      <c r="R285" s="16" t="inlineStr">
        <is>
          <t>Específico</t>
        </is>
      </c>
    </row>
    <row r="286" ht="23.25" customHeight="1" s="12">
      <c r="A286" s="22" t="inlineStr">
        <is>
          <t>F095-3</t>
        </is>
      </c>
      <c r="B286" s="22" t="inlineStr">
        <is>
          <t>invima</t>
        </is>
      </c>
      <c r="C286" s="22" t="inlineStr">
        <is>
          <t>Alimentos: etiquetado y rotulado</t>
        </is>
      </c>
      <c r="D286" s="22" t="inlineStr">
        <is>
          <t>C095</t>
        </is>
      </c>
      <c r="E286" s="22" t="inlineStr">
        <is>
          <t>Bebida láctea exhibida como leche</t>
        </is>
      </c>
      <c r="F286" s="22" t="inlineStr">
        <is>
          <t>Una bebida láctea se exhibe en las mismas góndolas de la leche, con un nombre de fantasía que evoca el campo y sin que la denominación del producto aparezca en la cara principal. Un tribunal concluyó que esa presentación constituye publicidad engañosa para el consumidor.</t>
        </is>
      </c>
      <c r="G286" s="22" t="inlineStr">
        <is>
          <t>La etiqueta no puede contener</t>
        </is>
      </c>
      <c r="H286" s="22" t="inlineStr">
        <is>
          <t>Información que induzca a error al consumidor</t>
        </is>
      </c>
      <c r="I286" s="22" t="inlineStr">
        <is>
          <t>La lista de ingredientes en orden decreciente</t>
        </is>
      </c>
      <c r="J286" s="22" t="inlineStr">
        <is>
          <t>El contenido neto expresado en el sistema métrico</t>
        </is>
      </c>
      <c r="K286" s="22" t="inlineStr">
        <is>
          <t>A</t>
        </is>
      </c>
      <c r="L286" s="22" t="inlineStr">
        <is>
          <t>El rótulo no puede contener información que induzca a error; la lista de ingredientes y el contenido neto sí son obligatorios. Resolución 5109 de 2005, artículos 4 y 5 (numerales 5.2 y 5.3).</t>
        </is>
      </c>
      <c r="M286" s="22" t="inlineStr">
        <is>
          <t>La lista de ingredientes y el contenido neto son justamente información obligatoria del rótulo.</t>
        </is>
      </c>
      <c r="N286" s="22" t="inlineStr">
        <is>
          <t>Resolución 5109 de 2005, arts. 4 y 5</t>
        </is>
      </c>
      <c r="O286" s="22" t="inlineStr">
        <is>
          <t>SI</t>
        </is>
      </c>
      <c r="P286" s="16" t="inlineStr">
        <is>
          <t>Basica</t>
        </is>
      </c>
      <c r="Q286" s="16" t="inlineStr">
        <is>
          <t>v2</t>
        </is>
      </c>
      <c r="R286" s="16" t="inlineStr">
        <is>
          <t>Específico</t>
        </is>
      </c>
    </row>
    <row r="287" ht="34.5" customHeight="1" s="12">
      <c r="A287" s="22" t="inlineStr">
        <is>
          <t>F096-1</t>
        </is>
      </c>
      <c r="B287" s="22" t="inlineStr">
        <is>
          <t>invima</t>
        </is>
      </c>
      <c r="C287" s="22" t="inlineStr">
        <is>
          <t>Carne y productos cárnicos</t>
        </is>
      </c>
      <c r="D287" s="22" t="inlineStr">
        <is>
          <t>C096</t>
        </is>
      </c>
      <c r="E287" s="22" t="inlineStr">
        <is>
          <t>Canales de res sin sellos</t>
        </is>
      </c>
      <c r="F287" s="22" t="inlineStr">
        <is>
          <t>En una vía del Huila se detiene un camión sin refrigeración con seis canales de res, sin sellos ni documento de la planta de beneficio. El conductor muestra una factura de compra en una finca.</t>
        </is>
      </c>
      <c r="G287" s="22" t="inlineStr">
        <is>
          <t>Una planta de beneficio animal es un establecimiento</t>
        </is>
      </c>
      <c r="H287" s="22" t="inlineStr">
        <is>
          <t>Cualquier lugar donde se sacrifiquen animales de abasto</t>
        </is>
      </c>
      <c r="I287" s="22" t="inlineStr">
        <is>
          <t>El expendio donde se vende la carne al consumidor final</t>
        </is>
      </c>
      <c r="J287" s="22" t="inlineStr">
        <is>
          <t>Autorizado para el beneficio de animales de abasto</t>
        </is>
      </c>
      <c r="K287" s="22" t="inlineStr">
        <is>
          <t>C</t>
        </is>
      </c>
      <c r="L287" s="22" t="inlineStr">
        <is>
          <t>La planta de beneficio se inscribe, obtiene autorización sanitaria y registro ante el Invima. Decreto 1500 de 2007, artículo 20 (modificado por el artículo 1 del Decreto 2965 de 2008).</t>
        </is>
      </c>
      <c r="M287" s="22" t="inlineStr">
        <is>
          <t>Cualquier lugar de sacrificio incluye el matadero clandestino; el expendio es el punto de venta, no el de beneficio.</t>
        </is>
      </c>
      <c r="N287" s="22" t="inlineStr">
        <is>
          <t>Decreto 1500 de 2007, art. 20 (mod. Decreto 2965 de 2008)</t>
        </is>
      </c>
      <c r="O287" s="22" t="inlineStr">
        <is>
          <t>SI</t>
        </is>
      </c>
      <c r="P287" s="16" t="inlineStr">
        <is>
          <t>Basica</t>
        </is>
      </c>
      <c r="Q287" s="16" t="inlineStr">
        <is>
          <t>v2</t>
        </is>
      </c>
      <c r="R287" s="16" t="inlineStr">
        <is>
          <t>Específico</t>
        </is>
      </c>
    </row>
    <row r="288" ht="23.25" customHeight="1" s="12">
      <c r="A288" s="22" t="inlineStr">
        <is>
          <t>F096-2</t>
        </is>
      </c>
      <c r="B288" s="22" t="inlineStr">
        <is>
          <t>invima</t>
        </is>
      </c>
      <c r="C288" s="22" t="inlineStr">
        <is>
          <t>Carne y productos cárnicos</t>
        </is>
      </c>
      <c r="D288" s="22" t="inlineStr">
        <is>
          <t>C096</t>
        </is>
      </c>
      <c r="E288" s="22" t="inlineStr">
        <is>
          <t>Canales de res sin sellos</t>
        </is>
      </c>
      <c r="F288" s="22" t="inlineStr">
        <is>
          <t>En una vía del Huila se detiene un camión sin refrigeración con seis canales de res, sin sellos ni documento de la planta de beneficio. El conductor muestra una factura de compra en una finca.</t>
        </is>
      </c>
      <c r="G288" s="22" t="inlineStr">
        <is>
          <t>El decomiso durante la inspección ante mortem se aplica a</t>
        </is>
      </c>
      <c r="H288" s="22" t="inlineStr">
        <is>
          <t>El animal</t>
        </is>
      </c>
      <c r="I288" s="22" t="inlineStr">
        <is>
          <t>Solo a las vísceras</t>
        </is>
      </c>
      <c r="J288" s="22" t="inlineStr">
        <is>
          <t>El vehículo de transporte</t>
        </is>
      </c>
      <c r="K288" s="22" t="inlineStr">
        <is>
          <t>A</t>
        </is>
      </c>
      <c r="L288" s="22" t="inlineStr">
        <is>
          <t>En la inspección ante mortem el decomiso recae sobre el animal; en la post mortem, sobre la carne y los productos cárnicos comestibles. Decreto 1500 de 2007, artículo 3, definición de decomiso o condena.</t>
        </is>
      </c>
      <c r="M288" s="22" t="inlineStr">
        <is>
          <t>Las vísceras se valoran en la inspección post mortem; el vehículo puede inmovilizarse, pero el decomiso ante mortem recae sobre el animal.</t>
        </is>
      </c>
      <c r="N288" s="22" t="inlineStr">
        <is>
          <t>Decreto 1500 de 2007, art. 3</t>
        </is>
      </c>
      <c r="O288" s="22" t="inlineStr">
        <is>
          <t>SI</t>
        </is>
      </c>
      <c r="P288" s="16" t="inlineStr">
        <is>
          <t>Basica</t>
        </is>
      </c>
      <c r="Q288" s="16" t="inlineStr">
        <is>
          <t>v2</t>
        </is>
      </c>
      <c r="R288" s="16" t="inlineStr">
        <is>
          <t>Específico</t>
        </is>
      </c>
    </row>
    <row r="289" ht="23.25" customHeight="1" s="12">
      <c r="A289" s="22" t="inlineStr">
        <is>
          <t>F096-3</t>
        </is>
      </c>
      <c r="B289" s="22" t="inlineStr">
        <is>
          <t>invima</t>
        </is>
      </c>
      <c r="C289" s="22" t="inlineStr">
        <is>
          <t>Carne y productos cárnicos</t>
        </is>
      </c>
      <c r="D289" s="22" t="inlineStr">
        <is>
          <t>C096</t>
        </is>
      </c>
      <c r="E289" s="22" t="inlineStr">
        <is>
          <t>Canales de res sin sellos</t>
        </is>
      </c>
      <c r="F289" s="22" t="inlineStr">
        <is>
          <t>En una vía del Huila se detiene un camión sin refrigeración con seis canales de res, sin sellos ni documento de la planta de beneficio. El conductor muestra una factura de compra en una finca.</t>
        </is>
      </c>
      <c r="G289" s="22" t="inlineStr">
        <is>
          <t>La IVC de las plantas de beneficio le corresponde de forma exclusiva a</t>
        </is>
      </c>
      <c r="H289" s="22" t="inlineStr">
        <is>
          <t>El Invima</t>
        </is>
      </c>
      <c r="I289" s="22" t="inlineStr">
        <is>
          <t>Las gobernaciones</t>
        </is>
      </c>
      <c r="J289" s="22" t="inlineStr">
        <is>
          <t>Los municipios</t>
        </is>
      </c>
      <c r="K289" s="22" t="inlineStr">
        <is>
          <t>A</t>
        </is>
      </c>
      <c r="L289" s="22" t="inlineStr">
        <is>
          <t>En plantas de beneficio la inspección es permanente, basada en riesgo y está a cargo del Invima; el ICA vigila la producción primaria. Decreto 1500 de 2007, artículos 58 y 60 (este último modificado por el artículo 3 del Decreto 2965 de 2008).</t>
        </is>
      </c>
      <c r="M289" s="22" t="inlineStr">
        <is>
          <t>Las gobernaciones y los municipios vigilan expendio, almacenamiento y transporte (artículo 65), no las plantas de beneficio; el ICA tiene a su cargo la producción primaria (artículo 58, numeral 1).</t>
        </is>
      </c>
      <c r="N289" s="22" t="inlineStr">
        <is>
          <t>Decreto 1500 de 2007, arts. 58 y 60 (mod. Decreto 2965 de 2008)</t>
        </is>
      </c>
      <c r="O289" s="22" t="inlineStr">
        <is>
          <t>SI</t>
        </is>
      </c>
      <c r="P289" s="16" t="inlineStr">
        <is>
          <t>Basica</t>
        </is>
      </c>
      <c r="Q289" s="16" t="inlineStr">
        <is>
          <t>v2</t>
        </is>
      </c>
      <c r="R289" s="16" t="inlineStr">
        <is>
          <t>Específico</t>
        </is>
      </c>
    </row>
    <row r="290" ht="23.25" customHeight="1" s="12">
      <c r="A290" s="22" t="inlineStr">
        <is>
          <t>F097-1</t>
        </is>
      </c>
      <c r="B290" s="22" t="inlineStr">
        <is>
          <t>invima</t>
        </is>
      </c>
      <c r="C290" s="22" t="inlineStr">
        <is>
          <t>Importaciones y puntos de entrada</t>
        </is>
      </c>
      <c r="D290" s="22" t="inlineStr">
        <is>
          <t>C097</t>
        </is>
      </c>
      <c r="E290" s="22" t="inlineStr">
        <is>
          <t>Certificado de inspección sanitaria</t>
        </is>
      </c>
      <c r="F290" s="22" t="inlineStr">
        <is>
          <t>Un contenedor con materia prima alimentaria llega al puerto de Cartagena con el certificado sanitario del país de origen incompleto y con registros de temperatura interrumpidos durante el trayecto. El importador insiste en nacionalizar hoy para cumplir un contrato.</t>
        </is>
      </c>
      <c r="G290" s="22" t="inlineStr">
        <is>
          <t>El procedimiento sanitario vigente para importación y exportación de alimentos está en</t>
        </is>
      </c>
      <c r="H290" s="22" t="inlineStr">
        <is>
          <t>El Decreto 539 de 2014</t>
        </is>
      </c>
      <c r="I290" s="22" t="inlineStr">
        <is>
          <t>El Decreto 2478 de 2018</t>
        </is>
      </c>
      <c r="J290" s="22" t="inlineStr">
        <is>
          <t>La Resolución 5109 de 2005</t>
        </is>
      </c>
      <c r="K290" s="22" t="inlineStr">
        <is>
          <t>B</t>
        </is>
      </c>
      <c r="L290" s="22" t="inlineStr">
        <is>
          <t>El Decreto 2478 de 2018 derogó el Decreto 539 de 2014 y regula estos procedimientos.</t>
        </is>
      </c>
      <c r="M290" s="22" t="inlineStr">
        <is>
          <t>El Decreto 539 de 2014 fue derogado; la Resolución 5109 de 2005 regula rotulado, no importación.</t>
        </is>
      </c>
      <c r="N290" s="22" t="inlineStr">
        <is>
          <t>Decreto 2478 de 2018, arts. 3 y 6</t>
        </is>
      </c>
      <c r="O290" s="22" t="inlineStr">
        <is>
          <t>SI</t>
        </is>
      </c>
      <c r="P290" s="16" t="inlineStr">
        <is>
          <t>Media</t>
        </is>
      </c>
      <c r="Q290" s="16" t="inlineStr">
        <is>
          <t>v2</t>
        </is>
      </c>
      <c r="R290" s="16" t="inlineStr">
        <is>
          <t>Específico</t>
        </is>
      </c>
    </row>
    <row r="291" ht="34.5" customHeight="1" s="12">
      <c r="A291" s="22" t="inlineStr">
        <is>
          <t>F097-2</t>
        </is>
      </c>
      <c r="B291" s="22" t="inlineStr">
        <is>
          <t>invima</t>
        </is>
      </c>
      <c r="C291" s="22" t="inlineStr">
        <is>
          <t>Importaciones y puntos de entrada</t>
        </is>
      </c>
      <c r="D291" s="22" t="inlineStr">
        <is>
          <t>C097</t>
        </is>
      </c>
      <c r="E291" s="22" t="inlineStr">
        <is>
          <t>Certificado de inspección sanitaria</t>
        </is>
      </c>
      <c r="F291" s="22" t="inlineStr">
        <is>
          <t>Un contenedor con materia prima alimentaria llega al puerto de Cartagena con el certificado sanitario del país de origen incompleto y con registros de temperatura interrumpidos durante el trayecto. El importador insiste en nacionalizar hoy para cumplir un contrato.</t>
        </is>
      </c>
      <c r="G291" s="22" t="inlineStr">
        <is>
          <t>El Certificado de Inspección Sanitaria (CIS) es el documento que</t>
        </is>
      </c>
      <c r="H291" s="22" t="inlineStr">
        <is>
          <t>Expide la DIAN para liquidar los aranceles de la mercancía</t>
        </is>
      </c>
      <c r="I291" s="22" t="inlineStr">
        <is>
          <t>Expide el exportador para respaldar la calidad del producto</t>
        </is>
      </c>
      <c r="J291" s="22" t="inlineStr">
        <is>
          <t>Expide el Invima para acreditar la inocuidad del alimento</t>
        </is>
      </c>
      <c r="K291" s="22" t="inlineStr">
        <is>
          <t>C</t>
        </is>
      </c>
      <c r="L291" s="22" t="inlineStr">
        <is>
          <t>Así lo define el Decreto 2478 de 2018.</t>
        </is>
      </c>
      <c r="M291" s="22" t="inlineStr">
        <is>
          <t>La DIAN liquida tributos aduaneros; un certificado del exportador proviene del interesado y no acredita inocuidad ante la autoridad nacional.</t>
        </is>
      </c>
      <c r="N291" s="22" t="inlineStr">
        <is>
          <t>Decreto 2478 de 2018, arts. 3 y 6</t>
        </is>
      </c>
      <c r="O291" s="22" t="inlineStr">
        <is>
          <t>SI</t>
        </is>
      </c>
      <c r="P291" s="16" t="inlineStr">
        <is>
          <t>Media</t>
        </is>
      </c>
      <c r="Q291" s="16" t="inlineStr">
        <is>
          <t>v2</t>
        </is>
      </c>
      <c r="R291" s="16" t="inlineStr">
        <is>
          <t>Específico</t>
        </is>
      </c>
    </row>
    <row r="292" ht="23.25" customHeight="1" s="12">
      <c r="A292" s="22" t="inlineStr">
        <is>
          <t>F097-3</t>
        </is>
      </c>
      <c r="B292" s="22" t="inlineStr">
        <is>
          <t>invima</t>
        </is>
      </c>
      <c r="C292" s="22" t="inlineStr">
        <is>
          <t>Importaciones y puntos de entrada</t>
        </is>
      </c>
      <c r="D292" s="22" t="inlineStr">
        <is>
          <t>C097</t>
        </is>
      </c>
      <c r="E292" s="22" t="inlineStr">
        <is>
          <t>Certificado de inspección sanitaria</t>
        </is>
      </c>
      <c r="F292" s="22" t="inlineStr">
        <is>
          <t>Un contenedor con materia prima alimentaria llega al puerto de Cartagena con el certificado sanitario del país de origen incompleto y con registros de temperatura interrumpidos durante el trayecto. El importador insiste en nacionalizar hoy para cumplir un contrato.</t>
        </is>
      </c>
      <c r="G292" s="22" t="inlineStr">
        <is>
          <t>Para expedir el CIS, el Invima verifica, entre otros,</t>
        </is>
      </c>
      <c r="H292" s="22" t="inlineStr">
        <is>
          <t>El precio de compra y el peso declarado en la factura</t>
        </is>
      </c>
      <c r="I292" s="22" t="inlineStr">
        <is>
          <t>El certificado sanitario de origen y la trazabilidad del lote</t>
        </is>
      </c>
      <c r="J292" s="22" t="inlineStr">
        <is>
          <t>La marca del contenedor y la ruta seguida por el buque</t>
        </is>
      </c>
      <c r="K292" s="22" t="inlineStr">
        <is>
          <t>B</t>
        </is>
      </c>
      <c r="L292" s="22" t="inlineStr">
        <is>
          <t>El artículo 6 del Decreto 2478 de 2018 describe el procedimiento.</t>
        </is>
      </c>
      <c r="M292" s="22" t="inlineStr">
        <is>
          <t>El precio y el peso son datos comerciales; la marca del contenedor y la ruta del buque no dicen nada sobre la inocuidad del alimento.</t>
        </is>
      </c>
      <c r="N292" s="22" t="inlineStr">
        <is>
          <t>Decreto 2478 de 2018, arts. 3 y 6</t>
        </is>
      </c>
      <c r="O292" s="22" t="inlineStr">
        <is>
          <t>SI</t>
        </is>
      </c>
      <c r="P292" s="16" t="inlineStr">
        <is>
          <t>Media</t>
        </is>
      </c>
      <c r="Q292" s="16" t="inlineStr">
        <is>
          <t>v2</t>
        </is>
      </c>
      <c r="R292" s="16" t="inlineStr">
        <is>
          <t>Específico</t>
        </is>
      </c>
    </row>
    <row r="293" ht="23.25" customHeight="1" s="12">
      <c r="A293" s="22" t="inlineStr">
        <is>
          <t>F098-1</t>
        </is>
      </c>
      <c r="B293" s="22" t="inlineStr">
        <is>
          <t>invima</t>
        </is>
      </c>
      <c r="C293" s="22" t="inlineStr">
        <is>
          <t>Bebidas alcohólicas</t>
        </is>
      </c>
      <c r="D293" s="22" t="inlineStr">
        <is>
          <t>C098</t>
        </is>
      </c>
      <c r="E293" s="22" t="inlineStr">
        <is>
          <t>Destilería artesanal que quiere crecer</t>
        </is>
      </c>
      <c r="F293" s="22" t="inlineStr">
        <is>
          <t>Una destilería artesanal del Huila quiere vender su aguardiente en tiendas de tres departamentos. Pregunta cuánto dura su registro, qué pasa si vence y por qué su vecino fue sancionado por vender sin él.</t>
        </is>
      </c>
      <c r="G293" s="22" t="inlineStr">
        <is>
          <t>El registro sanitario de bebidas alcohólicas tiene una vigencia de</t>
        </is>
      </c>
      <c r="H293" s="22" t="inlineStr">
        <is>
          <t>Diez (10) años</t>
        </is>
      </c>
      <c r="I293" s="22" t="inlineStr">
        <is>
          <t>Cinco (5) años</t>
        </is>
      </c>
      <c r="J293" s="22" t="inlineStr">
        <is>
          <t>Indefinida</t>
        </is>
      </c>
      <c r="K293" s="22" t="inlineStr">
        <is>
          <t>A</t>
        </is>
      </c>
      <c r="L293" s="22" t="inlineStr">
        <is>
          <t>Diez (10) años desde la ejecutoria del acto, renovables por un período igual. Decreto 1686 de 2012, artículo 59.</t>
        </is>
      </c>
      <c r="M293" s="22" t="inlineStr">
        <is>
          <t>Cinco años corresponde a alimentos; la vigencia indefinida aplica hoy a medicamentos, no a bebidas alcohólicas.</t>
        </is>
      </c>
      <c r="N293" s="22" t="inlineStr">
        <is>
          <t>Decreto 1686 de 2012, art. 59</t>
        </is>
      </c>
      <c r="O293" s="22" t="inlineStr">
        <is>
          <t>SI</t>
        </is>
      </c>
      <c r="P293" s="16" t="inlineStr">
        <is>
          <t>Basica</t>
        </is>
      </c>
      <c r="Q293" s="16" t="inlineStr">
        <is>
          <t>v2</t>
        </is>
      </c>
      <c r="R293" s="16" t="inlineStr">
        <is>
          <t>Específico</t>
        </is>
      </c>
    </row>
    <row r="294" ht="23.25" customHeight="1" s="12">
      <c r="A294" s="22" t="inlineStr">
        <is>
          <t>F098-2</t>
        </is>
      </c>
      <c r="B294" s="22" t="inlineStr">
        <is>
          <t>invima</t>
        </is>
      </c>
      <c r="C294" s="22" t="inlineStr">
        <is>
          <t>Bebidas alcohólicas</t>
        </is>
      </c>
      <c r="D294" s="22" t="inlineStr">
        <is>
          <t>C098</t>
        </is>
      </c>
      <c r="E294" s="22" t="inlineStr">
        <is>
          <t>Destilería artesanal que quiere crecer</t>
        </is>
      </c>
      <c r="F294" s="22" t="inlineStr">
        <is>
          <t>Una destilería artesanal del Huila quiere vender su aguardiente en tiendas de tres departamentos. Pregunta cuánto dura su registro, qué pasa si vence y por qué su vecino fue sancionado por vender sin él.</t>
        </is>
      </c>
      <c r="G294" s="22" t="inlineStr">
        <is>
          <t>Una bebida alcohólica que no posee registro sanitario se considera</t>
        </is>
      </c>
      <c r="H294" s="22" t="inlineStr">
        <is>
          <t>Artesanal permitida</t>
        </is>
      </c>
      <c r="I294" s="22" t="inlineStr">
        <is>
          <t>Fraudulenta</t>
        </is>
      </c>
      <c r="J294" s="22" t="inlineStr">
        <is>
          <t>Alterada</t>
        </is>
      </c>
      <c r="K294" s="22" t="inlineStr">
        <is>
          <t>B</t>
        </is>
      </c>
      <c r="L294" s="22" t="inlineStr">
        <is>
          <t>La bebida sin registro sanitario se considera fraudulenta. Decreto 1686 de 2012, artículo 3, definición de bebida alcohólica fraudulenta.</t>
        </is>
      </c>
      <c r="M294" s="22" t="inlineStr">
        <is>
          <t>Llamarla artesanal permitida legaliza lo que no tiene registro; alterada se refiere a la degradación del producto, no a la falta de registro.</t>
        </is>
      </c>
      <c r="N294" s="22" t="inlineStr">
        <is>
          <t>Decreto 1686 de 2012, art. 3</t>
        </is>
      </c>
      <c r="O294" s="22" t="inlineStr">
        <is>
          <t>SI</t>
        </is>
      </c>
      <c r="P294" s="16" t="inlineStr">
        <is>
          <t>Basica</t>
        </is>
      </c>
      <c r="Q294" s="16" t="inlineStr">
        <is>
          <t>v2</t>
        </is>
      </c>
      <c r="R294" s="16" t="inlineStr">
        <is>
          <t>Específico</t>
        </is>
      </c>
    </row>
    <row r="295" ht="34.5" customHeight="1" s="12">
      <c r="A295" s="22" t="inlineStr">
        <is>
          <t>F098-3</t>
        </is>
      </c>
      <c r="B295" s="22" t="inlineStr">
        <is>
          <t>invima</t>
        </is>
      </c>
      <c r="C295" s="22" t="inlineStr">
        <is>
          <t>Bebidas alcohólicas</t>
        </is>
      </c>
      <c r="D295" s="22" t="inlineStr">
        <is>
          <t>C098</t>
        </is>
      </c>
      <c r="E295" s="22" t="inlineStr">
        <is>
          <t>Destilería artesanal que quiere crecer</t>
        </is>
      </c>
      <c r="F295" s="22" t="inlineStr">
        <is>
          <t>Una destilería artesanal del Huila quiere vender su aguardiente en tiendas de tres departamentos. Pregunta cuánto dura su registro, qué pasa si vence y por qué su vecino fue sancionado por vender sin él.</t>
        </is>
      </c>
      <c r="G295" s="22" t="inlineStr">
        <is>
          <t>Una bebida que sufre degradación de sus constituyentes por agentes físicos, químicos o biológicos se considera</t>
        </is>
      </c>
      <c r="H295" s="22" t="inlineStr">
        <is>
          <t>Falsificada</t>
        </is>
      </c>
      <c r="I295" s="22" t="inlineStr">
        <is>
          <t>Fraudulenta</t>
        </is>
      </c>
      <c r="J295" s="22" t="inlineStr">
        <is>
          <t>Alterada</t>
        </is>
      </c>
      <c r="K295" s="22" t="inlineStr">
        <is>
          <t>C</t>
        </is>
      </c>
      <c r="L295" s="22" t="inlineStr">
        <is>
          <t>La degradación de los constituyentes propios por agentes físicos, químicos o biológicos configura alteración. Decreto 1686 de 2012, artículo 3.</t>
        </is>
      </c>
      <c r="M295" s="22" t="inlineStr">
        <is>
          <t>Falsificada alude a la imitación de marca o producto; fraudulenta, a la falta de registro o al engaño sobre su origen.</t>
        </is>
      </c>
      <c r="N295" s="22" t="inlineStr">
        <is>
          <t>Decreto 1686 de 2012, art. 3</t>
        </is>
      </c>
      <c r="O295" s="22" t="inlineStr">
        <is>
          <t>SI</t>
        </is>
      </c>
      <c r="P295" s="16" t="inlineStr">
        <is>
          <t>Basica</t>
        </is>
      </c>
      <c r="Q295" s="16" t="inlineStr">
        <is>
          <t>v2</t>
        </is>
      </c>
      <c r="R295" s="16" t="inlineStr">
        <is>
          <t>Específico</t>
        </is>
      </c>
    </row>
    <row r="296" ht="23.25" customHeight="1" s="12">
      <c r="A296" s="22" t="inlineStr">
        <is>
          <t>F099-1</t>
        </is>
      </c>
      <c r="B296" s="22" t="inlineStr">
        <is>
          <t>invima</t>
        </is>
      </c>
      <c r="C296" s="22" t="inlineStr">
        <is>
          <t>Bebidas alcohólicas</t>
        </is>
      </c>
      <c r="D296" s="22" t="inlineStr">
        <is>
          <t>C099</t>
        </is>
      </c>
      <c r="E296" s="22" t="inlineStr">
        <is>
          <t>Expendio con producto vencido</t>
        </is>
      </c>
      <c r="F296" s="22" t="inlineStr">
        <is>
          <t>En un bar del centro se hallan botellas de aguardiente con fecha de vencimiento expirada y rótulos que atribuyen un origen falso. El propietario alega que la vigilancia de su establecimiento corresponde a la secretaría de salud y no al Invima.</t>
        </is>
      </c>
      <c r="G296" s="22" t="inlineStr">
        <is>
          <t>La IVC del expendio, almacenamiento, distribución y transporte de bebidas alcohólicas corresponde a</t>
        </is>
      </c>
      <c r="H296" s="22" t="inlineStr">
        <is>
          <t>Las direcciones territoriales de salud</t>
        </is>
      </c>
      <c r="I296" s="22" t="inlineStr">
        <is>
          <t>El Invima de forma exclusiva</t>
        </is>
      </c>
      <c r="J296" s="22" t="inlineStr">
        <is>
          <t>La DIAN</t>
        </is>
      </c>
      <c r="K296" s="22" t="inlineStr">
        <is>
          <t>A</t>
        </is>
      </c>
      <c r="L296" s="22" t="inlineStr">
        <is>
          <t>El expendio, almacenamiento, distribución y transporte los vigilan las direcciones territoriales de salud. Decreto 1686 de 2012, artículo 6; Ley 1122 de 2007, artículo 34.</t>
        </is>
      </c>
      <c r="M296" s="22" t="inlineStr">
        <is>
          <t>El Invima vigila fabricación e importación; la DIAN controla tributos y aduanas, no la sanidad del expendio.</t>
        </is>
      </c>
      <c r="N296" s="22" t="inlineStr">
        <is>
          <t>Decreto 1686 de 2012, art. 6; Ley 1122 de 2007, art. 34</t>
        </is>
      </c>
      <c r="O296" s="22" t="inlineStr">
        <is>
          <t>SI</t>
        </is>
      </c>
      <c r="P296" s="16" t="inlineStr">
        <is>
          <t>Basica</t>
        </is>
      </c>
      <c r="Q296" s="16" t="inlineStr">
        <is>
          <t>v2</t>
        </is>
      </c>
      <c r="R296" s="16" t="inlineStr">
        <is>
          <t>Específico</t>
        </is>
      </c>
    </row>
    <row r="297" ht="23.25" customHeight="1" s="12">
      <c r="A297" s="22" t="inlineStr">
        <is>
          <t>F099-2</t>
        </is>
      </c>
      <c r="B297" s="22" t="inlineStr">
        <is>
          <t>invima</t>
        </is>
      </c>
      <c r="C297" s="22" t="inlineStr">
        <is>
          <t>Bebidas alcohólicas</t>
        </is>
      </c>
      <c r="D297" s="22" t="inlineStr">
        <is>
          <t>C099</t>
        </is>
      </c>
      <c r="E297" s="22" t="inlineStr">
        <is>
          <t>Expendio con producto vencido</t>
        </is>
      </c>
      <c r="F297" s="22" t="inlineStr">
        <is>
          <t>En un bar del centro se hallan botellas de aguardiente con fecha de vencimiento expirada y rótulos que atribuyen un origen falso. El propietario alega que la vigilancia de su establecimiento corresponde a la secretaría de salud y no al Invima.</t>
        </is>
      </c>
      <c r="G297" s="22" t="inlineStr">
        <is>
          <t>Comercializar una bebida que requiere fecha de vencimiento cuando esta ya expiró la hace</t>
        </is>
      </c>
      <c r="H297" s="22" t="inlineStr">
        <is>
          <t>Fraudulenta</t>
        </is>
      </c>
      <c r="I297" s="22" t="inlineStr">
        <is>
          <t>Alterada</t>
        </is>
      </c>
      <c r="J297" s="22" t="inlineStr">
        <is>
          <t>Válida si está sellada</t>
        </is>
      </c>
      <c r="K297" s="22" t="inlineStr">
        <is>
          <t>A</t>
        </is>
      </c>
      <c r="L297" s="22" t="inlineStr">
        <is>
          <t>Comercializar el producto con la fecha de vencimiento expirada o con origen falso lo hace fraudulento. Decreto 1686 de 2012, artículo 3.</t>
        </is>
      </c>
      <c r="M297" s="22" t="inlineStr">
        <is>
          <t>Llamarla alterada supone degradación del contenido; sostener que es válida por estar sellada ignora que el vencimiento ya expiró.</t>
        </is>
      </c>
      <c r="N297" s="22" t="inlineStr">
        <is>
          <t>Decreto 1686 de 2012, art. 3</t>
        </is>
      </c>
      <c r="O297" s="22" t="inlineStr">
        <is>
          <t>SI</t>
        </is>
      </c>
      <c r="P297" s="16" t="inlineStr">
        <is>
          <t>Basica</t>
        </is>
      </c>
      <c r="Q297" s="16" t="inlineStr">
        <is>
          <t>v2</t>
        </is>
      </c>
      <c r="R297" s="16" t="inlineStr">
        <is>
          <t>Específico</t>
        </is>
      </c>
    </row>
    <row r="298" ht="34.5" customHeight="1" s="12">
      <c r="A298" s="22" t="inlineStr">
        <is>
          <t>F099-3</t>
        </is>
      </c>
      <c r="B298" s="22" t="inlineStr">
        <is>
          <t>invima</t>
        </is>
      </c>
      <c r="C298" s="22" t="inlineStr">
        <is>
          <t>Bebidas alcohólicas</t>
        </is>
      </c>
      <c r="D298" s="22" t="inlineStr">
        <is>
          <t>C099</t>
        </is>
      </c>
      <c r="E298" s="22" t="inlineStr">
        <is>
          <t>Expendio con producto vencido</t>
        </is>
      </c>
      <c r="F298" s="22" t="inlineStr">
        <is>
          <t>En un bar del centro se hallan botellas de aguardiente con fecha de vencimiento expirada y rótulos que atribuyen un origen falso. El propietario alega que la vigilancia de su establecimiento corresponde a la secretaría de salud y no al Invima.</t>
        </is>
      </c>
      <c r="G298" s="22" t="inlineStr">
        <is>
          <t>Ante el incumplimiento, las autoridades sanitarias aplican medidas sanitarias y sanciones con fundamento en</t>
        </is>
      </c>
      <c r="H298" s="22" t="inlineStr">
        <is>
          <t>El Código Nacional de Policía y Convivencia</t>
        </is>
      </c>
      <c r="I298" s="22" t="inlineStr">
        <is>
          <t>La Ley 1480 de 2011, Estatuto del Consumidor</t>
        </is>
      </c>
      <c r="J298" s="22" t="inlineStr">
        <is>
          <t>Los artículos 576 y siguientes de la Ley 9 de 1979</t>
        </is>
      </c>
      <c r="K298" s="22" t="inlineStr">
        <is>
          <t>C</t>
        </is>
      </c>
      <c r="L298" s="22" t="inlineStr">
        <is>
          <t>El Decreto 1686 de 2012 remite a la Ley 9 de 1979.</t>
        </is>
      </c>
      <c r="M298" s="22" t="inlineStr">
        <is>
          <t>El Código Nacional de Policía regula la convivencia, no las medidas sanitarias; el Estatuto del Consumidor protege frente al engaño comercial, pero no es la base de la actuación sanitaria.</t>
        </is>
      </c>
      <c r="N298" s="22" t="inlineStr">
        <is>
          <t>Decreto 1686 de 2012, art. 3; Ley 1122 de 2007, art. 34</t>
        </is>
      </c>
      <c r="O298" s="22" t="inlineStr">
        <is>
          <t>SI</t>
        </is>
      </c>
      <c r="P298" s="16" t="inlineStr">
        <is>
          <t>Basica</t>
        </is>
      </c>
      <c r="Q298" s="16" t="inlineStr">
        <is>
          <t>v2</t>
        </is>
      </c>
      <c r="R298" s="16" t="inlineStr">
        <is>
          <t>Específico</t>
        </is>
      </c>
    </row>
    <row r="299" ht="23.25" customHeight="1" s="12">
      <c r="A299" s="22" t="inlineStr">
        <is>
          <t>F100-1</t>
        </is>
      </c>
      <c r="B299" s="22" t="inlineStr">
        <is>
          <t>invima</t>
        </is>
      </c>
      <c r="C299" s="22" t="inlineStr">
        <is>
          <t>Inspección, vigilancia y control sanitario</t>
        </is>
      </c>
      <c r="D299" s="22" t="inlineStr">
        <is>
          <t>C100</t>
        </is>
      </c>
      <c r="E299" s="22" t="inlineStr">
        <is>
          <t>Operativo contra el contrabando</t>
        </is>
      </c>
      <c r="F299" s="22" t="inlineStr">
        <is>
          <t>Se conforma un grupo interinstitucional para atacar el contrabando de medicamentos en la frontera. Participan policía, aduana y la entidad, y en el primer operativo aparecen 4.000 unidades sin registro.</t>
        </is>
      </c>
      <c r="G299" s="22" t="inlineStr">
        <is>
          <t>La participación del Invima en estos grupos se hace, entre otras, a través de</t>
        </is>
      </c>
      <c r="H299" s="22" t="inlineStr">
        <is>
          <t>La Oficina de Control Interno de la entidad</t>
        </is>
      </c>
      <c r="I299" s="22" t="inlineStr">
        <is>
          <t>Las unidades de reacción inmediata de Operaciones Sanitarias</t>
        </is>
      </c>
      <c r="J299" s="22" t="inlineStr">
        <is>
          <t>La Comisión de Personal, que designa a los inspectores</t>
        </is>
      </c>
      <c r="K299" s="22" t="inlineStr">
        <is>
          <t>B</t>
        </is>
      </c>
      <c r="L299" s="22" t="inlineStr">
        <is>
          <t>Los operativos conjuntos se apoyan en las funciones de inspección, vigilancia y control del Invima y en la coordinación interinstitucional. Decreto 2078 de 2012, artículos 4 y 23.</t>
        </is>
      </c>
      <c r="M299" s="22" t="inlineStr">
        <is>
          <t>Control Interno evalúa el sistema y no participa en operativos; la Comisión de Personal atiende asuntos de carrera administrativa.</t>
        </is>
      </c>
      <c r="N299" s="22" t="inlineStr">
        <is>
          <t>Decreto 2078 de 2012, arts. 4 y 23</t>
        </is>
      </c>
      <c r="O299" s="22" t="inlineStr">
        <is>
          <t>SI</t>
        </is>
      </c>
      <c r="P299" s="16" t="inlineStr">
        <is>
          <t>Media</t>
        </is>
      </c>
      <c r="Q299" s="16" t="inlineStr">
        <is>
          <t>v2</t>
        </is>
      </c>
      <c r="R299" s="16" t="inlineStr">
        <is>
          <t>Específico</t>
        </is>
      </c>
    </row>
    <row r="300" ht="23.25" customHeight="1" s="12">
      <c r="A300" s="22" t="inlineStr">
        <is>
          <t>F100-2</t>
        </is>
      </c>
      <c r="B300" s="22" t="inlineStr">
        <is>
          <t>invima</t>
        </is>
      </c>
      <c r="C300" s="22" t="inlineStr">
        <is>
          <t>Inspección, vigilancia y control sanitario</t>
        </is>
      </c>
      <c r="D300" s="22" t="inlineStr">
        <is>
          <t>C100</t>
        </is>
      </c>
      <c r="E300" s="22" t="inlineStr">
        <is>
          <t>Operativo contra el contrabando</t>
        </is>
      </c>
      <c r="F300" s="22" t="inlineStr">
        <is>
          <t>Se conforma un grupo interinstitucional para atacar el contrabando de medicamentos en la frontera. Participan policía, aduana y la entidad, y en el primer operativo aparecen 4.000 unidades sin registro.</t>
        </is>
      </c>
      <c r="G300" s="22" t="inlineStr">
        <is>
          <t>La coordinación con entidades nacionales y territoriales para culminar la IVC es función de</t>
        </is>
      </c>
      <c r="H300" s="22" t="inlineStr">
        <is>
          <t>La Oficina Asesora Jurídica, que suscribe los convenios con otras entidades</t>
        </is>
      </c>
      <c r="I300" s="22" t="inlineStr">
        <is>
          <t>La Secretaría General, que coordina las relaciones interinstitucionales</t>
        </is>
      </c>
      <c r="J300" s="22" t="inlineStr">
        <is>
          <t>La Dirección de Operaciones Sanitarias</t>
        </is>
      </c>
      <c r="K300" s="22" t="inlineStr">
        <is>
          <t>C</t>
        </is>
      </c>
      <c r="L300" s="22" t="inlineStr">
        <is>
          <t>La coordinación operativa en territorio está a cargo de la Dirección de Operaciones Sanitarias. Decreto 2078 de 2012, artículo 23.</t>
        </is>
      </c>
      <c r="M300" s="22" t="inlineStr">
        <is>
          <t>La Oficina Jurídica conceptúa y representa judicialmente; la Secretaría General apoya la gestión administrativa.</t>
        </is>
      </c>
      <c r="N300" s="22" t="inlineStr">
        <is>
          <t>Decreto 2078 de 2012, art. 23</t>
        </is>
      </c>
      <c r="O300" s="22" t="inlineStr">
        <is>
          <t>SI</t>
        </is>
      </c>
      <c r="P300" s="16" t="inlineStr">
        <is>
          <t>Media</t>
        </is>
      </c>
      <c r="Q300" s="16" t="inlineStr">
        <is>
          <t>v2</t>
        </is>
      </c>
      <c r="R300" s="16" t="inlineStr">
        <is>
          <t>Específico</t>
        </is>
      </c>
    </row>
    <row r="301" ht="34.5" customHeight="1" s="12">
      <c r="A301" s="22" t="inlineStr">
        <is>
          <t>F100-3</t>
        </is>
      </c>
      <c r="B301" s="22" t="inlineStr">
        <is>
          <t>invima</t>
        </is>
      </c>
      <c r="C301" s="22" t="inlineStr">
        <is>
          <t>Inspección, vigilancia y control sanitario</t>
        </is>
      </c>
      <c r="D301" s="22" t="inlineStr">
        <is>
          <t>C100</t>
        </is>
      </c>
      <c r="E301" s="22" t="inlineStr">
        <is>
          <t>Operativo contra el contrabando</t>
        </is>
      </c>
      <c r="F301" s="22" t="inlineStr">
        <is>
          <t>Se conforma un grupo interinstitucional para atacar el contrabando de medicamentos en la frontera. Participan policía, aduana y la entidad, y en el primer operativo aparecen 4.000 unidades sin registro.</t>
        </is>
      </c>
      <c r="G301" s="22" t="inlineStr">
        <is>
          <t>En el operativo, el hallazgo de productos ilegales debe</t>
        </is>
      </c>
      <c r="H301" s="22" t="inlineStr">
        <is>
          <t>Informarse al tenedor y devolverse si el producto parece en buen estado</t>
        </is>
      </c>
      <c r="I301" s="22" t="inlineStr">
        <is>
          <t>Documentarse en acta y comunicarse a las autoridades del caso</t>
        </is>
      </c>
      <c r="J301" s="22" t="inlineStr">
        <is>
          <t>Entregarse a la comunidad cuando el producto esté en buen estado</t>
        </is>
      </c>
      <c r="K301" s="22" t="inlineStr">
        <is>
          <t>B</t>
        </is>
      </c>
      <c r="L301" s="22" t="inlineStr">
        <is>
          <t>El hallazgo se documenta en acta y se comunica a las autoridades competentes. Decreto 2078 de 2012, artículo 23; Ley 9 de 1979, artículos 576 y 578.</t>
        </is>
      </c>
      <c r="M301" s="22" t="inlineStr">
        <is>
          <t>Una advertencia verbal deja el hallazgo sin soporte; entregar el producto a la comunidad pone en circulación mercancía sin control sanitario.</t>
        </is>
      </c>
      <c r="N301" s="22" t="inlineStr">
        <is>
          <t>Decreto 2078 de 2012, art. 23; Ley 9 de 1979, arts. 576 y 578</t>
        </is>
      </c>
      <c r="O301" s="22" t="inlineStr">
        <is>
          <t>SI</t>
        </is>
      </c>
      <c r="P301" s="16" t="inlineStr">
        <is>
          <t>Media</t>
        </is>
      </c>
      <c r="Q301" s="16" t="inlineStr">
        <is>
          <t>v2</t>
        </is>
      </c>
      <c r="R301" s="16" t="inlineStr">
        <is>
          <t>Específico</t>
        </is>
      </c>
    </row>
    <row r="302" ht="23.25" customHeight="1" s="12">
      <c r="A302" s="22" t="inlineStr">
        <is>
          <t>F101-1</t>
        </is>
      </c>
      <c r="B302" s="22" t="inlineStr">
        <is>
          <t>fne</t>
        </is>
      </c>
      <c r="C302" s="22" t="inlineStr">
        <is>
          <t>Naturaleza y funciones del FNE</t>
        </is>
      </c>
      <c r="D302" s="22" t="inlineStr">
        <is>
          <t>C101</t>
        </is>
      </c>
      <c r="E302" s="22" t="inlineStr">
        <is>
          <t>Qué es el Fondo Nacional de Estupefacientes</t>
        </is>
      </c>
      <c r="F302" s="22" t="inlineStr">
        <is>
          <t>Un periodista pregunta si el Fondo Nacional de Estupefacientes es una entidad independiente, de quién depende dentro del Ministerio y desde cuándo existe, porque cree que se creó con la Ley 30 de 1986.</t>
        </is>
      </c>
      <c r="G302" s="22" t="inlineStr">
        <is>
          <t>El Fondo Nacional de Estupefacientes es</t>
        </is>
      </c>
      <c r="H302" s="22" t="inlineStr">
        <is>
          <t>Un establecimiento público adscrito al Ministerio de Salud</t>
        </is>
      </c>
      <c r="I302" s="22" t="inlineStr">
        <is>
          <t>Una unidad administrativa especial del Ministerio de Salud</t>
        </is>
      </c>
      <c r="J302" s="22" t="inlineStr">
        <is>
          <t>Una dependencia de la Dirección de Antinarcóticos</t>
        </is>
      </c>
      <c r="K302" s="22" t="inlineStr">
        <is>
          <t>B</t>
        </is>
      </c>
      <c r="L302" s="22" t="inlineStr">
        <is>
          <t>El Decreto 4107 de 2011 lo mantiene como UAE del Ministerio de Salud.</t>
        </is>
      </c>
      <c r="M302" s="22" t="inlineStr">
        <is>
          <t>El establecimiento público es la forma del Invima; la Dirección de Antinarcóticos es de la Policía y cumple funciones de otra naturaleza.</t>
        </is>
      </c>
      <c r="N302" s="22" t="inlineStr">
        <is>
          <t>Decreto 4107 de 2011, art. 26; Ley 36 de 1939</t>
        </is>
      </c>
      <c r="O302" s="22" t="inlineStr">
        <is>
          <t>SI</t>
        </is>
      </c>
      <c r="P302" s="16" t="inlineStr">
        <is>
          <t>Basica</t>
        </is>
      </c>
      <c r="Q302" s="16" t="inlineStr">
        <is>
          <t>v2</t>
        </is>
      </c>
      <c r="R302" s="16" t="inlineStr">
        <is>
          <t>Específico</t>
        </is>
      </c>
    </row>
    <row r="303" ht="23.25" customHeight="1" s="12">
      <c r="A303" s="22" t="inlineStr">
        <is>
          <t>F101-2</t>
        </is>
      </c>
      <c r="B303" s="22" t="inlineStr">
        <is>
          <t>fne</t>
        </is>
      </c>
      <c r="C303" s="22" t="inlineStr">
        <is>
          <t>Naturaleza y funciones del FNE</t>
        </is>
      </c>
      <c r="D303" s="22" t="inlineStr">
        <is>
          <t>C101</t>
        </is>
      </c>
      <c r="E303" s="22" t="inlineStr">
        <is>
          <t>Qué es el Fondo Nacional de Estupefacientes</t>
        </is>
      </c>
      <c r="F303" s="22" t="inlineStr">
        <is>
          <t>Un periodista pregunta si el Fondo Nacional de Estupefacientes es una entidad independiente, de quién depende dentro del Ministerio y desde cuándo existe, porque cree que se creó con la Ley 30 de 1986.</t>
        </is>
      </c>
      <c r="G303" s="22" t="inlineStr">
        <is>
          <t>Dentro del Ministerio, el Fondo depende de</t>
        </is>
      </c>
      <c r="H303" s="22" t="inlineStr">
        <is>
          <t>La Dirección de Epidemiología y Demografía</t>
        </is>
      </c>
      <c r="I303" s="22" t="inlineStr">
        <is>
          <t>La Dirección de Medicamentos y Tecnologías en Salud</t>
        </is>
      </c>
      <c r="J303" s="22" t="inlineStr">
        <is>
          <t>La Secretaría General</t>
        </is>
      </c>
      <c r="K303" s="22" t="inlineStr">
        <is>
          <t>B</t>
        </is>
      </c>
      <c r="L303" s="22" t="inlineStr">
        <is>
          <t>El Decreto 4107 de 2011 lo ubica en esa dirección.</t>
        </is>
      </c>
      <c r="M303" s="22" t="inlineStr">
        <is>
          <t>Epidemiología y Demografía maneja información en salud pública; la Secretaría General presta apoyo administrativo al Ministerio.</t>
        </is>
      </c>
      <c r="N303" s="22" t="inlineStr">
        <is>
          <t>Decreto 4107 de 2011, art. 26; Ley 36 de 1939</t>
        </is>
      </c>
      <c r="O303" s="22" t="inlineStr">
        <is>
          <t>SI</t>
        </is>
      </c>
      <c r="P303" s="16" t="inlineStr">
        <is>
          <t>Basica</t>
        </is>
      </c>
      <c r="Q303" s="16" t="inlineStr">
        <is>
          <t>v2</t>
        </is>
      </c>
      <c r="R303" s="16" t="inlineStr">
        <is>
          <t>Específico</t>
        </is>
      </c>
    </row>
    <row r="304" ht="23.25" customHeight="1" s="12">
      <c r="A304" s="22" t="inlineStr">
        <is>
          <t>F101-3</t>
        </is>
      </c>
      <c r="B304" s="22" t="inlineStr">
        <is>
          <t>fne</t>
        </is>
      </c>
      <c r="C304" s="22" t="inlineStr">
        <is>
          <t>Naturaleza y funciones del FNE</t>
        </is>
      </c>
      <c r="D304" s="22" t="inlineStr">
        <is>
          <t>C101</t>
        </is>
      </c>
      <c r="E304" s="22" t="inlineStr">
        <is>
          <t>Qué es el Fondo Nacional de Estupefacientes</t>
        </is>
      </c>
      <c r="F304" s="22" t="inlineStr">
        <is>
          <t>Un periodista pregunta si el Fondo Nacional de Estupefacientes es una entidad independiente, de quién depende dentro del Ministerio y desde cuándo existe, porque cree que se creó con la Ley 30 de 1986.</t>
        </is>
      </c>
      <c r="G304" s="22" t="inlineStr">
        <is>
          <t>El Fondo tiene su origen en</t>
        </is>
      </c>
      <c r="H304" s="22" t="inlineStr">
        <is>
          <t>La Ley 36 de 1939</t>
        </is>
      </c>
      <c r="I304" s="22" t="inlineStr">
        <is>
          <t>La Ley 100 de 1993</t>
        </is>
      </c>
      <c r="J304" s="22" t="inlineStr">
        <is>
          <t>La Ley 1437 de 2011</t>
        </is>
      </c>
      <c r="K304" s="22" t="inlineStr">
        <is>
          <t>A</t>
        </is>
      </c>
      <c r="L304" s="22" t="inlineStr">
        <is>
          <t>El Decreto 4107 de 2011 menciona la Ley 36 de 1939 y el Decreto Ley 257 de 1969.</t>
        </is>
      </c>
      <c r="M304" s="22" t="inlineStr">
        <is>
          <t>La Ley 100 de 1993 creó el sistema de salud; la Ley 1437 de 2011 regula el procedimiento administrativo.</t>
        </is>
      </c>
      <c r="N304" s="22" t="inlineStr">
        <is>
          <t>Decreto 4107 de 2011, art. 26; Ley 36 de 1939</t>
        </is>
      </c>
      <c r="O304" s="22" t="inlineStr">
        <is>
          <t>SI</t>
        </is>
      </c>
      <c r="P304" s="16" t="inlineStr">
        <is>
          <t>Basica</t>
        </is>
      </c>
      <c r="Q304" s="16" t="inlineStr">
        <is>
          <t>v2</t>
        </is>
      </c>
      <c r="R304" s="16" t="inlineStr">
        <is>
          <t>Específico</t>
        </is>
      </c>
    </row>
    <row r="305" ht="45.75" customHeight="1" s="12">
      <c r="A305" s="22" t="inlineStr">
        <is>
          <t>F102-1</t>
        </is>
      </c>
      <c r="B305" s="22" t="inlineStr">
        <is>
          <t>fne</t>
        </is>
      </c>
      <c r="C305" s="22" t="inlineStr">
        <is>
          <t>Naturaleza y funciones del FNE</t>
        </is>
      </c>
      <c r="D305" s="22" t="inlineStr">
        <is>
          <t>C102</t>
        </is>
      </c>
      <c r="E305" s="22" t="inlineStr">
        <is>
          <t>Audiencia pública sobre el Fondo</t>
        </is>
      </c>
      <c r="F305" s="22" t="inlineStr">
        <is>
          <t>En una audiencia pública le piden explicar qué hace el Fondo, si fija precios de medicamentos y quién dicta las reglas que siguen los Fondos Rotatorios de los departamentos.</t>
        </is>
      </c>
      <c r="G305" s="22" t="inlineStr">
        <is>
          <t>El objeto del Fondo incluye</t>
        </is>
      </c>
      <c r="H305" s="22" t="inlineStr">
        <is>
          <t>Controlar el precio y la publicidad de todos los medicamentos del país</t>
        </is>
      </c>
      <c r="I305" s="22" t="inlineStr">
        <is>
          <t>Expedir el registro sanitario de los productos fiscalizados</t>
        </is>
      </c>
      <c r="J305" s="22" t="inlineStr">
        <is>
          <t>Vigilar la importación, distribución y venta de lo fiscalizado</t>
        </is>
      </c>
      <c r="K305" s="22" t="inlineStr">
        <is>
          <t>C</t>
        </is>
      </c>
      <c r="L305" s="22" t="inlineStr">
        <is>
          <t>El Fondo Nacional de Estupefacientes controla la importación, distribución y venta de los medicamentos monopolio del Estado. Decreto 4107 de 2011, artículo 26; Resolución 1478 de 2006, artículo 4.</t>
        </is>
      </c>
      <c r="M305" s="22" t="inlineStr">
        <is>
          <t>El control de precios lo ejerce la comisión nacional competente; los registros sanitarios los expide el Invima.</t>
        </is>
      </c>
      <c r="N305" s="22" t="inlineStr">
        <is>
          <t>Decreto 4107 de 2011, art. 26; Resolución 1478 de 2006, art. 4</t>
        </is>
      </c>
      <c r="O305" s="22" t="inlineStr">
        <is>
          <t>SI</t>
        </is>
      </c>
      <c r="P305" s="16" t="inlineStr">
        <is>
          <t>Media</t>
        </is>
      </c>
      <c r="Q305" s="16" t="inlineStr">
        <is>
          <t>v2</t>
        </is>
      </c>
      <c r="R305" s="16" t="inlineStr">
        <is>
          <t>Específico</t>
        </is>
      </c>
    </row>
    <row r="306" ht="23.25" customHeight="1" s="12">
      <c r="A306" s="22" t="inlineStr">
        <is>
          <t>F102-2</t>
        </is>
      </c>
      <c r="B306" s="22" t="inlineStr">
        <is>
          <t>fne</t>
        </is>
      </c>
      <c r="C306" s="22" t="inlineStr">
        <is>
          <t>Naturaleza y funciones del FNE</t>
        </is>
      </c>
      <c r="D306" s="22" t="inlineStr">
        <is>
          <t>C102</t>
        </is>
      </c>
      <c r="E306" s="22" t="inlineStr">
        <is>
          <t>Audiencia pública sobre el Fondo</t>
        </is>
      </c>
      <c r="F306" s="22" t="inlineStr">
        <is>
          <t>En una audiencia pública le piden explicar qué hace el Fondo, si fija precios de medicamentos y quién dicta las reglas que siguen los Fondos Rotatorios de los departamentos.</t>
        </is>
      </c>
      <c r="G306" s="22" t="inlineStr">
        <is>
          <t>Además, el Fondo debe</t>
        </is>
      </c>
      <c r="H306" s="22" t="inlineStr">
        <is>
          <t>Investigar penalmente las conductas de tráfico de sustancias</t>
        </is>
      </c>
      <c r="I306" s="22" t="inlineStr">
        <is>
          <t>Apoyar los programas de prevención de la farmacodependencia</t>
        </is>
      </c>
      <c r="J306" s="22" t="inlineStr">
        <is>
          <t>Otorgar las licencias de cultivo de plantas fiscalizadas</t>
        </is>
      </c>
      <c r="K306" s="22" t="inlineStr">
        <is>
          <t>B</t>
        </is>
      </c>
      <c r="L306" s="22" t="inlineStr">
        <is>
          <t>El Fondo apoya los programas de prevención y el acceso a los medicamentos de control especial. Decreto 4107 de 2011, artículo 26; Ley 30 de 1986, artículo 91.</t>
        </is>
      </c>
      <c r="M306" s="22" t="inlineStr">
        <is>
          <t>La investigación penal corresponde a la Fiscalía; las licencias de cultivo se tramitan ante otras autoridades del Gobierno.</t>
        </is>
      </c>
      <c r="N306" s="22" t="inlineStr">
        <is>
          <t>Decreto 4107 de 2011, art. 26; Ley 30 de 1986, art. 91</t>
        </is>
      </c>
      <c r="O306" s="22" t="inlineStr">
        <is>
          <t>SI</t>
        </is>
      </c>
      <c r="P306" s="16" t="inlineStr">
        <is>
          <t>Media</t>
        </is>
      </c>
      <c r="Q306" s="16" t="inlineStr">
        <is>
          <t>v2</t>
        </is>
      </c>
      <c r="R306" s="16" t="inlineStr">
        <is>
          <t>Específico</t>
        </is>
      </c>
    </row>
    <row r="307" ht="23.25" customHeight="1" s="12">
      <c r="A307" s="22" t="inlineStr">
        <is>
          <t>F102-3</t>
        </is>
      </c>
      <c r="B307" s="22" t="inlineStr">
        <is>
          <t>fne</t>
        </is>
      </c>
      <c r="C307" s="22" t="inlineStr">
        <is>
          <t>Naturaleza y funciones del FNE</t>
        </is>
      </c>
      <c r="D307" s="22" t="inlineStr">
        <is>
          <t>C102</t>
        </is>
      </c>
      <c r="E307" s="22" t="inlineStr">
        <is>
          <t>Audiencia pública sobre el Fondo</t>
        </is>
      </c>
      <c r="F307" s="22" t="inlineStr">
        <is>
          <t>En una audiencia pública le piden explicar qué hace el Fondo, si fija precios de medicamentos y quién dicta las reglas que siguen los Fondos Rotatorios de los departamentos.</t>
        </is>
      </c>
      <c r="G307" s="22" t="inlineStr">
        <is>
          <t>La competencia para dictar las normas que rigen a los Fondos Rotatorios de Estupefacientes la tiene</t>
        </is>
      </c>
      <c r="H307" s="22" t="inlineStr">
        <is>
          <t>Cada gobernador de forma autónoma</t>
        </is>
      </c>
      <c r="I307" s="22" t="inlineStr">
        <is>
          <t>El Invima</t>
        </is>
      </c>
      <c r="J307" s="22" t="inlineStr">
        <is>
          <t>El Fondo Nacional de Estupefacientes</t>
        </is>
      </c>
      <c r="K307" s="22" t="inlineStr">
        <is>
          <t>C</t>
        </is>
      </c>
      <c r="L307" s="22" t="inlineStr">
        <is>
          <t>Las reglas que siguen los Fondos Rotatorios las fija la Resolución 1478 de 2006, artículos 4 y 74.</t>
        </is>
      </c>
      <c r="M307" s="22" t="inlineStr">
        <is>
          <t>Dejarlo a cada gobernador rompería la unidad del control; el Invima regula productos, no la operación de los Fondos Rotatorios.</t>
        </is>
      </c>
      <c r="N307" s="22" t="inlineStr">
        <is>
          <t>Resolución 1478 de 2006, arts. 4 y 74</t>
        </is>
      </c>
      <c r="O307" s="22" t="inlineStr">
        <is>
          <t>SI</t>
        </is>
      </c>
      <c r="P307" s="16" t="inlineStr">
        <is>
          <t>Media</t>
        </is>
      </c>
      <c r="Q307" s="16" t="inlineStr">
        <is>
          <t>v2</t>
        </is>
      </c>
      <c r="R307" s="16" t="inlineStr">
        <is>
          <t>Específico</t>
        </is>
      </c>
    </row>
    <row r="308" ht="23.25" customHeight="1" s="12">
      <c r="A308" s="22" t="inlineStr">
        <is>
          <t>F103-1</t>
        </is>
      </c>
      <c r="B308" s="22" t="inlineStr">
        <is>
          <t>fne</t>
        </is>
      </c>
      <c r="C308" s="22" t="inlineStr">
        <is>
          <t>Medicamentos monopolio del Estado</t>
        </is>
      </c>
      <c r="D308" s="22" t="inlineStr">
        <is>
          <t>C103</t>
        </is>
      </c>
      <c r="E308" s="22" t="inlineStr">
        <is>
          <t>EPS que quiere licitar morfina</t>
        </is>
      </c>
      <c r="F308" s="22" t="inlineStr">
        <is>
          <t>Una EPS grande anuncia que abrirá su propia licitación para comprar morfina y distribuirla entre sus sedes de cuatro departamentos, porque dice que así baja costos y evita demoras.</t>
        </is>
      </c>
      <c r="G308" s="22" t="inlineStr">
        <is>
          <t>El monopolio del Estado sobre estas sustancias se entiende como</t>
        </is>
      </c>
      <c r="H308" s="22" t="inlineStr">
        <is>
          <t>La exclusividad para importar, adquirir y vender</t>
        </is>
      </c>
      <c r="I308" s="22" t="inlineStr">
        <is>
          <t>La prohibición total de su uso fuera de los hospitales de alta complejidad</t>
        </is>
      </c>
      <c r="J308" s="22" t="inlineStr">
        <is>
          <t>La fijación de precios máximos y de cupos de venta en el país</t>
        </is>
      </c>
      <c r="K308" s="22" t="inlineStr">
        <is>
          <t>A</t>
        </is>
      </c>
      <c r="L308" s="22" t="inlineStr">
        <is>
          <t>Así lo precisó la Corte Constitucional en la Sentencia C-697 de 2008, citada en la Resolución 315 de 2020.</t>
        </is>
      </c>
      <c r="M308" s="22" t="inlineStr">
        <is>
          <t>La prohibición total desconoce su uso médico legítimo; fijar precios máximos es una medida de regulación económica, no un monopolio.</t>
        </is>
      </c>
      <c r="N308" s="22" t="inlineStr">
        <is>
          <t>Resolución 1478 de 2006, art. 5; Corte Constitucional, C-697 de 2008</t>
        </is>
      </c>
      <c r="O308" s="22" t="inlineStr">
        <is>
          <t>SI</t>
        </is>
      </c>
      <c r="P308" s="16" t="inlineStr">
        <is>
          <t>Basica</t>
        </is>
      </c>
      <c r="Q308" s="16" t="inlineStr">
        <is>
          <t>v2</t>
        </is>
      </c>
      <c r="R308" s="16" t="inlineStr">
        <is>
          <t>Específico</t>
        </is>
      </c>
    </row>
    <row r="309" ht="23.25" customHeight="1" s="12">
      <c r="A309" s="22" t="inlineStr">
        <is>
          <t>F103-2</t>
        </is>
      </c>
      <c r="B309" s="22" t="inlineStr">
        <is>
          <t>fne</t>
        </is>
      </c>
      <c r="C309" s="22" t="inlineStr">
        <is>
          <t>Medicamentos monopolio del Estado</t>
        </is>
      </c>
      <c r="D309" s="22" t="inlineStr">
        <is>
          <t>C103</t>
        </is>
      </c>
      <c r="E309" s="22" t="inlineStr">
        <is>
          <t>EPS que quiere licitar morfina</t>
        </is>
      </c>
      <c r="F309" s="22" t="inlineStr">
        <is>
          <t>Una EPS grande anuncia que abrirá su propia licitación para comprar morfina y distribuirla entre sus sedes de cuatro departamentos, porque dice que así baja costos y evita demoras.</t>
        </is>
      </c>
      <c r="G309" s="22" t="inlineStr">
        <is>
          <t>La licitación de medicamentos monopolio del Estado por una entidad distinta al Fondo</t>
        </is>
      </c>
      <c r="H309" s="22" t="inlineStr">
        <is>
          <t>Está permitida</t>
        </is>
      </c>
      <c r="I309" s="22" t="inlineStr">
        <is>
          <t>Requiere aviso previo</t>
        </is>
      </c>
      <c r="J309" s="22" t="inlineStr">
        <is>
          <t>Está prohibida</t>
        </is>
      </c>
      <c r="K309" s="22" t="inlineStr">
        <is>
          <t>C</t>
        </is>
      </c>
      <c r="L309" s="22" t="inlineStr">
        <is>
          <t>La Resolución 1478 de 2006, art. 5, lo prohíbe.</t>
        </is>
      </c>
      <c r="M309" s="22" t="inlineStr">
        <is>
          <t>Permitirla abre la puerta a compras fuera del canal legal; exigir solo aviso previo convierte una prohibición en un trámite.</t>
        </is>
      </c>
      <c r="N309" s="22" t="inlineStr">
        <is>
          <t>Resolución 1478 de 2006, art. 5; Corte Constitucional, C-697 de 2008</t>
        </is>
      </c>
      <c r="O309" s="22" t="inlineStr">
        <is>
          <t>SI</t>
        </is>
      </c>
      <c r="P309" s="16" t="inlineStr">
        <is>
          <t>Basica</t>
        </is>
      </c>
      <c r="Q309" s="16" t="inlineStr">
        <is>
          <t>v2</t>
        </is>
      </c>
      <c r="R309" s="16" t="inlineStr">
        <is>
          <t>Específico</t>
        </is>
      </c>
    </row>
    <row r="310" ht="23.25" customHeight="1" s="12">
      <c r="A310" s="22" t="inlineStr">
        <is>
          <t>F103-3</t>
        </is>
      </c>
      <c r="B310" s="22" t="inlineStr">
        <is>
          <t>fne</t>
        </is>
      </c>
      <c r="C310" s="22" t="inlineStr">
        <is>
          <t>Medicamentos monopolio del Estado</t>
        </is>
      </c>
      <c r="D310" s="22" t="inlineStr">
        <is>
          <t>C103</t>
        </is>
      </c>
      <c r="E310" s="22" t="inlineStr">
        <is>
          <t>EPS que quiere licitar morfina</t>
        </is>
      </c>
      <c r="F310" s="22" t="inlineStr">
        <is>
          <t>Una EPS grande anuncia que abrirá su propia licitación para comprar morfina y distribuirla entre sus sedes de cuatro departamentos, porque dice que así baja costos y evita demoras.</t>
        </is>
      </c>
      <c r="G310" s="22" t="inlineStr">
        <is>
          <t>La distribución y comercialización interdepartamental de medicamentos monopolio del Estado</t>
        </is>
      </c>
      <c r="H310" s="22" t="inlineStr">
        <is>
          <t>Es libre</t>
        </is>
      </c>
      <c r="I310" s="22" t="inlineStr">
        <is>
          <t>Está prohibida</t>
        </is>
      </c>
      <c r="J310" s="22" t="inlineStr">
        <is>
          <t>Requiere factura</t>
        </is>
      </c>
      <c r="K310" s="22" t="inlineStr">
        <is>
          <t>B</t>
        </is>
      </c>
      <c r="L310" s="22" t="inlineStr">
        <is>
          <t>La Resolución 1478 de 2006, art. 5, la prohíbe.</t>
        </is>
      </c>
      <c r="M310" s="22" t="inlineStr">
        <is>
          <t>Afirmar que es libre desconoce la restricción territorial; pedir factura reduce a un requisito contable lo que es una prohibición.</t>
        </is>
      </c>
      <c r="N310" s="22" t="inlineStr">
        <is>
          <t>Resolución 1478 de 2006, art. 5; Corte Constitucional, C-697 de 2008</t>
        </is>
      </c>
      <c r="O310" s="22" t="inlineStr">
        <is>
          <t>SI</t>
        </is>
      </c>
      <c r="P310" s="16" t="inlineStr">
        <is>
          <t>Basica</t>
        </is>
      </c>
      <c r="Q310" s="16" t="inlineStr">
        <is>
          <t>v2</t>
        </is>
      </c>
      <c r="R310" s="16" t="inlineStr">
        <is>
          <t>Específico</t>
        </is>
      </c>
    </row>
    <row r="311" ht="34.5" customHeight="1" s="12">
      <c r="A311" s="22" t="inlineStr">
        <is>
          <t>F104-1</t>
        </is>
      </c>
      <c r="B311" s="22" t="inlineStr">
        <is>
          <t>fne</t>
        </is>
      </c>
      <c r="C311" s="22" t="inlineStr">
        <is>
          <t>Medicamentos monopolio del Estado</t>
        </is>
      </c>
      <c r="D311" s="22" t="inlineStr">
        <is>
          <t>C104</t>
        </is>
      </c>
      <c r="E311" s="22" t="inlineStr">
        <is>
          <t>IPS sin servicio farmacéutico</t>
        </is>
      </c>
      <c r="F311" s="22" t="inlineStr">
        <is>
          <t>Una IPS de segundo nivel no tiene servicio farmacéutico y sus pacientes de dolor crónico quedaron sin opioides. El gerente propone comprarlos en una droguería del pueblo o traerlos del exterior.</t>
        </is>
      </c>
      <c r="G311" s="22" t="inlineStr">
        <is>
          <t>La distribución y venta de medicamentos monopolio del Estado se hace a través de</t>
        </is>
      </c>
      <c r="H311" s="22" t="inlineStr">
        <is>
          <t>El Fondo Nacional y los Fondos Rotatorios de los departamentos</t>
        </is>
      </c>
      <c r="I311" s="22" t="inlineStr">
        <is>
          <t>Las droguerías inscritas y las farmacias hospitalarias habilitadas</t>
        </is>
      </c>
      <c r="J311" s="22" t="inlineStr">
        <is>
          <t>Las EPS, que los entregan directamente a sus afiliados</t>
        </is>
      </c>
      <c r="K311" s="22" t="inlineStr">
        <is>
          <t>A</t>
        </is>
      </c>
      <c r="L311" s="22" t="inlineStr">
        <is>
          <t>Así lo dispone la Resolución 1478 de 2006.</t>
        </is>
      </c>
      <c r="M311" s="22" t="inlineStr">
        <is>
          <t>Cualquier droguería inscrita en el municipio no está habilitada para estos medicamentos; las EPS no son canal de distribución del monopolio.</t>
        </is>
      </c>
      <c r="N311" s="22" t="inlineStr">
        <is>
          <t>Resolución 1478 de 2006, arts. 74 y 76</t>
        </is>
      </c>
      <c r="O311" s="22" t="inlineStr">
        <is>
          <t>SI</t>
        </is>
      </c>
      <c r="P311" s="16" t="inlineStr">
        <is>
          <t>Media</t>
        </is>
      </c>
      <c r="Q311" s="16" t="inlineStr">
        <is>
          <t>v2</t>
        </is>
      </c>
      <c r="R311" s="16" t="inlineStr">
        <is>
          <t>Específico</t>
        </is>
      </c>
    </row>
    <row r="312" ht="23.25" customHeight="1" s="12">
      <c r="A312" s="22" t="inlineStr">
        <is>
          <t>F104-2</t>
        </is>
      </c>
      <c r="B312" s="22" t="inlineStr">
        <is>
          <t>fne</t>
        </is>
      </c>
      <c r="C312" s="22" t="inlineStr">
        <is>
          <t>Medicamentos monopolio del Estado</t>
        </is>
      </c>
      <c r="D312" s="22" t="inlineStr">
        <is>
          <t>C104</t>
        </is>
      </c>
      <c r="E312" s="22" t="inlineStr">
        <is>
          <t>IPS sin servicio farmacéutico</t>
        </is>
      </c>
      <c r="F312" s="22" t="inlineStr">
        <is>
          <t>Una IPS de segundo nivel no tiene servicio farmacéutico y sus pacientes de dolor crónico quedaron sin opioides. El gerente propone comprarlos en una droguería del pueblo o traerlos del exterior.</t>
        </is>
      </c>
      <c r="G312" s="22" t="inlineStr">
        <is>
          <t>Si la IPS no dispensa estos medicamentos, para garantizarlos debe</t>
        </is>
      </c>
      <c r="H312" s="22" t="inlineStr">
        <is>
          <t>Solicitar permiso para suscribir convenio con un tercero</t>
        </is>
      </c>
      <c r="I312" s="22" t="inlineStr">
        <is>
          <t>Adquirirlos en el exterior mediante importación directa</t>
        </is>
      </c>
      <c r="J312" s="22" t="inlineStr">
        <is>
          <t>Abstenerse de formularlos hasta habilitar el servicio</t>
        </is>
      </c>
      <c r="K312" s="22" t="inlineStr">
        <is>
          <t>A</t>
        </is>
      </c>
      <c r="L312" s="22" t="inlineStr">
        <is>
          <t>La Resolución 1478 de 2006, art. 76, prevé el convenio con un tercero autorizado.</t>
        </is>
      </c>
      <c r="M312" s="22" t="inlineStr">
        <is>
          <t>Importarlos directamente elude el canal legal; dejar de formularlos castiga al paciente por una falla institucional.</t>
        </is>
      </c>
      <c r="N312" s="22" t="inlineStr">
        <is>
          <t>Resolución 1478 de 2006, arts. 74 y 76</t>
        </is>
      </c>
      <c r="O312" s="22" t="inlineStr">
        <is>
          <t>SI</t>
        </is>
      </c>
      <c r="P312" s="16" t="inlineStr">
        <is>
          <t>Media</t>
        </is>
      </c>
      <c r="Q312" s="16" t="inlineStr">
        <is>
          <t>v2</t>
        </is>
      </c>
      <c r="R312" s="16" t="inlineStr">
        <is>
          <t>Específico</t>
        </is>
      </c>
    </row>
    <row r="313" ht="23.25" customHeight="1" s="12">
      <c r="A313" s="22" t="inlineStr">
        <is>
          <t>F104-3</t>
        </is>
      </c>
      <c r="B313" s="22" t="inlineStr">
        <is>
          <t>fne</t>
        </is>
      </c>
      <c r="C313" s="22" t="inlineStr">
        <is>
          <t>Medicamentos monopolio del Estado</t>
        </is>
      </c>
      <c r="D313" s="22" t="inlineStr">
        <is>
          <t>C104</t>
        </is>
      </c>
      <c r="E313" s="22" t="inlineStr">
        <is>
          <t>IPS sin servicio farmacéutico</t>
        </is>
      </c>
      <c r="F313" s="22" t="inlineStr">
        <is>
          <t>Una IPS de segundo nivel no tiene servicio farmacéutico y sus pacientes de dolor crónico quedaron sin opioides. El gerente propone comprarlos en una droguería del pueblo o traerlos del exterior.</t>
        </is>
      </c>
      <c r="G313" s="22" t="inlineStr">
        <is>
          <t>Si el paciente cambia de terapia o fallece y quedan sobrantes,</t>
        </is>
      </c>
      <c r="H313" s="22" t="inlineStr">
        <is>
          <t>El familiar debe devolverlos donde fueron adquiridos</t>
        </is>
      </c>
      <c r="I313" s="22" t="inlineStr">
        <is>
          <t>El familiar puede conservarlos para un uso posterior</t>
        </is>
      </c>
      <c r="J313" s="22" t="inlineStr">
        <is>
          <t>El familiar debe destruirlos y avisar a la droguería</t>
        </is>
      </c>
      <c r="K313" s="22" t="inlineStr">
        <is>
          <t>A</t>
        </is>
      </c>
      <c r="L313" s="22" t="inlineStr">
        <is>
          <t>La Resolución 1478 de 2006, art. 76, ordena su devolución.</t>
        </is>
      </c>
      <c r="M313" s="22" t="inlineStr">
        <is>
          <t>Conservarlos en casa facilita el uso indebido; destruirlos por cuenta propia elimina el control sobre unidades fiscalizadas.</t>
        </is>
      </c>
      <c r="N313" s="22" t="inlineStr">
        <is>
          <t>Resolución 1478 de 2006, arts. 74 y 76</t>
        </is>
      </c>
      <c r="O313" s="22" t="inlineStr">
        <is>
          <t>SI</t>
        </is>
      </c>
      <c r="P313" s="16" t="inlineStr">
        <is>
          <t>Media</t>
        </is>
      </c>
      <c r="Q313" s="16" t="inlineStr">
        <is>
          <t>v2</t>
        </is>
      </c>
      <c r="R313" s="16" t="inlineStr">
        <is>
          <t>Específico</t>
        </is>
      </c>
    </row>
    <row r="314" ht="34.5" customHeight="1" s="12">
      <c r="A314" s="22" t="inlineStr">
        <is>
          <t>F105-1</t>
        </is>
      </c>
      <c r="B314" s="22" t="inlineStr">
        <is>
          <t>fne</t>
        </is>
      </c>
      <c r="C314" s="22" t="inlineStr">
        <is>
          <t>Control y fiscalización de medicamentos de control especial</t>
        </is>
      </c>
      <c r="D314" s="22" t="inlineStr">
        <is>
          <t>C105</t>
        </is>
      </c>
      <c r="E314" s="22" t="inlineStr">
        <is>
          <t>Campaña para un medicamento de franja violeta</t>
        </is>
      </c>
      <c r="F314" s="22" t="inlineStr">
        <is>
          <t>Un laboratorio propone una campaña para su medicamento de franja violeta: muestras para médicos en un congreso, venta por internet con domicilio y pauta en radio local.</t>
        </is>
      </c>
      <c r="G314" s="22" t="inlineStr">
        <is>
          <t>La comercialización de medicamentos sometidos a fiscalización por Internet o correo</t>
        </is>
      </c>
      <c r="H314" s="22" t="inlineStr">
        <is>
          <t>Está prohibida</t>
        </is>
      </c>
      <c r="I314" s="22" t="inlineStr">
        <is>
          <t>Está permitida para pacientes crónicos</t>
        </is>
      </c>
      <c r="J314" s="22" t="inlineStr">
        <is>
          <t>Está permitida con factura electrónica</t>
        </is>
      </c>
      <c r="K314" s="22" t="inlineStr">
        <is>
          <t>A</t>
        </is>
      </c>
      <c r="L314" s="22" t="inlineStr">
        <is>
          <t>La Resolución 1478 de 2006, art. 5, la prohíbe.</t>
        </is>
      </c>
      <c r="M314" s="22" t="inlineStr">
        <is>
          <t>Admitirla para pacientes crónicos abre un canal sin trazabilidad; la factura electrónica documenta la venta, pero no la hace permitida.</t>
        </is>
      </c>
      <c r="N314" s="22" t="inlineStr">
        <is>
          <t>Resolución 1478 de 2006, art. 5</t>
        </is>
      </c>
      <c r="O314" s="22" t="inlineStr">
        <is>
          <t>SI</t>
        </is>
      </c>
      <c r="P314" s="16" t="inlineStr">
        <is>
          <t>Basica</t>
        </is>
      </c>
      <c r="Q314" s="16" t="inlineStr">
        <is>
          <t>v2</t>
        </is>
      </c>
      <c r="R314" s="16" t="inlineStr">
        <is>
          <t>Específico</t>
        </is>
      </c>
    </row>
    <row r="315" ht="34.5" customHeight="1" s="12">
      <c r="A315" s="22" t="inlineStr">
        <is>
          <t>F105-2</t>
        </is>
      </c>
      <c r="B315" s="22" t="inlineStr">
        <is>
          <t>fne</t>
        </is>
      </c>
      <c r="C315" s="22" t="inlineStr">
        <is>
          <t>Control y fiscalización de medicamentos de control especial</t>
        </is>
      </c>
      <c r="D315" s="22" t="inlineStr">
        <is>
          <t>C105</t>
        </is>
      </c>
      <c r="E315" s="22" t="inlineStr">
        <is>
          <t>Campaña para un medicamento de franja violeta</t>
        </is>
      </c>
      <c r="F315" s="22" t="inlineStr">
        <is>
          <t>Un laboratorio propone una campaña para su medicamento de franja violeta: muestras para médicos en un congreso, venta por internet con domicilio y pauta en radio local.</t>
        </is>
      </c>
      <c r="G315" s="22" t="inlineStr">
        <is>
          <t>Entregar muestras de medicamentos de franja violeta al personal de salud como estrategia de mercadeo</t>
        </is>
      </c>
      <c r="H315" s="22" t="inlineStr">
        <is>
          <t>Está prohibido</t>
        </is>
      </c>
      <c r="I315" s="22" t="inlineStr">
        <is>
          <t>Está permitido con acta de entrega</t>
        </is>
      </c>
      <c r="J315" s="22" t="inlineStr">
        <is>
          <t>Está permitido en congresos médicos</t>
        </is>
      </c>
      <c r="K315" s="22" t="inlineStr">
        <is>
          <t>A</t>
        </is>
      </c>
      <c r="L315" s="22" t="inlineStr">
        <is>
          <t>La Resolución 1478 de 2006, art. 5, lo prohíbe.</t>
        </is>
      </c>
      <c r="M315" s="22" t="inlineStr">
        <is>
          <t>Un acta de entrega no levanta la prohibición; hacerlo en congresos médicos es precisamente el escenario de mercadeo que la norma veta.</t>
        </is>
      </c>
      <c r="N315" s="22" t="inlineStr">
        <is>
          <t>Resolución 1478 de 2006, art. 5</t>
        </is>
      </c>
      <c r="O315" s="22" t="inlineStr">
        <is>
          <t>SI</t>
        </is>
      </c>
      <c r="P315" s="16" t="inlineStr">
        <is>
          <t>Basica</t>
        </is>
      </c>
      <c r="Q315" s="16" t="inlineStr">
        <is>
          <t>v2</t>
        </is>
      </c>
      <c r="R315" s="16" t="inlineStr">
        <is>
          <t>Específico</t>
        </is>
      </c>
    </row>
    <row r="316" ht="34.5" customHeight="1" s="12">
      <c r="A316" s="22" t="inlineStr">
        <is>
          <t>F105-3</t>
        </is>
      </c>
      <c r="B316" s="22" t="inlineStr">
        <is>
          <t>fne</t>
        </is>
      </c>
      <c r="C316" s="22" t="inlineStr">
        <is>
          <t>Control y fiscalización de medicamentos de control especial</t>
        </is>
      </c>
      <c r="D316" s="22" t="inlineStr">
        <is>
          <t>C105</t>
        </is>
      </c>
      <c r="E316" s="22" t="inlineStr">
        <is>
          <t>Campaña para un medicamento de franja violeta</t>
        </is>
      </c>
      <c r="F316" s="22" t="inlineStr">
        <is>
          <t>Un laboratorio propone una campaña para su medicamento de franja violeta: muestras para médicos en un congreso, venta por internet con domicilio y pauta en radio local.</t>
        </is>
      </c>
      <c r="G316" s="22" t="inlineStr">
        <is>
          <t>La publicidad masiva de medicamentos de control especial de franja violeta</t>
        </is>
      </c>
      <c r="H316" s="22" t="inlineStr">
        <is>
          <t>Está permitida en redes sociales</t>
        </is>
      </c>
      <c r="I316" s="22" t="inlineStr">
        <is>
          <t>Está permitida en horario nocturno</t>
        </is>
      </c>
      <c r="J316" s="22" t="inlineStr">
        <is>
          <t>Está prohibida</t>
        </is>
      </c>
      <c r="K316" s="22" t="inlineStr">
        <is>
          <t>C</t>
        </is>
      </c>
      <c r="L316" s="22" t="inlineStr">
        <is>
          <t>La publicidad de medicamentos de control especial está prohibida en medios masivos; solo procede la información dirigida a profesionales autorizados. Resolución 1478 de 2006, artículo 5; Decreto 334 de 2022, artículos 11 y 16.</t>
        </is>
      </c>
      <c r="M316" s="22" t="inlineStr">
        <is>
          <t>Permitirla en redes sociales o de noche mantiene la publicidad masiva que la norma prohíbe, solo cambia el medio o la hora.</t>
        </is>
      </c>
      <c r="N316" s="22" t="inlineStr">
        <is>
          <t>Resolución 1478 de 2006, art. 5; Decreto 334 de 2022, arts. 11 y 16</t>
        </is>
      </c>
      <c r="O316" s="22" t="inlineStr">
        <is>
          <t>SI</t>
        </is>
      </c>
      <c r="P316" s="16" t="inlineStr">
        <is>
          <t>Basica</t>
        </is>
      </c>
      <c r="Q316" s="16" t="inlineStr">
        <is>
          <t>v2</t>
        </is>
      </c>
      <c r="R316" s="16" t="inlineStr">
        <is>
          <t>Específico</t>
        </is>
      </c>
    </row>
    <row r="317" ht="34.5" customHeight="1" s="12">
      <c r="A317" s="22" t="inlineStr">
        <is>
          <t>F106-1</t>
        </is>
      </c>
      <c r="B317" s="22" t="inlineStr">
        <is>
          <t>fne</t>
        </is>
      </c>
      <c r="C317" s="22" t="inlineStr">
        <is>
          <t>Control y fiscalización de medicamentos de control especial</t>
        </is>
      </c>
      <c r="D317" s="22" t="inlineStr">
        <is>
          <t>C106</t>
        </is>
      </c>
      <c r="E317" s="22" t="inlineStr">
        <is>
          <t>Glosario para un funcionario nuevo</t>
        </is>
      </c>
      <c r="F317" s="22" t="inlineStr">
        <is>
          <t>Un funcionario nuevo del Fondo pregunta qué significa la franja violeta de los empaques, qué es una previsión y por qué el recetario oficial no puede prestarse entre médicos de la misma clínica.</t>
        </is>
      </c>
      <c r="G317" s="22" t="inlineStr">
        <is>
          <t>La característica que identifica a los medicamentos de control especial es</t>
        </is>
      </c>
      <c r="H317" s="22" t="inlineStr">
        <is>
          <t>La franja verde</t>
        </is>
      </c>
      <c r="I317" s="22" t="inlineStr">
        <is>
          <t>El sello de venta libre</t>
        </is>
      </c>
      <c r="J317" s="22" t="inlineStr">
        <is>
          <t>La franja violeta</t>
        </is>
      </c>
      <c r="K317" s="22" t="inlineStr">
        <is>
          <t>C</t>
        </is>
      </c>
      <c r="L317" s="22" t="inlineStr">
        <is>
          <t>La Resolución 1478 de 2006 define la franja violeta.</t>
        </is>
      </c>
      <c r="M317" s="22" t="inlineStr">
        <is>
          <t>La franja verde identifica otros productos; el sello de venta libre corresponde a medicamentos sin fórmula médica.</t>
        </is>
      </c>
      <c r="N317" s="22" t="inlineStr">
        <is>
          <t>Resolución 1478 de 2006, art. 2</t>
        </is>
      </c>
      <c r="O317" s="22" t="inlineStr">
        <is>
          <t>SI</t>
        </is>
      </c>
      <c r="P317" s="16" t="inlineStr">
        <is>
          <t>Alta</t>
        </is>
      </c>
      <c r="Q317" s="16" t="inlineStr">
        <is>
          <t>v2</t>
        </is>
      </c>
      <c r="R317" s="16" t="inlineStr">
        <is>
          <t>Específico</t>
        </is>
      </c>
    </row>
    <row r="318" ht="34.5" customHeight="1" s="12">
      <c r="A318" s="22" t="inlineStr">
        <is>
          <t>F106-2</t>
        </is>
      </c>
      <c r="B318" s="22" t="inlineStr">
        <is>
          <t>fne</t>
        </is>
      </c>
      <c r="C318" s="22" t="inlineStr">
        <is>
          <t>Control y fiscalización de medicamentos de control especial</t>
        </is>
      </c>
      <c r="D318" s="22" t="inlineStr">
        <is>
          <t>C106</t>
        </is>
      </c>
      <c r="E318" s="22" t="inlineStr">
        <is>
          <t>Glosario para un funcionario nuevo</t>
        </is>
      </c>
      <c r="F318" s="22" t="inlineStr">
        <is>
          <t>Un funcionario nuevo del Fondo pregunta qué significa la franja violeta de los empaques, qué es una previsión y por qué el recetario oficial no puede prestarse entre médicos de la misma clínica.</t>
        </is>
      </c>
      <c r="G318" s="22" t="inlineStr">
        <is>
          <t>La previsión es</t>
        </is>
      </c>
      <c r="H318" s="22" t="inlineStr">
        <is>
          <t>El cupo de sustancias fiscalizadas que se podrán importar</t>
        </is>
      </c>
      <c r="I318" s="22" t="inlineStr">
        <is>
          <t>La reserva presupuestal que el Fondo constituye cada año</t>
        </is>
      </c>
      <c r="J318" s="22" t="inlineStr">
        <is>
          <t>La proyección de compras que presenta el Fondo Rotatorio</t>
        </is>
      </c>
      <c r="K318" s="22" t="inlineStr">
        <is>
          <t>A</t>
        </is>
      </c>
      <c r="L318" s="22" t="inlineStr">
        <is>
          <t>Así la define la Resolución 1478 de 2006.</t>
        </is>
      </c>
      <c r="M318" s="22" t="inlineStr">
        <is>
          <t>La reserva presupuestal es una figura contable; la proyección de compras del Fondo Rotatorio es un ejercicio interno, no el cupo autorizado.</t>
        </is>
      </c>
      <c r="N318" s="22" t="inlineStr">
        <is>
          <t>Resolución 1478 de 2006, art. 2</t>
        </is>
      </c>
      <c r="O318" s="22" t="inlineStr">
        <is>
          <t>SI</t>
        </is>
      </c>
      <c r="P318" s="16" t="inlineStr">
        <is>
          <t>Alta</t>
        </is>
      </c>
      <c r="Q318" s="16" t="inlineStr">
        <is>
          <t>v2</t>
        </is>
      </c>
      <c r="R318" s="16" t="inlineStr">
        <is>
          <t>Específico</t>
        </is>
      </c>
    </row>
    <row r="319" ht="45.75" customHeight="1" s="12">
      <c r="A319" s="22" t="inlineStr">
        <is>
          <t>F106-3</t>
        </is>
      </c>
      <c r="B319" s="22" t="inlineStr">
        <is>
          <t>fne</t>
        </is>
      </c>
      <c r="C319" s="22" t="inlineStr">
        <is>
          <t>Control y fiscalización de medicamentos de control especial</t>
        </is>
      </c>
      <c r="D319" s="22" t="inlineStr">
        <is>
          <t>C106</t>
        </is>
      </c>
      <c r="E319" s="22" t="inlineStr">
        <is>
          <t>Glosario para un funcionario nuevo</t>
        </is>
      </c>
      <c r="F319" s="22" t="inlineStr">
        <is>
          <t>Un funcionario nuevo del Fondo pregunta qué significa la franja violeta de los empaques, qué es una previsión y por qué el recetario oficial no puede prestarse entre médicos de la misma clínica.</t>
        </is>
      </c>
      <c r="G319" s="22" t="inlineStr">
        <is>
          <t>El recetario oficial es un documento</t>
        </is>
      </c>
      <c r="H319" s="22" t="inlineStr">
        <is>
          <t>Personal e intransferible, usado por el prescriptor</t>
        </is>
      </c>
      <c r="I319" s="22" t="inlineStr">
        <is>
          <t>Que expide cada droguería a los médicos de su zona</t>
        </is>
      </c>
      <c r="J319" s="22" t="inlineStr">
        <is>
          <t>Compartido y rotativo entre los médicos de una misma IPS</t>
        </is>
      </c>
      <c r="K319" s="22" t="inlineStr">
        <is>
          <t>A</t>
        </is>
      </c>
      <c r="L319" s="22" t="inlineStr">
        <is>
          <t>La Resolución 1478 de 2006 lo define como personal e intransferible.</t>
        </is>
      </c>
      <c r="M319" s="22" t="inlineStr">
        <is>
          <t>Las droguerías no expiden recetarios; compartirlos entre médicos de una IPS rompe justamente su carácter personal e intransferible.</t>
        </is>
      </c>
      <c r="N319" s="22" t="inlineStr">
        <is>
          <t>Resolución 1478 de 2006, art. 2</t>
        </is>
      </c>
      <c r="O319" s="22" t="inlineStr">
        <is>
          <t>SI</t>
        </is>
      </c>
      <c r="P319" s="16" t="inlineStr">
        <is>
          <t>Alta</t>
        </is>
      </c>
      <c r="Q319" s="16" t="inlineStr">
        <is>
          <t>v2</t>
        </is>
      </c>
      <c r="R319" s="16" t="inlineStr">
        <is>
          <t>Específico</t>
        </is>
      </c>
    </row>
    <row r="320" ht="34.5" customHeight="1" s="12">
      <c r="A320" s="22" t="inlineStr">
        <is>
          <t>F107-1</t>
        </is>
      </c>
      <c r="B320" s="22" t="inlineStr">
        <is>
          <t>fne</t>
        </is>
      </c>
      <c r="C320" s="22" t="inlineStr">
        <is>
          <t>Control y fiscalización de medicamentos de control especial</t>
        </is>
      </c>
      <c r="D320" s="22" t="inlineStr">
        <is>
          <t>C107</t>
        </is>
      </c>
      <c r="E320" s="22" t="inlineStr">
        <is>
          <t>Tres solicitudes de inscripción</t>
        </is>
      </c>
      <c r="F320" s="22" t="inlineStr">
        <is>
          <t>Una clínica nueva de Neiva quiere manejar opioides para su servicio de dolor; un distribuidor mayorista pregunta cómo operar en ocho departamentos, y una droguería de pueblo consulta si le basta la inscripción del municipio.</t>
        </is>
      </c>
      <c r="G320" s="22" t="inlineStr">
        <is>
          <t>Para cualquier actividad con sustancias sometidas a fiscalización, las entidades deben estar</t>
        </is>
      </c>
      <c r="H320" s="22" t="inlineStr">
        <is>
          <t>Registradas ante la DIAN como importadoras o comercializadoras</t>
        </is>
      </c>
      <c r="I320" s="22" t="inlineStr">
        <is>
          <t>Afiliadas a la cámara de comercio con esa actividad en el objeto social</t>
        </is>
      </c>
      <c r="J320" s="22" t="inlineStr">
        <is>
          <t>Inscritas ante el Fondo Nacional o el Fondo Rotatorio</t>
        </is>
      </c>
      <c r="K320" s="22" t="inlineStr">
        <is>
          <t>C</t>
        </is>
      </c>
      <c r="L320" s="22" t="inlineStr">
        <is>
          <t>La Resolución 1478 de 2006, art. 11, exige la inscripción.</t>
        </is>
      </c>
      <c r="M320" s="22" t="inlineStr">
        <is>
          <t>El registro ante la DIAN es tributario; la afiliación a la cámara de comercio acredita la actividad mercantil, no la habilitación sanitaria.</t>
        </is>
      </c>
      <c r="N320" s="22" t="inlineStr">
        <is>
          <t>Resolución 1478 de 2006, arts. 11, 13 y 14</t>
        </is>
      </c>
      <c r="O320" s="22" t="inlineStr">
        <is>
          <t>SI</t>
        </is>
      </c>
      <c r="P320" s="16" t="inlineStr">
        <is>
          <t>Basica</t>
        </is>
      </c>
      <c r="Q320" s="16" t="inlineStr">
        <is>
          <t>v2</t>
        </is>
      </c>
      <c r="R320" s="16" t="inlineStr">
        <is>
          <t>Específico</t>
        </is>
      </c>
    </row>
    <row r="321" ht="34.5" customHeight="1" s="12">
      <c r="A321" s="22" t="inlineStr">
        <is>
          <t>F107-2</t>
        </is>
      </c>
      <c r="B321" s="22" t="inlineStr">
        <is>
          <t>fne</t>
        </is>
      </c>
      <c r="C321" s="22" t="inlineStr">
        <is>
          <t>Control y fiscalización de medicamentos de control especial</t>
        </is>
      </c>
      <c r="D321" s="22" t="inlineStr">
        <is>
          <t>C107</t>
        </is>
      </c>
      <c r="E321" s="22" t="inlineStr">
        <is>
          <t>Tres solicitudes de inscripción</t>
        </is>
      </c>
      <c r="F321" s="22" t="inlineStr">
        <is>
          <t>Una clínica nueva de Neiva quiere manejar opioides para su servicio de dolor; un distribuidor mayorista pregunta cómo operar en ocho departamentos, y una droguería de pueblo consulta si le basta la inscripción del municipio.</t>
        </is>
      </c>
      <c r="G321" s="22" t="inlineStr">
        <is>
          <t>La dispensación o distribución dentro de un mismo departamento se inscribe ante</t>
        </is>
      </c>
      <c r="H321" s="22" t="inlineStr">
        <is>
          <t>El Fondo Rotatorio del departamento</t>
        </is>
      </c>
      <c r="I321" s="22" t="inlineStr">
        <is>
          <t>La alcaldía municipal donde funciona el establecimiento</t>
        </is>
      </c>
      <c r="J321" s="22" t="inlineStr">
        <is>
          <t>El Invima, a través de su grupo territorial más cercano</t>
        </is>
      </c>
      <c r="K321" s="22" t="inlineStr">
        <is>
          <t>A</t>
        </is>
      </c>
      <c r="L321" s="22" t="inlineStr">
        <is>
          <t>La Resolución 1478 de 2006, art. 14, lo dispone.</t>
        </is>
      </c>
      <c r="M321" s="22" t="inlineStr">
        <is>
          <t>La alcaldía no administra el control de estas sustancias; el Invima otorga registros sanitarios, pero no lleva estas inscripciones.</t>
        </is>
      </c>
      <c r="N321" s="22" t="inlineStr">
        <is>
          <t>Resolución 1478 de 2006, arts. 11, 13 y 14</t>
        </is>
      </c>
      <c r="O321" s="22" t="inlineStr">
        <is>
          <t>SI</t>
        </is>
      </c>
      <c r="P321" s="16" t="inlineStr">
        <is>
          <t>Basica</t>
        </is>
      </c>
      <c r="Q321" s="16" t="inlineStr">
        <is>
          <t>v2</t>
        </is>
      </c>
      <c r="R321" s="16" t="inlineStr">
        <is>
          <t>Específico</t>
        </is>
      </c>
    </row>
    <row r="322" ht="34.5" customHeight="1" s="12">
      <c r="A322" s="22" t="inlineStr">
        <is>
          <t>F107-3</t>
        </is>
      </c>
      <c r="B322" s="22" t="inlineStr">
        <is>
          <t>fne</t>
        </is>
      </c>
      <c r="C322" s="22" t="inlineStr">
        <is>
          <t>Control y fiscalización de medicamentos de control especial</t>
        </is>
      </c>
      <c r="D322" s="22" t="inlineStr">
        <is>
          <t>C107</t>
        </is>
      </c>
      <c r="E322" s="22" t="inlineStr">
        <is>
          <t>Tres solicitudes de inscripción</t>
        </is>
      </c>
      <c r="F322" s="22" t="inlineStr">
        <is>
          <t>Una clínica nueva de Neiva quiere manejar opioides para su servicio de dolor; un distribuidor mayorista pregunta cómo operar en ocho departamentos, y una droguería de pueblo consulta si le basta la inscripción del municipio.</t>
        </is>
      </c>
      <c r="G322" s="22" t="inlineStr">
        <is>
          <t>Los distribuidores mayoristas nacionales se inscriben primero ante el Fondo Nacional y luego deben</t>
        </is>
      </c>
      <c r="H322" s="22" t="inlineStr">
        <is>
          <t>Inscribirse ante la Procuraduría como sujetos de control de su actividad comercial</t>
        </is>
      </c>
      <c r="I322" s="22" t="inlineStr">
        <is>
          <t>Legalizar su inscripción en cada Fondo Rotatorio</t>
        </is>
      </c>
      <c r="J322" s="22" t="inlineStr">
        <is>
          <t>Esperar cinco años de operación antes de distribuir en otros departamentos</t>
        </is>
      </c>
      <c r="K322" s="22" t="inlineStr">
        <is>
          <t>B</t>
        </is>
      </c>
      <c r="L322" s="22" t="inlineStr">
        <is>
          <t>La Resolución 1478 de 2006, art. 13, lo establece.</t>
        </is>
      </c>
      <c r="M322" s="22" t="inlineStr">
        <is>
          <t>Inscribirse ante la Procuraduría no tiene relación con la actividad; esperar cinco años confunde la vigencia con un plazo de espera.</t>
        </is>
      </c>
      <c r="N322" s="22" t="inlineStr">
        <is>
          <t>Resolución 1478 de 2006, arts. 11, 13 y 14</t>
        </is>
      </c>
      <c r="O322" s="22" t="inlineStr">
        <is>
          <t>SI</t>
        </is>
      </c>
      <c r="P322" s="16" t="inlineStr">
        <is>
          <t>Basica</t>
        </is>
      </c>
      <c r="Q322" s="16" t="inlineStr">
        <is>
          <t>v2</t>
        </is>
      </c>
      <c r="R322" s="16" t="inlineStr">
        <is>
          <t>Específico</t>
        </is>
      </c>
    </row>
    <row r="323" ht="34.5" customHeight="1" s="12">
      <c r="A323" s="22" t="inlineStr">
        <is>
          <t>F108-1</t>
        </is>
      </c>
      <c r="B323" s="22" t="inlineStr">
        <is>
          <t>fne</t>
        </is>
      </c>
      <c r="C323" s="22" t="inlineStr">
        <is>
          <t>Control y fiscalización de medicamentos de control especial</t>
        </is>
      </c>
      <c r="D323" s="22" t="inlineStr">
        <is>
          <t>C108</t>
        </is>
      </c>
      <c r="E323" s="22" t="inlineStr">
        <is>
          <t>Inscripción a punto de vencerse</t>
        </is>
      </c>
      <c r="F323" s="22" t="inlineStr">
        <is>
          <t>Una empresa inscrita hace cuatro años y diez meses no ha pedido renovación y lleva catorce meses sin reportar movimientos. Su gerente asegura que la inscripción se renueva sola mientras no la cancelen.</t>
        </is>
      </c>
      <c r="G323" s="22" t="inlineStr">
        <is>
          <t>La inscripción tiene una vigencia de</t>
        </is>
      </c>
      <c r="H323" s="22" t="inlineStr">
        <is>
          <t>Un (1) año, con renovación automática si no hay novedades</t>
        </is>
      </c>
      <c r="I323" s="22" t="inlineStr">
        <is>
          <t>Cinco (5) años, renovable</t>
        </is>
      </c>
      <c r="J323" s="22" t="inlineStr">
        <is>
          <t>Indefinida, mientras el establecimiento siga en funcionamiento</t>
        </is>
      </c>
      <c r="K323" s="22" t="inlineStr">
        <is>
          <t>B</t>
        </is>
      </c>
      <c r="L323" s="22" t="inlineStr">
        <is>
          <t>Cinco (5) años de vigencia de la inscripción ante el Fondo, renovable. Resolución 1478 de 2006, artículo 30.</t>
        </is>
      </c>
      <c r="M323" s="22" t="inlineStr">
        <is>
          <t>Un año obligaría a renovar cada año sin fundamento; la vigencia indefinida eliminaría la revisión periódica del establecimiento.</t>
        </is>
      </c>
      <c r="N323" s="22" t="inlineStr">
        <is>
          <t>Resolución 1478 de 2006, art. 30</t>
        </is>
      </c>
      <c r="O323" s="22" t="inlineStr">
        <is>
          <t>SI</t>
        </is>
      </c>
      <c r="P323" s="16" t="inlineStr">
        <is>
          <t>Basica</t>
        </is>
      </c>
      <c r="Q323" s="16" t="inlineStr">
        <is>
          <t>v2</t>
        </is>
      </c>
      <c r="R323" s="16" t="inlineStr">
        <is>
          <t>Específico</t>
        </is>
      </c>
    </row>
    <row r="324" ht="34.5" customHeight="1" s="12">
      <c r="A324" s="22" t="inlineStr">
        <is>
          <t>F108-2</t>
        </is>
      </c>
      <c r="B324" s="22" t="inlineStr">
        <is>
          <t>fne</t>
        </is>
      </c>
      <c r="C324" s="22" t="inlineStr">
        <is>
          <t>Control y fiscalización de medicamentos de control especial</t>
        </is>
      </c>
      <c r="D324" s="22" t="inlineStr">
        <is>
          <t>C108</t>
        </is>
      </c>
      <c r="E324" s="22" t="inlineStr">
        <is>
          <t>Inscripción a punto de vencerse</t>
        </is>
      </c>
      <c r="F324" s="22" t="inlineStr">
        <is>
          <t>Una empresa inscrita hace cuatro años y diez meses no ha pedido renovación y lleva catorce meses sin reportar movimientos. Su gerente asegura que la inscripción se renueva sola mientras no la cancelen.</t>
        </is>
      </c>
      <c r="G324" s="22" t="inlineStr">
        <is>
          <t>La renovación debe solicitarse con una anticipación de</t>
        </is>
      </c>
      <c r="H324" s="22" t="inlineStr">
        <is>
          <t>Dos (2) años antes del vencimiento</t>
        </is>
      </c>
      <c r="I324" s="22" t="inlineStr">
        <is>
          <t>Tres (3) meses antes del vencimiento</t>
        </is>
      </c>
      <c r="J324" s="22" t="inlineStr">
        <is>
          <t>Un (1) mes antes del vencimiento</t>
        </is>
      </c>
      <c r="K324" s="22" t="inlineStr">
        <is>
          <t>B</t>
        </is>
      </c>
      <c r="L324" s="22" t="inlineStr">
        <is>
          <t>Tres (3) meses de anticipación para pedir la renovación de la inscripción. Resolución 1478 de 2006, artículo 30.</t>
        </is>
      </c>
      <c r="M324" s="22" t="inlineStr">
        <is>
          <t>Dos años anticipa en exceso el trámite; un mes deja sin margen para resolverlo antes del vencimiento.</t>
        </is>
      </c>
      <c r="N324" s="22" t="inlineStr">
        <is>
          <t>Resolución 1478 de 2006, art. 30</t>
        </is>
      </c>
      <c r="O324" s="22" t="inlineStr">
        <is>
          <t>SI</t>
        </is>
      </c>
      <c r="P324" s="16" t="inlineStr">
        <is>
          <t>Basica</t>
        </is>
      </c>
      <c r="Q324" s="16" t="inlineStr">
        <is>
          <t>v2</t>
        </is>
      </c>
      <c r="R324" s="16" t="inlineStr">
        <is>
          <t>Específico</t>
        </is>
      </c>
    </row>
    <row r="325" ht="34.5" customHeight="1" s="12">
      <c r="A325" s="22" t="inlineStr">
        <is>
          <t>F108-3</t>
        </is>
      </c>
      <c r="B325" s="22" t="inlineStr">
        <is>
          <t>fne</t>
        </is>
      </c>
      <c r="C325" s="22" t="inlineStr">
        <is>
          <t>Control y fiscalización de medicamentos de control especial</t>
        </is>
      </c>
      <c r="D325" s="22" t="inlineStr">
        <is>
          <t>C108</t>
        </is>
      </c>
      <c r="E325" s="22" t="inlineStr">
        <is>
          <t>Inscripción a punto de vencerse</t>
        </is>
      </c>
      <c r="F325" s="22" t="inlineStr">
        <is>
          <t>Una empresa inscrita hace cuatro años y diez meses no ha pedido renovación y lleva catorce meses sin reportar movimientos. Su gerente asegura que la inscripción se renueva sola mientras no la cancelen.</t>
        </is>
      </c>
      <c r="G325" s="22" t="inlineStr">
        <is>
          <t>Si una entidad inscrita no presenta movimiento durante un año,</t>
        </is>
      </c>
      <c r="H325" s="22" t="inlineStr">
        <is>
          <t>Su inscripción se cancela automáticamente</t>
        </is>
      </c>
      <c r="I325" s="22" t="inlineStr">
        <is>
          <t>Su inscripción queda suspendida hasta que reporte un nuevo movimiento</t>
        </is>
      </c>
      <c r="J325" s="22" t="inlineStr">
        <is>
          <t>No pasa nada, porque la inscripción conserva su vigencia de cinco años</t>
        </is>
      </c>
      <c r="K325" s="22" t="inlineStr">
        <is>
          <t>A</t>
        </is>
      </c>
      <c r="L325" s="22" t="inlineStr">
        <is>
          <t>Un (1) año sin movimiento cancela automáticamente la inscripción. Resolución 1478 de 2006, artículo 32.</t>
        </is>
      </c>
      <c r="M325" s="22" t="inlineStr">
        <is>
          <t>La suspensión hasta un nuevo movimiento no existe en la norma; sostener que conserva su vigencia de cinco años desconoce la cancelación automática por inactividad.</t>
        </is>
      </c>
      <c r="N325" s="22" t="inlineStr">
        <is>
          <t>Resolución 1478 de 2006, art. 32</t>
        </is>
      </c>
      <c r="O325" s="22" t="inlineStr">
        <is>
          <t>SI</t>
        </is>
      </c>
      <c r="P325" s="16" t="inlineStr">
        <is>
          <t>Basica</t>
        </is>
      </c>
      <c r="Q325" s="16" t="inlineStr">
        <is>
          <t>v2</t>
        </is>
      </c>
      <c r="R325" s="16" t="inlineStr">
        <is>
          <t>Específico</t>
        </is>
      </c>
    </row>
    <row r="326" ht="23.25" customHeight="1" s="12">
      <c r="A326" s="22" t="inlineStr">
        <is>
          <t>F109-1</t>
        </is>
      </c>
      <c r="B326" s="22" t="inlineStr">
        <is>
          <t>fne</t>
        </is>
      </c>
      <c r="C326" s="22" t="inlineStr">
        <is>
          <t>Comercio internacional de sustancias fiscalizadas</t>
        </is>
      </c>
      <c r="D326" s="22" t="inlineStr">
        <is>
          <t>C109</t>
        </is>
      </c>
      <c r="E326" s="22" t="inlineStr">
        <is>
          <t>Cupo para el año siguiente</t>
        </is>
      </c>
      <c r="F326" s="22" t="inlineStr">
        <is>
          <t>Un importador quiere asegurar su cupo del año siguiente. Es 20 de marzo, tiene los consumos de los últimos tres años y pregunta quién aprueba finalmente esas cantidades.</t>
        </is>
      </c>
      <c r="G326" s="22" t="inlineStr">
        <is>
          <t>Los importadores inscritos deben presentar sus previsiones para el año siguiente a más tardar el</t>
        </is>
      </c>
      <c r="H326" s="22" t="inlineStr">
        <is>
          <t>1 de enero del año de uso</t>
        </is>
      </c>
      <c r="I326" s="22" t="inlineStr">
        <is>
          <t>30 de marzo de cada año</t>
        </is>
      </c>
      <c r="J326" s="22" t="inlineStr">
        <is>
          <t>31 de diciembre de cada año</t>
        </is>
      </c>
      <c r="K326" s="22" t="inlineStr">
        <is>
          <t>B</t>
        </is>
      </c>
      <c r="L326" s="22" t="inlineStr">
        <is>
          <t>Las previsiones ordinarias se presentan a más tardar el 30 de marzo de cada año, para el año siguiente. Resolución 1478 de 2006, artículo 59.</t>
        </is>
      </c>
      <c r="M326" s="22" t="inlineStr">
        <is>
          <t>El 1 de enero del año de uso llega cuando el cupo ya debía estar aprobado; el 31 de diciembre es el cierre del año, demasiado tarde.</t>
        </is>
      </c>
      <c r="N326" s="22" t="inlineStr">
        <is>
          <t>Resolución 1478 de 2006, art. 59</t>
        </is>
      </c>
      <c r="O326" s="22" t="inlineStr">
        <is>
          <t>SI</t>
        </is>
      </c>
      <c r="P326" s="16" t="inlineStr">
        <is>
          <t>Alta</t>
        </is>
      </c>
      <c r="Q326" s="16" t="inlineStr">
        <is>
          <t>v2</t>
        </is>
      </c>
      <c r="R326" s="16" t="inlineStr">
        <is>
          <t>Específico</t>
        </is>
      </c>
    </row>
    <row r="327" ht="34.5" customHeight="1" s="12">
      <c r="A327" s="22" t="inlineStr">
        <is>
          <t>F109-2</t>
        </is>
      </c>
      <c r="B327" s="22" t="inlineStr">
        <is>
          <t>fne</t>
        </is>
      </c>
      <c r="C327" s="22" t="inlineStr">
        <is>
          <t>Comercio internacional de sustancias fiscalizadas</t>
        </is>
      </c>
      <c r="D327" s="22" t="inlineStr">
        <is>
          <t>C109</t>
        </is>
      </c>
      <c r="E327" s="22" t="inlineStr">
        <is>
          <t>Cupo para el año siguiente</t>
        </is>
      </c>
      <c r="F327" s="22" t="inlineStr">
        <is>
          <t>Un importador quiere asegurar su cupo del año siguiente. Es 20 de marzo, tiene los consumos de los últimos tres años y pregunta quién aprueba finalmente esas cantidades.</t>
        </is>
      </c>
      <c r="G327" s="22" t="inlineStr">
        <is>
          <t>La solicitud debe acompañarse de estudios médico-científicos y de mercadeo, y de los consumos históricos de los</t>
        </is>
      </c>
      <c r="H327" s="22" t="inlineStr">
        <is>
          <t>Tres (3) últimos años</t>
        </is>
      </c>
      <c r="I327" s="22" t="inlineStr">
        <is>
          <t>Diez (10) últimos años</t>
        </is>
      </c>
      <c r="J327" s="22" t="inlineStr">
        <is>
          <t>Últimos seis (6) meses</t>
        </is>
      </c>
      <c r="K327" s="22" t="inlineStr">
        <is>
          <t>A</t>
        </is>
      </c>
      <c r="L327" s="22" t="inlineStr">
        <is>
          <t>La solicitud exige los consumos de los tres (3) últimos años, con estudios médico-científicos y de mercadeo. Resolución 1478 de 2006, artículo 59.</t>
        </is>
      </c>
      <c r="M327" s="22" t="inlineStr">
        <is>
          <t>Diez años de historia excede lo exigido y desactualiza el análisis; seis meses no muestran la tendencia anual del consumo.</t>
        </is>
      </c>
      <c r="N327" s="22" t="inlineStr">
        <is>
          <t>Resolución 1478 de 2006, art. 59</t>
        </is>
      </c>
      <c r="O327" s="22" t="inlineStr">
        <is>
          <t>SI</t>
        </is>
      </c>
      <c r="P327" s="16" t="inlineStr">
        <is>
          <t>Alta</t>
        </is>
      </c>
      <c r="Q327" s="16" t="inlineStr">
        <is>
          <t>v2</t>
        </is>
      </c>
      <c r="R327" s="16" t="inlineStr">
        <is>
          <t>Específico</t>
        </is>
      </c>
    </row>
    <row r="328" ht="23.25" customHeight="1" s="12">
      <c r="A328" s="22" t="inlineStr">
        <is>
          <t>F109-3</t>
        </is>
      </c>
      <c r="B328" s="22" t="inlineStr">
        <is>
          <t>fne</t>
        </is>
      </c>
      <c r="C328" s="22" t="inlineStr">
        <is>
          <t>Comercio internacional de sustancias fiscalizadas</t>
        </is>
      </c>
      <c r="D328" s="22" t="inlineStr">
        <is>
          <t>C109</t>
        </is>
      </c>
      <c r="E328" s="22" t="inlineStr">
        <is>
          <t>Cupo para el año siguiente</t>
        </is>
      </c>
      <c r="F328" s="22" t="inlineStr">
        <is>
          <t>Un importador quiere asegurar su cupo del año siguiente. Es 20 de marzo, tiene los consumos de los últimos tres años y pregunta quién aprueba finalmente esas cantidades.</t>
        </is>
      </c>
      <c r="G328" s="22" t="inlineStr">
        <is>
          <t>Las previsiones ordinarias las aprueba</t>
        </is>
      </c>
      <c r="H328" s="22" t="inlineStr">
        <is>
          <t>El Comité Técnico de la Dirección del Fondo</t>
        </is>
      </c>
      <c r="I328" s="22" t="inlineStr">
        <is>
          <t>El Consejo Nacional de Estupefacientes</t>
        </is>
      </c>
      <c r="J328" s="22" t="inlineStr">
        <is>
          <t>La Junta Directiva del Fondo Rotatorio</t>
        </is>
      </c>
      <c r="K328" s="22" t="inlineStr">
        <is>
          <t>A</t>
        </is>
      </c>
      <c r="L328" s="22" t="inlineStr">
        <is>
          <t>La Resolución 1478 de 2006, art. 61, lo dispone.</t>
        </is>
      </c>
      <c r="M328" s="22" t="inlineStr">
        <is>
          <t>El Consejo Nacional de Estupefacientes fija política; la junta del Fondo Rotatorio actúa en el nivel departamental.</t>
        </is>
      </c>
      <c r="N328" s="22" t="inlineStr">
        <is>
          <t>Resolución 1478 de 2006, arts. 59 y 61</t>
        </is>
      </c>
      <c r="O328" s="22" t="inlineStr">
        <is>
          <t>SI</t>
        </is>
      </c>
      <c r="P328" s="16" t="inlineStr">
        <is>
          <t>Alta</t>
        </is>
      </c>
      <c r="Q328" s="16" t="inlineStr">
        <is>
          <t>v2</t>
        </is>
      </c>
      <c r="R328" s="16" t="inlineStr">
        <is>
          <t>Específico</t>
        </is>
      </c>
    </row>
    <row r="329" ht="34.5" customHeight="1" s="12">
      <c r="A329" s="22" t="inlineStr">
        <is>
          <t>F110-1</t>
        </is>
      </c>
      <c r="B329" s="22" t="inlineStr">
        <is>
          <t>fne</t>
        </is>
      </c>
      <c r="C329" s="22" t="inlineStr">
        <is>
          <t>Comercio internacional de sustancias fiscalizadas</t>
        </is>
      </c>
      <c r="D329" s="22" t="inlineStr">
        <is>
          <t>C110</t>
        </is>
      </c>
      <c r="E329" s="22" t="inlineStr">
        <is>
          <t>Licitación que duplica el consumo</t>
        </is>
      </c>
      <c r="F329" s="22" t="inlineStr">
        <is>
          <t>Una empresa ganó en septiembre una licitación hospitalaria que duplica su consumo de un opioide. Su cupo del año ya está copado y el contrato empieza en dos meses.</t>
        </is>
      </c>
      <c r="G329" s="22" t="inlineStr">
        <is>
          <t>Las previsiones suplementarias proceden, entre otros casos, por</t>
        </is>
      </c>
      <c r="H329" s="22" t="inlineStr">
        <is>
          <t>Lanzamiento de productos, licitaciones o nuevas sustancias</t>
        </is>
      </c>
      <c r="I329" s="22" t="inlineStr">
        <is>
          <t>Aumento del precio del dólar frente al valor presupuestado</t>
        </is>
      </c>
      <c r="J329" s="22" t="inlineStr">
        <is>
          <t>Cambio del representante legal de la empresa importadora</t>
        </is>
      </c>
      <c r="K329" s="22" t="inlineStr">
        <is>
          <t>A</t>
        </is>
      </c>
      <c r="L329" s="22" t="inlineStr">
        <is>
          <t>La Resolución 1478 de 2006, art. 63, enumera esos casos.</t>
        </is>
      </c>
      <c r="M329" s="22" t="inlineStr">
        <is>
          <t>El precio del dólar afecta el costo, no la necesidad del país; el cambio de representante legal es una novedad societaria.</t>
        </is>
      </c>
      <c r="N329" s="22" t="inlineStr">
        <is>
          <t>Resolución 1478 de 2006, arts. 63 y 64</t>
        </is>
      </c>
      <c r="O329" s="22" t="inlineStr">
        <is>
          <t>SI</t>
        </is>
      </c>
      <c r="P329" s="16" t="inlineStr">
        <is>
          <t>Alta</t>
        </is>
      </c>
      <c r="Q329" s="16" t="inlineStr">
        <is>
          <t>v2</t>
        </is>
      </c>
      <c r="R329" s="16" t="inlineStr">
        <is>
          <t>Específico</t>
        </is>
      </c>
    </row>
    <row r="330" ht="23.25" customHeight="1" s="12">
      <c r="A330" s="22" t="inlineStr">
        <is>
          <t>F110-2</t>
        </is>
      </c>
      <c r="B330" s="22" t="inlineStr">
        <is>
          <t>fne</t>
        </is>
      </c>
      <c r="C330" s="22" t="inlineStr">
        <is>
          <t>Comercio internacional de sustancias fiscalizadas</t>
        </is>
      </c>
      <c r="D330" s="22" t="inlineStr">
        <is>
          <t>C110</t>
        </is>
      </c>
      <c r="E330" s="22" t="inlineStr">
        <is>
          <t>Licitación que duplica el consumo</t>
        </is>
      </c>
      <c r="F330" s="22" t="inlineStr">
        <is>
          <t>Una empresa ganó en septiembre una licitación hospitalaria que duplica su consumo de un opioide. Su cupo del año ya está copado y el contrato empieza en dos meses.</t>
        </is>
      </c>
      <c r="G330" s="22" t="inlineStr">
        <is>
          <t>Por regla general, las solicitudes de previsiones suplementarias se presentan</t>
        </is>
      </c>
      <c r="H330" s="22" t="inlineStr">
        <is>
          <t>En el mes de enero</t>
        </is>
      </c>
      <c r="I330" s="22" t="inlineStr">
        <is>
          <t>En el mes de julio</t>
        </is>
      </c>
      <c r="J330" s="22" t="inlineStr">
        <is>
          <t>En cualquier mes</t>
        </is>
      </c>
      <c r="K330" s="22" t="inlineStr">
        <is>
          <t>B</t>
        </is>
      </c>
      <c r="L330" s="22" t="inlineStr">
        <is>
          <t>Las previsiones suplementarias se presentan, por regla general, en el mes de julio. Resolución 1478 de 2006, artículo 64.</t>
        </is>
      </c>
      <c r="M330" s="22" t="inlineStr">
        <is>
          <t>Enero corresponde al inicio del año, cuando rige la previsión ordinaria; abrirlo a cualquier mes eliminaría la planeación del sistema.</t>
        </is>
      </c>
      <c r="N330" s="22" t="inlineStr">
        <is>
          <t>Resolución 1478 de 2006, art. 64</t>
        </is>
      </c>
      <c r="O330" s="22" t="inlineStr">
        <is>
          <t>SI</t>
        </is>
      </c>
      <c r="P330" s="16" t="inlineStr">
        <is>
          <t>Alta</t>
        </is>
      </c>
      <c r="Q330" s="16" t="inlineStr">
        <is>
          <t>v2</t>
        </is>
      </c>
      <c r="R330" s="16" t="inlineStr">
        <is>
          <t>Específico</t>
        </is>
      </c>
    </row>
    <row r="331" ht="23.25" customHeight="1" s="12">
      <c r="A331" s="22" t="inlineStr">
        <is>
          <t>F110-3</t>
        </is>
      </c>
      <c r="B331" s="22" t="inlineStr">
        <is>
          <t>fne</t>
        </is>
      </c>
      <c r="C331" s="22" t="inlineStr">
        <is>
          <t>Comercio internacional de sustancias fiscalizadas</t>
        </is>
      </c>
      <c r="D331" s="22" t="inlineStr">
        <is>
          <t>C110</t>
        </is>
      </c>
      <c r="E331" s="22" t="inlineStr">
        <is>
          <t>Licitación que duplica el consumo</t>
        </is>
      </c>
      <c r="F331" s="22" t="inlineStr">
        <is>
          <t>Una empresa ganó en septiembre una licitación hospitalaria que duplica su consumo de un opioide. Su cupo del año ya está copado y el contrato empieza en dos meses.</t>
        </is>
      </c>
      <c r="G331" s="22" t="inlineStr">
        <is>
          <t>En el caso de la licitación adjudicada, la empresa debe allegar</t>
        </is>
      </c>
      <c r="H331" s="22" t="inlineStr">
        <is>
          <t>La carta de recomendación de la entidad contratante</t>
        </is>
      </c>
      <c r="I331" s="22" t="inlineStr">
        <is>
          <t>El recibo de pago de la póliza de cumplimiento</t>
        </is>
      </c>
      <c r="J331" s="22" t="inlineStr">
        <is>
          <t>Copia del contrato, para el estudio del Fondo</t>
        </is>
      </c>
      <c r="K331" s="22" t="inlineStr">
        <is>
          <t>C</t>
        </is>
      </c>
      <c r="L331" s="22" t="inlineStr">
        <is>
          <t>El parágrafo del art. 63 lo exige.</t>
        </is>
      </c>
      <c r="M331" s="22" t="inlineStr">
        <is>
          <t>Una carta de recomendación no acredita la necesidad; el recibo de la póliza prueba un pago, no el mayor consumo.</t>
        </is>
      </c>
      <c r="N331" s="22" t="inlineStr">
        <is>
          <t>Resolución 1478 de 2006, arts. 63 y 64</t>
        </is>
      </c>
      <c r="O331" s="22" t="inlineStr">
        <is>
          <t>SI</t>
        </is>
      </c>
      <c r="P331" s="16" t="inlineStr">
        <is>
          <t>Alta</t>
        </is>
      </c>
      <c r="Q331" s="16" t="inlineStr">
        <is>
          <t>v2</t>
        </is>
      </c>
      <c r="R331" s="16" t="inlineStr">
        <is>
          <t>Específico</t>
        </is>
      </c>
    </row>
    <row r="332" ht="34.5" customHeight="1" s="12">
      <c r="A332" s="22" t="inlineStr">
        <is>
          <t>F111-1</t>
        </is>
      </c>
      <c r="B332" s="22" t="inlineStr">
        <is>
          <t>fne</t>
        </is>
      </c>
      <c r="C332" s="22" t="inlineStr">
        <is>
          <t>Control y fiscalización de medicamentos de control especial</t>
        </is>
      </c>
      <c r="D332" s="22" t="inlineStr">
        <is>
          <t>C111</t>
        </is>
      </c>
      <c r="E332" s="22" t="inlineStr">
        <is>
          <t>Médica rural que necesita recetario</t>
        </is>
      </c>
      <c r="F332" s="22" t="inlineStr">
        <is>
          <t>Una médica rural pregunta dónde consigue el recetario oficial, cuántas copias tiene cada fórmula y si puede incluir en ella el analgésico común que también necesita su paciente.</t>
        </is>
      </c>
      <c r="G332" s="22" t="inlineStr">
        <is>
          <t>Los únicos autorizados para emitir, distribuir y vender el recetario oficial para médicos son</t>
        </is>
      </c>
      <c r="H332" s="22" t="inlineStr">
        <is>
          <t>Los Fondos Rotatorios de Estupefacientes</t>
        </is>
      </c>
      <c r="I332" s="22" t="inlineStr">
        <is>
          <t>Las EPS con red propia de farmacias</t>
        </is>
      </c>
      <c r="J332" s="22" t="inlineStr">
        <is>
          <t>Las droguerías inscritas ante el Fondo</t>
        </is>
      </c>
      <c r="K332" s="22" t="inlineStr">
        <is>
          <t>A</t>
        </is>
      </c>
      <c r="L332" s="22" t="inlineStr">
        <is>
          <t>La Resolución 1478 de 2006, art. 84, lo dispone.</t>
        </is>
      </c>
      <c r="M332" s="22" t="inlineStr">
        <is>
          <t>Las EPS no emiten recetarios oficiales; las droguerías dispensan, pero no distribuyen ni venden los talonarios.</t>
        </is>
      </c>
      <c r="N332" s="22" t="inlineStr">
        <is>
          <t>Resolución 1478 de 2006, arts. 84, 86 y 90</t>
        </is>
      </c>
      <c r="O332" s="22" t="inlineStr">
        <is>
          <t>SI</t>
        </is>
      </c>
      <c r="P332" s="16" t="inlineStr">
        <is>
          <t>Basica</t>
        </is>
      </c>
      <c r="Q332" s="16" t="inlineStr">
        <is>
          <t>v2</t>
        </is>
      </c>
      <c r="R332" s="16" t="inlineStr">
        <is>
          <t>Específico</t>
        </is>
      </c>
    </row>
    <row r="333" ht="34.5" customHeight="1" s="12">
      <c r="A333" s="22" t="inlineStr">
        <is>
          <t>F111-2</t>
        </is>
      </c>
      <c r="B333" s="22" t="inlineStr">
        <is>
          <t>fne</t>
        </is>
      </c>
      <c r="C333" s="22" t="inlineStr">
        <is>
          <t>Control y fiscalización de medicamentos de control especial</t>
        </is>
      </c>
      <c r="D333" s="22" t="inlineStr">
        <is>
          <t>C111</t>
        </is>
      </c>
      <c r="E333" s="22" t="inlineStr">
        <is>
          <t>Médica rural que necesita recetario</t>
        </is>
      </c>
      <c r="F333" s="22" t="inlineStr">
        <is>
          <t>Una médica rural pregunta dónde consigue el recetario oficial, cuántas copias tiene cada fórmula y si puede incluir en ella el analgésico común que también necesita su paciente.</t>
        </is>
      </c>
      <c r="G333" s="22" t="inlineStr">
        <is>
          <t>El recetario oficial tiene</t>
        </is>
      </c>
      <c r="H333" s="22" t="inlineStr">
        <is>
          <t>Un original para quien dispensa, sin copias, para evitar su reutilización</t>
        </is>
      </c>
      <c r="I333" s="22" t="inlineStr">
        <is>
          <t>Un original y dos copias</t>
        </is>
      </c>
      <c r="J333" s="22" t="inlineStr">
        <is>
          <t>Dos originales y una copia de archivo</t>
        </is>
      </c>
      <c r="K333" s="22" t="inlineStr">
        <is>
          <t>B</t>
        </is>
      </c>
      <c r="L333" s="22" t="inlineStr">
        <is>
          <t>La Resolución 1478 de 2006, art. 86, lo establece.</t>
        </is>
      </c>
      <c r="M333" s="22" t="inlineStr">
        <is>
          <t>Un original sin copias impide el control cruzado; dos originales y una copia de archivo no es la estructura que fija la norma para el recetario.</t>
        </is>
      </c>
      <c r="N333" s="22" t="inlineStr">
        <is>
          <t>Resolución 1478 de 2006, arts. 84, 86 y 90</t>
        </is>
      </c>
      <c r="O333" s="22" t="inlineStr">
        <is>
          <t>SI</t>
        </is>
      </c>
      <c r="P333" s="16" t="inlineStr">
        <is>
          <t>Basica</t>
        </is>
      </c>
      <c r="Q333" s="16" t="inlineStr">
        <is>
          <t>v2</t>
        </is>
      </c>
      <c r="R333" s="16" t="inlineStr">
        <is>
          <t>Específico</t>
        </is>
      </c>
    </row>
    <row r="334" ht="34.5" customHeight="1" s="12">
      <c r="A334" s="22" t="inlineStr">
        <is>
          <t>F111-3</t>
        </is>
      </c>
      <c r="B334" s="22" t="inlineStr">
        <is>
          <t>fne</t>
        </is>
      </c>
      <c r="C334" s="22" t="inlineStr">
        <is>
          <t>Control y fiscalización de medicamentos de control especial</t>
        </is>
      </c>
      <c r="D334" s="22" t="inlineStr">
        <is>
          <t>C111</t>
        </is>
      </c>
      <c r="E334" s="22" t="inlineStr">
        <is>
          <t>Médica rural que necesita recetario</t>
        </is>
      </c>
      <c r="F334" s="22" t="inlineStr">
        <is>
          <t>Una médica rural pregunta dónde consigue el recetario oficial, cuántas copias tiene cada fórmula y si puede incluir en ella el analgésico común que también necesita su paciente.</t>
        </is>
      </c>
      <c r="G334" s="22" t="inlineStr">
        <is>
          <t>En la fórmula del recetario oficial</t>
        </is>
      </c>
      <c r="H334" s="22" t="inlineStr">
        <is>
          <t>Pueden incluirse otros medicamentos del tratamiento</t>
        </is>
      </c>
      <c r="I334" s="22" t="inlineStr">
        <is>
          <t>Solo se prescriben medicamentos de control especial</t>
        </is>
      </c>
      <c r="J334" s="22" t="inlineStr">
        <is>
          <t>Puede formularse cualquier producto</t>
        </is>
      </c>
      <c r="K334" s="22" t="inlineStr">
        <is>
          <t>B</t>
        </is>
      </c>
      <c r="L334" s="22" t="inlineStr">
        <is>
          <t>La Resolución 1478 de 2006, art. 90, exige fórmula única para control especial.</t>
        </is>
      </c>
      <c r="M334" s="22" t="inlineStr">
        <is>
          <t>Incluir otros medicamentos mezcla la fórmula única; permitir cualquier producto haría del recetario un formato común.</t>
        </is>
      </c>
      <c r="N334" s="22" t="inlineStr">
        <is>
          <t>Resolución 1478 de 2006, arts. 84, 86 y 90</t>
        </is>
      </c>
      <c r="O334" s="22" t="inlineStr">
        <is>
          <t>SI</t>
        </is>
      </c>
      <c r="P334" s="16" t="inlineStr">
        <is>
          <t>Basica</t>
        </is>
      </c>
      <c r="Q334" s="16" t="inlineStr">
        <is>
          <t>v2</t>
        </is>
      </c>
      <c r="R334" s="16" t="inlineStr">
        <is>
          <t>Específico</t>
        </is>
      </c>
    </row>
    <row r="335" ht="34.5" customHeight="1" s="12">
      <c r="A335" s="22" t="inlineStr">
        <is>
          <t>F112-1</t>
        </is>
      </c>
      <c r="B335" s="22" t="inlineStr">
        <is>
          <t>fne</t>
        </is>
      </c>
      <c r="C335" s="22" t="inlineStr">
        <is>
          <t>Control y fiscalización de medicamentos de control especial</t>
        </is>
      </c>
      <c r="D335" s="22" t="inlineStr">
        <is>
          <t>C112</t>
        </is>
      </c>
      <c r="E335" s="22" t="inlineStr">
        <is>
          <t>Talonario hurtado de la camioneta</t>
        </is>
      </c>
      <c r="F335" s="22" t="inlineStr">
        <is>
          <t>Una médica de un hospital rural reporta que le hurtaron el talonario del recetario oficial de la camioneta. La institución compró los talonarios y el hurto ocurrió el viernes en la noche.</t>
        </is>
      </c>
      <c r="G335" s="22" t="inlineStr">
        <is>
          <t>Ante el extravío, la médica debe</t>
        </is>
      </c>
      <c r="H335" s="22" t="inlineStr">
        <is>
          <t>Comprar otro talonario</t>
        </is>
      </c>
      <c r="I335" s="22" t="inlineStr">
        <is>
          <t>Informar a la IPS y esperar unos días por si aparece</t>
        </is>
      </c>
      <c r="J335" s="22" t="inlineStr">
        <is>
          <t>Denunciar e informar por escrito al Fondo Rotatorio</t>
        </is>
      </c>
      <c r="K335" s="22" t="inlineStr">
        <is>
          <t>C</t>
        </is>
      </c>
      <c r="L335" s="22" t="inlineStr">
        <is>
          <t>La Resolución 1478 de 2006, art. 87, lo ordena.</t>
        </is>
      </c>
      <c r="M335" s="22" t="inlineStr">
        <is>
          <t>Comprar otro talonario sin denunciar deja el extraviado en circulación; esperar unos días retrasa el bloqueo de un documento sensible.</t>
        </is>
      </c>
      <c r="N335" s="22" t="inlineStr">
        <is>
          <t>Resolución 1478 de 2006, arts. 84, 87 y 89</t>
        </is>
      </c>
      <c r="O335" s="22" t="inlineStr">
        <is>
          <t>SI</t>
        </is>
      </c>
      <c r="P335" s="16" t="inlineStr">
        <is>
          <t>Alta</t>
        </is>
      </c>
      <c r="Q335" s="16" t="inlineStr">
        <is>
          <t>v2</t>
        </is>
      </c>
      <c r="R335" s="16" t="inlineStr">
        <is>
          <t>Específico</t>
        </is>
      </c>
    </row>
    <row r="336" ht="34.5" customHeight="1" s="12">
      <c r="A336" s="22" t="inlineStr">
        <is>
          <t>F112-2</t>
        </is>
      </c>
      <c r="B336" s="22" t="inlineStr">
        <is>
          <t>fne</t>
        </is>
      </c>
      <c r="C336" s="22" t="inlineStr">
        <is>
          <t>Control y fiscalización de medicamentos de control especial</t>
        </is>
      </c>
      <c r="D336" s="22" t="inlineStr">
        <is>
          <t>C112</t>
        </is>
      </c>
      <c r="E336" s="22" t="inlineStr">
        <is>
          <t>Talonario hurtado de la camioneta</t>
        </is>
      </c>
      <c r="F336" s="22" t="inlineStr">
        <is>
          <t>Una médica de un hospital rural reporta que le hurtaron el talonario del recetario oficial de la camioneta. La institución compró los talonarios y el hurto ocurrió el viernes en la noche.</t>
        </is>
      </c>
      <c r="G336" s="22" t="inlineStr">
        <is>
          <t>En la prescripción, la cantidad total del medicamento debe escribirse</t>
        </is>
      </c>
      <c r="H336" s="22" t="inlineStr">
        <is>
          <t>Solo en números</t>
        </is>
      </c>
      <c r="I336" s="22" t="inlineStr">
        <is>
          <t>En letras y con las abreviaturas permitidas</t>
        </is>
      </c>
      <c r="J336" s="22" t="inlineStr">
        <is>
          <t>En números y letras</t>
        </is>
      </c>
      <c r="K336" s="22" t="inlineStr">
        <is>
          <t>C</t>
        </is>
      </c>
      <c r="L336" s="22" t="inlineStr">
        <is>
          <t>La Resolución 1478 de 2006, art. 89, lo exige.</t>
        </is>
      </c>
      <c r="M336" s="22" t="inlineStr">
        <is>
          <t>Escribir solo en números facilita la alteración de la cifra; las abreviaturas generan ambigüedad en la dispensación.</t>
        </is>
      </c>
      <c r="N336" s="22" t="inlineStr">
        <is>
          <t>Resolución 1478 de 2006, arts. 84, 87 y 89</t>
        </is>
      </c>
      <c r="O336" s="22" t="inlineStr">
        <is>
          <t>SI</t>
        </is>
      </c>
      <c r="P336" s="16" t="inlineStr">
        <is>
          <t>Alta</t>
        </is>
      </c>
      <c r="Q336" s="16" t="inlineStr">
        <is>
          <t>v2</t>
        </is>
      </c>
      <c r="R336" s="16" t="inlineStr">
        <is>
          <t>Específico</t>
        </is>
      </c>
    </row>
    <row r="337" ht="34.5" customHeight="1" s="12">
      <c r="A337" s="22" t="inlineStr">
        <is>
          <t>F112-3</t>
        </is>
      </c>
      <c r="B337" s="22" t="inlineStr">
        <is>
          <t>fne</t>
        </is>
      </c>
      <c r="C337" s="22" t="inlineStr">
        <is>
          <t>Control y fiscalización de medicamentos de control especial</t>
        </is>
      </c>
      <c r="D337" s="22" t="inlineStr">
        <is>
          <t>C112</t>
        </is>
      </c>
      <c r="E337" s="22" t="inlineStr">
        <is>
          <t>Talonario hurtado de la camioneta</t>
        </is>
      </c>
      <c r="F337" s="22" t="inlineStr">
        <is>
          <t>Una médica de un hospital rural reporta que le hurtaron el talonario del recetario oficial de la camioneta. La institución compró los talonarios y el hurto ocurrió el viernes en la noche.</t>
        </is>
      </c>
      <c r="G337" s="22" t="inlineStr">
        <is>
          <t>Las instituciones que compran recetarios para sus médicos</t>
        </is>
      </c>
      <c r="H337" s="22" t="inlineStr">
        <is>
          <t>Responden solo por los recetarios que hayan sido extraviados</t>
        </is>
      </c>
      <c r="I337" s="22" t="inlineStr">
        <is>
          <t>Son solidariamente responsables de su buen uso</t>
        </is>
      </c>
      <c r="J337" s="22" t="inlineStr">
        <is>
          <t>Trasladan la responsabilidad al médico que recibe el talonario</t>
        </is>
      </c>
      <c r="K337" s="22" t="inlineStr">
        <is>
          <t>B</t>
        </is>
      </c>
      <c r="L337" s="22" t="inlineStr">
        <is>
          <t>El parágrafo del art. 84 lo establece.</t>
        </is>
      </c>
      <c r="M337" s="22" t="inlineStr">
        <is>
          <t>Limitar la responsabilidad a los extraviados deja sin control el resto; trasladarla al médico libera a la institución que los adquirió.</t>
        </is>
      </c>
      <c r="N337" s="22" t="inlineStr">
        <is>
          <t>Resolución 1478 de 2006, arts. 84, 87 y 89</t>
        </is>
      </c>
      <c r="O337" s="22" t="inlineStr">
        <is>
          <t>SI</t>
        </is>
      </c>
      <c r="P337" s="16" t="inlineStr">
        <is>
          <t>Alta</t>
        </is>
      </c>
      <c r="Q337" s="16" t="inlineStr">
        <is>
          <t>v2</t>
        </is>
      </c>
      <c r="R337" s="16" t="inlineStr">
        <is>
          <t>Específico</t>
        </is>
      </c>
    </row>
    <row r="338" ht="34.5" customHeight="1" s="12">
      <c r="A338" s="22" t="inlineStr">
        <is>
          <t>F113-1</t>
        </is>
      </c>
      <c r="B338" s="22" t="inlineStr">
        <is>
          <t>fne</t>
        </is>
      </c>
      <c r="C338" s="22" t="inlineStr">
        <is>
          <t>Control y fiscalización de medicamentos de control especial</t>
        </is>
      </c>
      <c r="D338" s="22" t="inlineStr">
        <is>
          <t>C113</t>
        </is>
      </c>
      <c r="E338" s="22" t="inlineStr">
        <is>
          <t>Tres fórmulas en duda</t>
        </is>
      </c>
      <c r="F338" s="22" t="inlineStr">
        <is>
          <t>Un farmacéutico duda ante tres fórmulas: un analgésico narcótico para 45 días, fenobarbital para 80 días y una prescripción firmada por un odontólogo del mismo hospital.</t>
        </is>
      </c>
      <c r="G338" s="22" t="inlineStr">
        <is>
          <t>Para analgésicos narcóticos y la mayoría de medicamentos de control especial, la prescripción puede cubrir hasta</t>
        </is>
      </c>
      <c r="H338" s="22" t="inlineStr">
        <is>
          <t>Noventa (90) días calendario</t>
        </is>
      </c>
      <c r="I338" s="22" t="inlineStr">
        <is>
          <t>Treinta (30) días calendario</t>
        </is>
      </c>
      <c r="J338" s="22" t="inlineStr">
        <is>
          <t>Un (1) año</t>
        </is>
      </c>
      <c r="K338" s="22" t="inlineStr">
        <is>
          <t>B</t>
        </is>
      </c>
      <c r="L338" s="22" t="inlineStr">
        <is>
          <t>Treinta (30) días calendario de tratamiento como máximo por prescripción, para la mayoría de medicamentos de control especial. Resolución 1478 de 2006, artículo 80.</t>
        </is>
      </c>
      <c r="M338" s="22" t="inlineStr">
        <is>
          <t>Noventa días corresponde al fenobarbital; un año excede cualquier límite previsto para estos medicamentos.</t>
        </is>
      </c>
      <c r="N338" s="22" t="inlineStr">
        <is>
          <t>Resolución 1478 de 2006, art. 80</t>
        </is>
      </c>
      <c r="O338" s="22" t="inlineStr">
        <is>
          <t>SI</t>
        </is>
      </c>
      <c r="P338" s="16" t="inlineStr">
        <is>
          <t>Alta</t>
        </is>
      </c>
      <c r="Q338" s="16" t="inlineStr">
        <is>
          <t>v2</t>
        </is>
      </c>
      <c r="R338" s="16" t="inlineStr">
        <is>
          <t>Específico</t>
        </is>
      </c>
    </row>
    <row r="339" ht="34.5" customHeight="1" s="12">
      <c r="A339" s="22" t="inlineStr">
        <is>
          <t>F113-2</t>
        </is>
      </c>
      <c r="B339" s="22" t="inlineStr">
        <is>
          <t>fne</t>
        </is>
      </c>
      <c r="C339" s="22" t="inlineStr">
        <is>
          <t>Control y fiscalización de medicamentos de control especial</t>
        </is>
      </c>
      <c r="D339" s="22" t="inlineStr">
        <is>
          <t>C113</t>
        </is>
      </c>
      <c r="E339" s="22" t="inlineStr">
        <is>
          <t>Tres fórmulas en duda</t>
        </is>
      </c>
      <c r="F339" s="22" t="inlineStr">
        <is>
          <t>Un farmacéutico duda ante tres fórmulas: un analgésico narcótico para 45 días, fenobarbital para 80 días y una prescripción firmada por un odontólogo del mismo hospital.</t>
        </is>
      </c>
      <c r="G339" s="22" t="inlineStr">
        <is>
          <t>Para fenobarbital, la prescripción puede cubrir hasta</t>
        </is>
      </c>
      <c r="H339" s="22" t="inlineStr">
        <is>
          <t>Noventa (90) días calendario</t>
        </is>
      </c>
      <c r="I339" s="22" t="inlineStr">
        <is>
          <t>Treinta (30) días, igual que los demás medicamentos de control especial</t>
        </is>
      </c>
      <c r="J339" s="22" t="inlineStr">
        <is>
          <t>Siete (7) días, por tratarse de un barbitúrico con riesgo de dependencia</t>
        </is>
      </c>
      <c r="K339" s="22" t="inlineStr">
        <is>
          <t>A</t>
        </is>
      </c>
      <c r="L339" s="22" t="inlineStr">
        <is>
          <t>Noventa (90) días calendario para el fenobarbital. Resolución 1478 de 2006, artículo 80, parágrafo.</t>
        </is>
      </c>
      <c r="M339" s="22" t="inlineStr">
        <is>
          <t>Treinta días es el límite general de los demás; siete días no corresponde a ningún supuesto de la norma.</t>
        </is>
      </c>
      <c r="N339" s="22" t="inlineStr">
        <is>
          <t>Resolución 1478 de 2006, art. 80, parágrafo</t>
        </is>
      </c>
      <c r="O339" s="22" t="inlineStr">
        <is>
          <t>SI</t>
        </is>
      </c>
      <c r="P339" s="16" t="inlineStr">
        <is>
          <t>Alta</t>
        </is>
      </c>
      <c r="Q339" s="16" t="inlineStr">
        <is>
          <t>v2</t>
        </is>
      </c>
      <c r="R339" s="16" t="inlineStr">
        <is>
          <t>Específico</t>
        </is>
      </c>
    </row>
    <row r="340" ht="34.5" customHeight="1" s="12">
      <c r="A340" s="22" t="inlineStr">
        <is>
          <t>F113-3</t>
        </is>
      </c>
      <c r="B340" s="22" t="inlineStr">
        <is>
          <t>fne</t>
        </is>
      </c>
      <c r="C340" s="22" t="inlineStr">
        <is>
          <t>Control y fiscalización de medicamentos de control especial</t>
        </is>
      </c>
      <c r="D340" s="22" t="inlineStr">
        <is>
          <t>C113</t>
        </is>
      </c>
      <c r="E340" s="22" t="inlineStr">
        <is>
          <t>Tres fórmulas en duda</t>
        </is>
      </c>
      <c r="F340" s="22" t="inlineStr">
        <is>
          <t>Un farmacéutico duda ante tres fórmulas: un analgésico narcótico para 45 días, fenobarbital para 80 días y una prescripción firmada por un odontólogo del mismo hospital.</t>
        </is>
      </c>
      <c r="G340" s="22" t="inlineStr">
        <is>
          <t>Pueden prescribir medicamentos de control especial en el recetario oficial</t>
        </is>
      </c>
      <c r="H340" s="22" t="inlineStr">
        <is>
          <t>Los médicos y los regentes de farmacia a cargo de la dispensación</t>
        </is>
      </c>
      <c r="I340" s="22" t="inlineStr">
        <is>
          <t>Todos los profesionales de la salud inscritos en el registro nacional</t>
        </is>
      </c>
      <c r="J340" s="22" t="inlineStr">
        <is>
          <t>Los médicos y los médicos veterinarios</t>
        </is>
      </c>
      <c r="K340" s="22" t="inlineStr">
        <is>
          <t>C</t>
        </is>
      </c>
      <c r="L340" s="22" t="inlineStr">
        <is>
          <t>La Resolución 1478 de 2006, art. 81, lo establece.</t>
        </is>
      </c>
      <c r="M340" s="22" t="inlineStr">
        <is>
          <t>Los regentes dispensan, no prescriben; extenderlo a todos los profesionales de la salud amplía una facultad reservada por la norma.</t>
        </is>
      </c>
      <c r="N340" s="22" t="inlineStr">
        <is>
          <t>Resolución 1478 de 2006, arts. 80 y 81</t>
        </is>
      </c>
      <c r="O340" s="22" t="inlineStr">
        <is>
          <t>SI</t>
        </is>
      </c>
      <c r="P340" s="16" t="inlineStr">
        <is>
          <t>Alta</t>
        </is>
      </c>
      <c r="Q340" s="16" t="inlineStr">
        <is>
          <t>v2</t>
        </is>
      </c>
      <c r="R340" s="16" t="inlineStr">
        <is>
          <t>Específico</t>
        </is>
      </c>
    </row>
    <row r="341" ht="34.5" customHeight="1" s="12">
      <c r="A341" s="22" t="inlineStr">
        <is>
          <t>F114-1</t>
        </is>
      </c>
      <c r="B341" s="22" t="inlineStr">
        <is>
          <t>fne</t>
        </is>
      </c>
      <c r="C341" s="22" t="inlineStr">
        <is>
          <t>Control y fiscalización de medicamentos de control especial</t>
        </is>
      </c>
      <c r="D341" s="22" t="inlineStr">
        <is>
          <t>C114</t>
        </is>
      </c>
      <c r="E341" s="22" t="inlineStr">
        <is>
          <t>Dispensación irregular en una droguería</t>
        </is>
      </c>
      <c r="F341" s="22" t="inlineStr">
        <is>
          <t>En una droguería de Neiva encuentra dos fórmulas de control especial dispensadas 20 días después de expedidas, una prescripción hecha por el propio médico para sí mismo y tres entregas sin recetario oficial.</t>
        </is>
      </c>
      <c r="G341" s="22" t="inlineStr">
        <is>
          <t>Dispensar con más de quince días de expedida la prescripción es, según la Resolución 1478,</t>
        </is>
      </c>
      <c r="H341" s="22" t="inlineStr">
        <is>
          <t>Una infracción leve</t>
        </is>
      </c>
      <c r="I341" s="22" t="inlineStr">
        <is>
          <t>Una infracción muy grave</t>
        </is>
      </c>
      <c r="J341" s="22" t="inlineStr">
        <is>
          <t>Una conducta permitida</t>
        </is>
      </c>
      <c r="K341" s="22" t="inlineStr">
        <is>
          <t>A</t>
        </is>
      </c>
      <c r="L341" s="22" t="inlineStr">
        <is>
          <t>Dispensar una fórmula con más de quince (15) días de expedida es infracción leve. Resolución 1478 de 2006, artículo 97, numeral 1.</t>
        </is>
      </c>
      <c r="M341" s="22" t="inlineStr">
        <is>
          <t>Calificarla como muy grave desborda la gravedad de la conducta; considerarla permitida desconoce el límite de validez de la fórmula.</t>
        </is>
      </c>
      <c r="N341" s="22" t="inlineStr">
        <is>
          <t>Resolución 1478 de 2006, arts. 90 y 97, num. 1</t>
        </is>
      </c>
      <c r="O341" s="22" t="inlineStr">
        <is>
          <t>SI</t>
        </is>
      </c>
      <c r="P341" s="16" t="inlineStr">
        <is>
          <t>Basica</t>
        </is>
      </c>
      <c r="Q341" s="16" t="inlineStr">
        <is>
          <t>v2</t>
        </is>
      </c>
      <c r="R341" s="16" t="inlineStr">
        <is>
          <t>Específico</t>
        </is>
      </c>
    </row>
    <row r="342" ht="34.5" customHeight="1" s="12">
      <c r="A342" s="22" t="inlineStr">
        <is>
          <t>F114-2</t>
        </is>
      </c>
      <c r="B342" s="22" t="inlineStr">
        <is>
          <t>fne</t>
        </is>
      </c>
      <c r="C342" s="22" t="inlineStr">
        <is>
          <t>Control y fiscalización de medicamentos de control especial</t>
        </is>
      </c>
      <c r="D342" s="22" t="inlineStr">
        <is>
          <t>C114</t>
        </is>
      </c>
      <c r="E342" s="22" t="inlineStr">
        <is>
          <t>Dispensación irregular en una droguería</t>
        </is>
      </c>
      <c r="F342" s="22" t="inlineStr">
        <is>
          <t>En una droguería de Neiva encuentra dos fórmulas de control especial dispensadas 20 días después de expedidas, una prescripción hecha por el propio médico para sí mismo y tres entregas sin recetario oficial.</t>
        </is>
      </c>
      <c r="G342" s="22" t="inlineStr">
        <is>
          <t>Dispensar medicamentos de control especial sin recetario oficial es una infracción</t>
        </is>
      </c>
      <c r="H342" s="22" t="inlineStr">
        <is>
          <t>Leve</t>
        </is>
      </c>
      <c r="I342" s="22" t="inlineStr">
        <is>
          <t>Grave</t>
        </is>
      </c>
      <c r="J342" s="22" t="inlineStr">
        <is>
          <t>Que no tiene sanción</t>
        </is>
      </c>
      <c r="K342" s="22" t="inlineStr">
        <is>
          <t>B</t>
        </is>
      </c>
      <c r="L342" s="22" t="inlineStr">
        <is>
          <t>El art. 97, numeral 2, la tipifica como grave.</t>
        </is>
      </c>
      <c r="M342" s="22" t="inlineStr">
        <is>
          <t>Tratarla como leve subvalora la falta de control del documento; decir que no tiene sanción deja sin consecuencia una conducta tipificada.</t>
        </is>
      </c>
      <c r="N342" s="22" t="inlineStr">
        <is>
          <t>Resolución 1478 de 2006, arts. 80, 90 y 97</t>
        </is>
      </c>
      <c r="O342" s="22" t="inlineStr">
        <is>
          <t>SI</t>
        </is>
      </c>
      <c r="P342" s="16" t="inlineStr">
        <is>
          <t>Basica</t>
        </is>
      </c>
      <c r="Q342" s="16" t="inlineStr">
        <is>
          <t>v2</t>
        </is>
      </c>
      <c r="R342" s="16" t="inlineStr">
        <is>
          <t>Específico</t>
        </is>
      </c>
    </row>
    <row r="343" ht="34.5" customHeight="1" s="12">
      <c r="A343" s="22" t="inlineStr">
        <is>
          <t>F114-3</t>
        </is>
      </c>
      <c r="B343" s="22" t="inlineStr">
        <is>
          <t>fne</t>
        </is>
      </c>
      <c r="C343" s="22" t="inlineStr">
        <is>
          <t>Control y fiscalización de medicamentos de control especial</t>
        </is>
      </c>
      <c r="D343" s="22" t="inlineStr">
        <is>
          <t>C114</t>
        </is>
      </c>
      <c r="E343" s="22" t="inlineStr">
        <is>
          <t>Dispensación irregular en una droguería</t>
        </is>
      </c>
      <c r="F343" s="22" t="inlineStr">
        <is>
          <t>En una droguería de Neiva encuentra dos fórmulas de control especial dispensadas 20 días después de expedidas, una prescripción hecha por el propio médico para sí mismo y tres entregas sin recetario oficial.</t>
        </is>
      </c>
      <c r="G343" s="22" t="inlineStr">
        <is>
          <t>Que un médico se autoformule medicamentos de control especial es</t>
        </is>
      </c>
      <c r="H343" s="22" t="inlineStr">
        <is>
          <t>Una práctica autorizada</t>
        </is>
      </c>
      <c r="I343" s="22" t="inlineStr">
        <is>
          <t>Obligatorio para su tratamiento</t>
        </is>
      </c>
      <c r="J343" s="22" t="inlineStr">
        <is>
          <t>Una infracción</t>
        </is>
      </c>
      <c r="K343" s="22" t="inlineStr">
        <is>
          <t>C</t>
        </is>
      </c>
      <c r="L343" s="22" t="inlineStr">
        <is>
          <t>El art. 97 tipifica la autoformulación como infracción leve.</t>
        </is>
      </c>
      <c r="M343" s="22" t="inlineStr">
        <is>
          <t>Llamarla práctica autorizada legaliza la autoformulación; sostener que es obligatoria invierte por completo la regla.</t>
        </is>
      </c>
      <c r="N343" s="22" t="inlineStr">
        <is>
          <t>Resolución 1478 de 2006, arts. 80, 90 y 97</t>
        </is>
      </c>
      <c r="O343" s="22" t="inlineStr">
        <is>
          <t>SI</t>
        </is>
      </c>
      <c r="P343" s="16" t="inlineStr">
        <is>
          <t>Basica</t>
        </is>
      </c>
      <c r="Q343" s="16" t="inlineStr">
        <is>
          <t>v2</t>
        </is>
      </c>
      <c r="R343" s="16" t="inlineStr">
        <is>
          <t>Específico</t>
        </is>
      </c>
    </row>
    <row r="344" ht="34.5" customHeight="1" s="12">
      <c r="A344" s="22" t="inlineStr">
        <is>
          <t>F115-1</t>
        </is>
      </c>
      <c r="B344" s="22" t="inlineStr">
        <is>
          <t>fne</t>
        </is>
      </c>
      <c r="C344" s="22" t="inlineStr">
        <is>
          <t>Control y fiscalización de medicamentos de control especial</t>
        </is>
      </c>
      <c r="D344" s="22" t="inlineStr">
        <is>
          <t>C115</t>
        </is>
      </c>
      <c r="E344" s="22" t="inlineStr">
        <is>
          <t>Faltantes y envío a no inscrito</t>
        </is>
      </c>
      <c r="F344" s="22" t="inlineStr">
        <is>
          <t>Una visita a un distribuidor arroja tres hallazgos: 200 ampollas faltantes sin justificación, registros sin diligenciar por dos meses y un envío a un establecimiento no inscrito.</t>
        </is>
      </c>
      <c r="G344" s="22" t="inlineStr">
        <is>
          <t>Desviar sustancias o medicamentos fiscalizados hacia canales ilícitos es una infracción</t>
        </is>
      </c>
      <c r="H344" s="22" t="inlineStr">
        <is>
          <t>Grave</t>
        </is>
      </c>
      <c r="I344" s="22" t="inlineStr">
        <is>
          <t>Muy grave</t>
        </is>
      </c>
      <c r="J344" s="22" t="inlineStr">
        <is>
          <t>Leve</t>
        </is>
      </c>
      <c r="K344" s="22" t="inlineStr">
        <is>
          <t>B</t>
        </is>
      </c>
      <c r="L344" s="22" t="inlineStr">
        <is>
          <t>La Resolución 1478 de 2006, art. 97, la califica como muy grave.</t>
        </is>
      </c>
      <c r="M344" s="22" t="inlineStr">
        <is>
          <t>Calificarlo como grave o leve subvalora el desvío, que es la conducta más lesiva del sistema de fiscalización.</t>
        </is>
      </c>
      <c r="N344" s="22" t="inlineStr">
        <is>
          <t>Resolución 1478 de 2006, arts. 96 y 97</t>
        </is>
      </c>
      <c r="O344" s="22" t="inlineStr">
        <is>
          <t>SI</t>
        </is>
      </c>
      <c r="P344" s="16" t="inlineStr">
        <is>
          <t>Basica</t>
        </is>
      </c>
      <c r="Q344" s="16" t="inlineStr">
        <is>
          <t>v2</t>
        </is>
      </c>
      <c r="R344" s="16" t="inlineStr">
        <is>
          <t>Específico</t>
        </is>
      </c>
    </row>
    <row r="345" ht="34.5" customHeight="1" s="12">
      <c r="A345" s="22" t="inlineStr">
        <is>
          <t>F115-2</t>
        </is>
      </c>
      <c r="B345" s="22" t="inlineStr">
        <is>
          <t>fne</t>
        </is>
      </c>
      <c r="C345" s="22" t="inlineStr">
        <is>
          <t>Control y fiscalización de medicamentos de control especial</t>
        </is>
      </c>
      <c r="D345" s="22" t="inlineStr">
        <is>
          <t>C115</t>
        </is>
      </c>
      <c r="E345" s="22" t="inlineStr">
        <is>
          <t>Faltantes y envío a no inscrito</t>
        </is>
      </c>
      <c r="F345" s="22" t="inlineStr">
        <is>
          <t>Una visita a un distribuidor arroja tres hallazgos: 200 ampollas faltantes sin justificación, registros sin diligenciar por dos meses y un envío a un establecimiento no inscrito.</t>
        </is>
      </c>
      <c r="G345" s="22" t="inlineStr">
        <is>
          <t>Tener faltantes de medicamentos de control especial sin justificación es una infracción</t>
        </is>
      </c>
      <c r="H345" s="22" t="inlineStr">
        <is>
          <t>Leve</t>
        </is>
      </c>
      <c r="I345" s="22" t="inlineStr">
        <is>
          <t>No sancionable</t>
        </is>
      </c>
      <c r="J345" s="22" t="inlineStr">
        <is>
          <t>Grave</t>
        </is>
      </c>
      <c r="K345" s="22" t="inlineStr">
        <is>
          <t>C</t>
        </is>
      </c>
      <c r="L345" s="22" t="inlineStr">
        <is>
          <t>La Resolución 1478 de 2006, art. 97, la califica como grave.</t>
        </is>
      </c>
      <c r="M345" s="22" t="inlineStr">
        <is>
          <t>Tratarlo como leve resta importancia a un posible desvío; decir que no es sancionable deja sin consecuencia el faltante.</t>
        </is>
      </c>
      <c r="N345" s="22" t="inlineStr">
        <is>
          <t>Resolución 1478 de 2006, arts. 96 y 97</t>
        </is>
      </c>
      <c r="O345" s="22" t="inlineStr">
        <is>
          <t>SI</t>
        </is>
      </c>
      <c r="P345" s="16" t="inlineStr">
        <is>
          <t>Basica</t>
        </is>
      </c>
      <c r="Q345" s="16" t="inlineStr">
        <is>
          <t>v2</t>
        </is>
      </c>
      <c r="R345" s="16" t="inlineStr">
        <is>
          <t>Específico</t>
        </is>
      </c>
    </row>
    <row r="346" ht="34.5" customHeight="1" s="12">
      <c r="A346" s="22" t="inlineStr">
        <is>
          <t>F115-3</t>
        </is>
      </c>
      <c r="B346" s="22" t="inlineStr">
        <is>
          <t>fne</t>
        </is>
      </c>
      <c r="C346" s="22" t="inlineStr">
        <is>
          <t>Control y fiscalización de medicamentos de control especial</t>
        </is>
      </c>
      <c r="D346" s="22" t="inlineStr">
        <is>
          <t>C115</t>
        </is>
      </c>
      <c r="E346" s="22" t="inlineStr">
        <is>
          <t>Faltantes y envío a no inscrito</t>
        </is>
      </c>
      <c r="F346" s="22" t="inlineStr">
        <is>
          <t>Una visita a un distribuidor arroja tres hallazgos: 200 ampollas faltantes sin justificación, registros sin diligenciar por dos meses y un envío a un establecimiento no inscrito.</t>
        </is>
      </c>
      <c r="G346" s="22" t="inlineStr">
        <is>
          <t>Las infracciones se califican atendiendo, entre otros, a</t>
        </is>
      </c>
      <c r="H346" s="22" t="inlineStr">
        <is>
          <t>La antigüedad de la empresa y su tamaño en el mercado</t>
        </is>
      </c>
      <c r="I346" s="22" t="inlineStr">
        <is>
          <t>El riesgo para la salud, el beneficio y la reincidencia</t>
        </is>
      </c>
      <c r="J346" s="22" t="inlineStr">
        <is>
          <t>El número de empleados y el volumen de ventas anual</t>
        </is>
      </c>
      <c r="K346" s="22" t="inlineStr">
        <is>
          <t>B</t>
        </is>
      </c>
      <c r="L346" s="22" t="inlineStr">
        <is>
          <t>La Resolución 1478 de 2006, art. 96, fija esos criterios.</t>
        </is>
      </c>
      <c r="M346" s="22" t="inlineStr">
        <is>
          <t>La antigüedad, el tamaño, el número de empleados y las ventas describen a la empresa, no la gravedad de la conducta.</t>
        </is>
      </c>
      <c r="N346" s="22" t="inlineStr">
        <is>
          <t>Resolución 1478 de 2006, arts. 96 y 97</t>
        </is>
      </c>
      <c r="O346" s="22" t="inlineStr">
        <is>
          <t>SI</t>
        </is>
      </c>
      <c r="P346" s="16" t="inlineStr">
        <is>
          <t>Basica</t>
        </is>
      </c>
      <c r="Q346" s="16" t="inlineStr">
        <is>
          <t>v2</t>
        </is>
      </c>
      <c r="R346" s="16" t="inlineStr">
        <is>
          <t>Específico</t>
        </is>
      </c>
    </row>
    <row r="347" ht="34.5" customHeight="1" s="12">
      <c r="A347" s="22" t="inlineStr">
        <is>
          <t>F116-1</t>
        </is>
      </c>
      <c r="B347" s="22" t="inlineStr">
        <is>
          <t>fne</t>
        </is>
      </c>
      <c r="C347" s="22" t="inlineStr">
        <is>
          <t>Control y fiscalización de medicamentos de control especial</t>
        </is>
      </c>
      <c r="D347" s="22" t="inlineStr">
        <is>
          <t>C116</t>
        </is>
      </c>
      <c r="E347" s="22" t="inlineStr">
        <is>
          <t>Cinco meses sin informes</t>
        </is>
      </c>
      <c r="F347" s="22" t="inlineStr">
        <is>
          <t>Un establecimiento inscrito no envía informes desde hace cinco meses y alega que nadie se los pidió. El Invima, por su parte, acaba de otorgar un registro a un producto con sustancia fiscalizada.</t>
        </is>
      </c>
      <c r="G347" s="22" t="inlineStr">
        <is>
          <t>Los informes mensuales de movimientos se presentan dentro de los</t>
        </is>
      </c>
      <c r="H347" s="22" t="inlineStr">
        <is>
          <t>Primeros diez (10) días calendario de cada mes</t>
        </is>
      </c>
      <c r="I347" s="22" t="inlineStr">
        <is>
          <t>Treinta días siguientes al trimestre</t>
        </is>
      </c>
      <c r="J347" s="22" t="inlineStr">
        <is>
          <t>Últimos cinco días del año</t>
        </is>
      </c>
      <c r="K347" s="22" t="inlineStr">
        <is>
          <t>A</t>
        </is>
      </c>
      <c r="L347" s="22" t="inlineStr">
        <is>
          <t>Los informes mensuales de movimientos se presentan dentro de los primeros diez (10) días calendario del mes siguiente. Resolución 1478 de 2006, artículo 4.</t>
        </is>
      </c>
      <c r="M347" s="22" t="inlineStr">
        <is>
          <t>Treinta días tras el trimestre convierte el informe en trimestral; hacerlo al cierre del año elimina el seguimiento mensual.</t>
        </is>
      </c>
      <c r="N347" s="22" t="inlineStr">
        <is>
          <t>Resolución 1478 de 2006, art. 4</t>
        </is>
      </c>
      <c r="O347" s="22" t="inlineStr">
        <is>
          <t>SI</t>
        </is>
      </c>
      <c r="P347" s="16" t="inlineStr">
        <is>
          <t>Basica</t>
        </is>
      </c>
      <c r="Q347" s="16" t="inlineStr">
        <is>
          <t>v2</t>
        </is>
      </c>
      <c r="R347" s="16" t="inlineStr">
        <is>
          <t>Específico</t>
        </is>
      </c>
    </row>
    <row r="348" ht="34.5" customHeight="1" s="12">
      <c r="A348" s="22" t="inlineStr">
        <is>
          <t>F116-2</t>
        </is>
      </c>
      <c r="B348" s="22" t="inlineStr">
        <is>
          <t>fne</t>
        </is>
      </c>
      <c r="C348" s="22" t="inlineStr">
        <is>
          <t>Control y fiscalización de medicamentos de control especial</t>
        </is>
      </c>
      <c r="D348" s="22" t="inlineStr">
        <is>
          <t>C116</t>
        </is>
      </c>
      <c r="E348" s="22" t="inlineStr">
        <is>
          <t>Cinco meses sin informes</t>
        </is>
      </c>
      <c r="F348" s="22" t="inlineStr">
        <is>
          <t>Un establecimiento inscrito no envía informes desde hace cinco meses y alega que nadie se los pidió. El Invima, por su parte, acaba de otorgar un registro a un producto con sustancia fiscalizada.</t>
        </is>
      </c>
      <c r="G348" s="22" t="inlineStr">
        <is>
          <t>No aportar los informes obligatorios es una infracción</t>
        </is>
      </c>
      <c r="H348" s="22" t="inlineStr">
        <is>
          <t>Muy grave</t>
        </is>
      </c>
      <c r="I348" s="22" t="inlineStr">
        <is>
          <t>Que no se sanciona</t>
        </is>
      </c>
      <c r="J348" s="22" t="inlineStr">
        <is>
          <t>Leve</t>
        </is>
      </c>
      <c r="K348" s="22" t="inlineStr">
        <is>
          <t>C</t>
        </is>
      </c>
      <c r="L348" s="22" t="inlineStr">
        <is>
          <t>El art. 97 la tipifica como leve.</t>
        </is>
      </c>
      <c r="M348" s="22" t="inlineStr">
        <is>
          <t>Calificarla como muy grave desborda la conducta; afirmar que no se sanciona deja sin efecto la obligación de reportar.</t>
        </is>
      </c>
      <c r="N348" s="22" t="inlineStr">
        <is>
          <t>Resolución 1478 de 2006, arts. 4 y 97</t>
        </is>
      </c>
      <c r="O348" s="22" t="inlineStr">
        <is>
          <t>SI</t>
        </is>
      </c>
      <c r="P348" s="16" t="inlineStr">
        <is>
          <t>Basica</t>
        </is>
      </c>
      <c r="Q348" s="16" t="inlineStr">
        <is>
          <t>v2</t>
        </is>
      </c>
      <c r="R348" s="16" t="inlineStr">
        <is>
          <t>Específico</t>
        </is>
      </c>
    </row>
    <row r="349" ht="34.5" customHeight="1" s="12">
      <c r="A349" s="22" t="inlineStr">
        <is>
          <t>F116-3</t>
        </is>
      </c>
      <c r="B349" s="22" t="inlineStr">
        <is>
          <t>fne</t>
        </is>
      </c>
      <c r="C349" s="22" t="inlineStr">
        <is>
          <t>Control y fiscalización de medicamentos de control especial</t>
        </is>
      </c>
      <c r="D349" s="22" t="inlineStr">
        <is>
          <t>C116</t>
        </is>
      </c>
      <c r="E349" s="22" t="inlineStr">
        <is>
          <t>Cinco meses sin informes</t>
        </is>
      </c>
      <c r="F349" s="22" t="inlineStr">
        <is>
          <t>Un establecimiento inscrito no envía informes desde hace cinco meses y alega que nadie se los pidió. El Invima, por su parte, acaba de otorgar un registro a un producto con sustancia fiscalizada.</t>
        </is>
      </c>
      <c r="G349" s="22" t="inlineStr">
        <is>
          <t>El Invima y el ICA deben informar de inmediato al Fondo sobre</t>
        </is>
      </c>
      <c r="H349" s="22" t="inlineStr">
        <is>
          <t>Los registros de productos con sustancias fiscalizadas</t>
        </is>
      </c>
      <c r="I349" s="22" t="inlineStr">
        <is>
          <t>Los procesos de contratación que adelanten en el año</t>
        </is>
      </c>
      <c r="J349" s="22" t="inlineStr">
        <is>
          <t>Los estados financieros de los titulares de registro</t>
        </is>
      </c>
      <c r="K349" s="22" t="inlineStr">
        <is>
          <t>A</t>
        </is>
      </c>
      <c r="L349" s="22" t="inlineStr">
        <is>
          <t>La Resolución 1478 de 2006, art. 4, lo ordena.</t>
        </is>
      </c>
      <c r="M349" s="22" t="inlineStr">
        <is>
          <t>Los procesos de contratación y los estados financieros son información administrativa, ajena al control de sustancias fiscalizadas.</t>
        </is>
      </c>
      <c r="N349" s="22" t="inlineStr">
        <is>
          <t>Resolución 1478 de 2006, arts. 4 y 97</t>
        </is>
      </c>
      <c r="O349" s="22" t="inlineStr">
        <is>
          <t>SI</t>
        </is>
      </c>
      <c r="P349" s="16" t="inlineStr">
        <is>
          <t>Basica</t>
        </is>
      </c>
      <c r="Q349" s="16" t="inlineStr">
        <is>
          <t>v2</t>
        </is>
      </c>
      <c r="R349" s="16" t="inlineStr">
        <is>
          <t>Específico</t>
        </is>
      </c>
    </row>
    <row r="350" ht="23.25" customHeight="1" s="12">
      <c r="A350" s="22" t="inlineStr">
        <is>
          <t>F117-1</t>
        </is>
      </c>
      <c r="B350" s="22" t="inlineStr">
        <is>
          <t>fne</t>
        </is>
      </c>
      <c r="C350" s="22" t="inlineStr">
        <is>
          <t>Almacenamiento, logística y destrucción</t>
        </is>
      </c>
      <c r="D350" s="22" t="inlineStr">
        <is>
          <t>C117</t>
        </is>
      </c>
      <c r="E350" s="22" t="inlineStr">
        <is>
          <t>Sesenta ampollas vencidas</t>
        </is>
      </c>
      <c r="F350" s="22" t="inlineStr">
        <is>
          <t>Una clínica acumula 60 ampollas vencidas de opioides en una caja de la bodega. Quiere eliminarlas esta semana, antes de la visita de habilitación, y el jefe de farmacia propone hacerlo el sábado.</t>
        </is>
      </c>
      <c r="G350" s="22" t="inlineStr">
        <is>
          <t>Para dar de baja estos medicamentos se debe</t>
        </is>
      </c>
      <c r="H350" s="22" t="inlineStr">
        <is>
          <t>Devolver las unidades vencidas al proveedor que las despachó</t>
        </is>
      </c>
      <c r="I350" s="22" t="inlineStr">
        <is>
          <t>Destruirlas en la institución y registrar el acta en el libro</t>
        </is>
      </c>
      <c r="J350" s="22" t="inlineStr">
        <is>
          <t>Pedir autorización de baja al Fondo, en el formato establecido</t>
        </is>
      </c>
      <c r="K350" s="22" t="inlineStr">
        <is>
          <t>C</t>
        </is>
      </c>
      <c r="L350" s="22" t="inlineStr">
        <is>
          <t>La Resolución 1478 de 2006, art. 78, exige autorización.</t>
        </is>
      </c>
      <c r="M350" s="22" t="inlineStr">
        <is>
          <t>Devolverlas al proveedor traslada un residuo fiscalizado sin autorización; destruirlas por cuenta propia elimina el control de la autoridad.</t>
        </is>
      </c>
      <c r="N350" s="22" t="inlineStr">
        <is>
          <t>Resolución 1478 de 2006, arts. 78 y 79</t>
        </is>
      </c>
      <c r="O350" s="22" t="inlineStr">
        <is>
          <t>SI</t>
        </is>
      </c>
      <c r="P350" s="16" t="inlineStr">
        <is>
          <t>Media</t>
        </is>
      </c>
      <c r="Q350" s="16" t="inlineStr">
        <is>
          <t>v2</t>
        </is>
      </c>
      <c r="R350" s="16" t="inlineStr">
        <is>
          <t>Específico</t>
        </is>
      </c>
    </row>
    <row r="351" ht="23.25" customHeight="1" s="12">
      <c r="A351" s="22" t="inlineStr">
        <is>
          <t>F117-2</t>
        </is>
      </c>
      <c r="B351" s="22" t="inlineStr">
        <is>
          <t>fne</t>
        </is>
      </c>
      <c r="C351" s="22" t="inlineStr">
        <is>
          <t>Almacenamiento, logística y destrucción</t>
        </is>
      </c>
      <c r="D351" s="22" t="inlineStr">
        <is>
          <t>C117</t>
        </is>
      </c>
      <c r="E351" s="22" t="inlineStr">
        <is>
          <t>Sesenta ampollas vencidas</t>
        </is>
      </c>
      <c r="F351" s="22" t="inlineStr">
        <is>
          <t>Una clínica acumula 60 ampollas vencidas de opioides en una caja de la bodega. Quiere eliminarlas esta semana, antes de la visita de habilitación, y el jefe de farmacia propone hacerlo el sábado.</t>
        </is>
      </c>
      <c r="G351" s="22" t="inlineStr">
        <is>
          <t>La destrucción debe solicitarse con una antelación mínima de</t>
        </is>
      </c>
      <c r="H351" s="22" t="inlineStr">
        <is>
          <t>Cinco (5) días calendario</t>
        </is>
      </c>
      <c r="I351" s="22" t="inlineStr">
        <is>
          <t>Treinta (30) días calendario</t>
        </is>
      </c>
      <c r="J351" s="22" t="inlineStr">
        <is>
          <t>Diez (10) días calendario</t>
        </is>
      </c>
      <c r="K351" s="22" t="inlineStr">
        <is>
          <t>C</t>
        </is>
      </c>
      <c r="L351" s="22" t="inlineStr">
        <is>
          <t>Diez (10) días calendario de antelación para solicitar la diligencia de destrucción. Resolución 1478 de 2006, artículo 79.</t>
        </is>
      </c>
      <c r="M351" s="22" t="inlineStr">
        <is>
          <t>Cinco días no alcanzan para programar la diligencia; treinta días dilatan la eliminación de un producto vencido.</t>
        </is>
      </c>
      <c r="N351" s="22" t="inlineStr">
        <is>
          <t>Resolución 1478 de 2006, art. 79</t>
        </is>
      </c>
      <c r="O351" s="22" t="inlineStr">
        <is>
          <t>SI</t>
        </is>
      </c>
      <c r="P351" s="16" t="inlineStr">
        <is>
          <t>Media</t>
        </is>
      </c>
      <c r="Q351" s="16" t="inlineStr">
        <is>
          <t>v2</t>
        </is>
      </c>
      <c r="R351" s="16" t="inlineStr">
        <is>
          <t>Específico</t>
        </is>
      </c>
    </row>
    <row r="352" ht="34.5" customHeight="1" s="12">
      <c r="A352" s="22" t="inlineStr">
        <is>
          <t>F117-3</t>
        </is>
      </c>
      <c r="B352" s="22" t="inlineStr">
        <is>
          <t>fne</t>
        </is>
      </c>
      <c r="C352" s="22" t="inlineStr">
        <is>
          <t>Almacenamiento, logística y destrucción</t>
        </is>
      </c>
      <c r="D352" s="22" t="inlineStr">
        <is>
          <t>C117</t>
        </is>
      </c>
      <c r="E352" s="22" t="inlineStr">
        <is>
          <t>Sesenta ampollas vencidas</t>
        </is>
      </c>
      <c r="F352" s="22" t="inlineStr">
        <is>
          <t>Una clínica acumula 60 ampollas vencidas de opioides en una caja de la bodega. Quiere eliminarlas esta semana, antes de la visita de habilitación, y el jefe de farmacia propone hacerlo el sábado.</t>
        </is>
      </c>
      <c r="G352" s="22" t="inlineStr">
        <is>
          <t>En la destrucción intervienen</t>
        </is>
      </c>
      <c r="H352" s="22" t="inlineStr">
        <is>
          <t>El químico farmacéutico responsable del servicio</t>
        </is>
      </c>
      <c r="I352" s="22" t="inlineStr">
        <is>
          <t>Un delegado de la entidad y otro del Fondo, con acta</t>
        </is>
      </c>
      <c r="J352" s="22" t="inlineStr">
        <is>
          <t>El proveedor del medicamento y el jefe de la bodega</t>
        </is>
      </c>
      <c r="K352" s="22" t="inlineStr">
        <is>
          <t>B</t>
        </is>
      </c>
      <c r="L352" s="22" t="inlineStr">
        <is>
          <t>La Resolución 1478 de 2006, art. 79, exige ambos delegados y acta.</t>
        </is>
      </c>
      <c r="M352" s="22" t="inlineStr">
        <is>
          <t>Dejarlo solo al químico farmacéutico elimina el control externo; el proveedor y el jefe de bodega no ejercen función de vigilancia.</t>
        </is>
      </c>
      <c r="N352" s="22" t="inlineStr">
        <is>
          <t>Resolución 1478 de 2006, arts. 78 y 79</t>
        </is>
      </c>
      <c r="O352" s="22" t="inlineStr">
        <is>
          <t>SI</t>
        </is>
      </c>
      <c r="P352" s="16" t="inlineStr">
        <is>
          <t>Media</t>
        </is>
      </c>
      <c r="Q352" s="16" t="inlineStr">
        <is>
          <t>v2</t>
        </is>
      </c>
      <c r="R352" s="16" t="inlineStr">
        <is>
          <t>Específico</t>
        </is>
      </c>
    </row>
    <row r="353" ht="34.5" customHeight="1" s="12">
      <c r="A353" s="22" t="inlineStr">
        <is>
          <t>F118-1</t>
        </is>
      </c>
      <c r="B353" s="22" t="inlineStr">
        <is>
          <t>fne</t>
        </is>
      </c>
      <c r="C353" s="22" t="inlineStr">
        <is>
          <t>Almacenamiento, logística y destrucción</t>
        </is>
      </c>
      <c r="D353" s="22" t="inlineStr">
        <is>
          <t>C118</t>
        </is>
      </c>
      <c r="E353" s="22" t="inlineStr">
        <is>
          <t>Robo en una droguería</t>
        </is>
      </c>
      <c r="F353" s="22" t="inlineStr">
        <is>
          <t>Una droguería reporta que le robaron el fin de semana y que faltan medicamentos de control especial. El propietario ya puso la denuncia y pregunta qué más debe hacer y ante quién.</t>
        </is>
      </c>
      <c r="G353" s="22" t="inlineStr">
        <is>
          <t>En caso de pérdida, la droguería debe</t>
        </is>
      </c>
      <c r="H353" s="22" t="inlineStr">
        <is>
          <t>Registrar el faltante</t>
        </is>
      </c>
      <c r="I353" s="22" t="inlineStr">
        <is>
          <t>Reponer las unidades e informarlo en el libro de control</t>
        </is>
      </c>
      <c r="J353" s="22" t="inlineStr">
        <is>
          <t>Informar de inmediato al Fondo, con copia de la denuncia</t>
        </is>
      </c>
      <c r="K353" s="22" t="inlineStr">
        <is>
          <t>C</t>
        </is>
      </c>
      <c r="L353" s="22" t="inlineStr">
        <is>
          <t>La Resolución 1478 de 2006, art. 77, lo ordena.</t>
        </is>
      </c>
      <c r="M353" s="22" t="inlineStr">
        <is>
          <t>Registrarlo en el informe mensual retrasa la reacción; reponer las unidades y anotarlo en el libro encubre la pérdida.</t>
        </is>
      </c>
      <c r="N353" s="22" t="inlineStr">
        <is>
          <t>Resolución 1478 de 2006, arts. 3 y 77</t>
        </is>
      </c>
      <c r="O353" s="22" t="inlineStr">
        <is>
          <t>SI</t>
        </is>
      </c>
      <c r="P353" s="16" t="inlineStr">
        <is>
          <t>Media</t>
        </is>
      </c>
      <c r="Q353" s="16" t="inlineStr">
        <is>
          <t>v2</t>
        </is>
      </c>
      <c r="R353" s="16" t="inlineStr">
        <is>
          <t>Específico</t>
        </is>
      </c>
    </row>
    <row r="354" ht="23.25" customHeight="1" s="12">
      <c r="A354" s="22" t="inlineStr">
        <is>
          <t>F118-2</t>
        </is>
      </c>
      <c r="B354" s="22" t="inlineStr">
        <is>
          <t>fne</t>
        </is>
      </c>
      <c r="C354" s="22" t="inlineStr">
        <is>
          <t>Almacenamiento, logística y destrucción</t>
        </is>
      </c>
      <c r="D354" s="22" t="inlineStr">
        <is>
          <t>C118</t>
        </is>
      </c>
      <c r="E354" s="22" t="inlineStr">
        <is>
          <t>Robo en una droguería</t>
        </is>
      </c>
      <c r="F354" s="22" t="inlineStr">
        <is>
          <t>Una droguería reporta que le robaron el fin de semana y que faltan medicamentos de control especial. El propietario ya puso la denuncia y pregunta qué más debe hacer y ante quién.</t>
        </is>
      </c>
      <c r="G354" s="22" t="inlineStr">
        <is>
          <t>Además de la denuncia, la droguería debe enviar</t>
        </is>
      </c>
      <c r="H354" s="22" t="inlineStr">
        <is>
          <t>Los avances de la investigación adelantada por el caso</t>
        </is>
      </c>
      <c r="I354" s="22" t="inlineStr">
        <is>
          <t>El acta de destrucción de las unidades desaparecidas</t>
        </is>
      </c>
      <c r="J354" s="22" t="inlineStr">
        <is>
          <t>La certificación del seguro que ampara la mercancía</t>
        </is>
      </c>
      <c r="K354" s="22" t="inlineStr">
        <is>
          <t>A</t>
        </is>
      </c>
      <c r="L354" s="22" t="inlineStr">
        <is>
          <t>La Resolución 1478 de 2006, art. 77, lo exige.</t>
        </is>
      </c>
      <c r="M354" s="22" t="inlineStr">
        <is>
          <t>El acta de destrucción no aplica a unidades desaparecidas; la certificación del seguro interesa al reclamo económico, no al control.</t>
        </is>
      </c>
      <c r="N354" s="22" t="inlineStr">
        <is>
          <t>Resolución 1478 de 2006, arts. 3 y 77</t>
        </is>
      </c>
      <c r="O354" s="22" t="inlineStr">
        <is>
          <t>SI</t>
        </is>
      </c>
      <c r="P354" s="16" t="inlineStr">
        <is>
          <t>Media</t>
        </is>
      </c>
      <c r="Q354" s="16" t="inlineStr">
        <is>
          <t>v2</t>
        </is>
      </c>
      <c r="R354" s="16" t="inlineStr">
        <is>
          <t>Específico</t>
        </is>
      </c>
    </row>
    <row r="355" ht="23.25" customHeight="1" s="12">
      <c r="A355" s="22" t="inlineStr">
        <is>
          <t>F118-3</t>
        </is>
      </c>
      <c r="B355" s="22" t="inlineStr">
        <is>
          <t>fne</t>
        </is>
      </c>
      <c r="C355" s="22" t="inlineStr">
        <is>
          <t>Almacenamiento, logística y destrucción</t>
        </is>
      </c>
      <c r="D355" s="22" t="inlineStr">
        <is>
          <t>C118</t>
        </is>
      </c>
      <c r="E355" s="22" t="inlineStr">
        <is>
          <t>Robo en una droguería</t>
        </is>
      </c>
      <c r="F355" s="22" t="inlineStr">
        <is>
          <t>Una droguería reporta que le robaron el fin de semana y que faltan medicamentos de control especial. El propietario ya puso la denuncia y pregunta qué más debe hacer y ante quién.</t>
        </is>
      </c>
      <c r="G355" s="22" t="inlineStr">
        <is>
          <t>Si alguien conoce sustancias fiscalizadas en el mercado sin estar legalizadas, debe</t>
        </is>
      </c>
      <c r="H355" s="22" t="inlineStr">
        <is>
          <t>Adquirir esos productos para retirarlos de circulación</t>
        </is>
      </c>
      <c r="I355" s="22" t="inlineStr">
        <is>
          <t>Informar al Fondo Rotatorio y a las autoridades competentes</t>
        </is>
      </c>
      <c r="J355" s="22" t="inlineStr">
        <is>
          <t>Advertir e informar al establecimiento que suspenda la venta</t>
        </is>
      </c>
      <c r="K355" s="22" t="inlineStr">
        <is>
          <t>B</t>
        </is>
      </c>
      <c r="L355" s="22" t="inlineStr">
        <is>
          <t>La Resolución 1478 de 2006, art. 3, lo ordena.</t>
        </is>
      </c>
      <c r="M355" s="22" t="inlineStr">
        <is>
          <t>Comprar los productos financia el canal ilegal; advertir solo al establecimiento deja el hecho sin conocimiento de la autoridad.</t>
        </is>
      </c>
      <c r="N355" s="22" t="inlineStr">
        <is>
          <t>Resolución 1478 de 2006, arts. 3 y 77</t>
        </is>
      </c>
      <c r="O355" s="22" t="inlineStr">
        <is>
          <t>SI</t>
        </is>
      </c>
      <c r="P355" s="16" t="inlineStr">
        <is>
          <t>Media</t>
        </is>
      </c>
      <c r="Q355" s="16" t="inlineStr">
        <is>
          <t>v2</t>
        </is>
      </c>
      <c r="R355" s="16" t="inlineStr">
        <is>
          <t>Específico</t>
        </is>
      </c>
    </row>
    <row r="356" ht="23.25" customHeight="1" s="12">
      <c r="A356" s="22" t="inlineStr">
        <is>
          <t>F119-1</t>
        </is>
      </c>
      <c r="B356" s="22" t="inlineStr">
        <is>
          <t>fne</t>
        </is>
      </c>
      <c r="C356" s="22" t="inlineStr">
        <is>
          <t>Almacenamiento, logística y destrucción</t>
        </is>
      </c>
      <c r="D356" s="22" t="inlineStr">
        <is>
          <t>C119</t>
        </is>
      </c>
      <c r="E356" s="22" t="inlineStr">
        <is>
          <t>Almacén ordenado por precio</t>
        </is>
      </c>
      <c r="F356" s="22" t="inlineStr">
        <is>
          <t>En el almacén de un distribuidor autorizado los medicamentos están ordenados por precio, el termohigrómetro está descalibrado y la puerta permanece abierta durante el turno.</t>
        </is>
      </c>
      <c r="G356" s="22" t="inlineStr">
        <is>
          <t>Los medicamentos sujetos a fiscalización se almacenan de acuerdo con</t>
        </is>
      </c>
      <c r="H356" s="22" t="inlineStr">
        <is>
          <t>El orden de llegada de cada lote a la bodega</t>
        </is>
      </c>
      <c r="I356" s="22" t="inlineStr">
        <is>
          <t>La clasificación farmacológica y el orden alfabético</t>
        </is>
      </c>
      <c r="J356" s="22" t="inlineStr">
        <is>
          <t>El valor comercial y el tamaño de cada empaque</t>
        </is>
      </c>
      <c r="K356" s="22" t="inlineStr">
        <is>
          <t>B</t>
        </is>
      </c>
      <c r="L356" s="22" t="inlineStr">
        <is>
          <t>El almacenamiento se organiza por clasificación farmacológica y con control de existencias, en área de acceso restringido. Resolución 1478 de 2006, artículos 76 y 78.</t>
        </is>
      </c>
      <c r="M356" s="22" t="inlineStr">
        <is>
          <t>El orden de llegada dificulta ubicar el producto; ordenar por valor o tamaño responde a criterios comerciales, no de control.</t>
        </is>
      </c>
      <c r="N356" s="22" t="inlineStr">
        <is>
          <t>Resolución 1478 de 2006, arts. 76 y 78</t>
        </is>
      </c>
      <c r="O356" s="22" t="inlineStr">
        <is>
          <t>SI</t>
        </is>
      </c>
      <c r="P356" s="16" t="inlineStr">
        <is>
          <t>Media</t>
        </is>
      </c>
      <c r="Q356" s="16" t="inlineStr">
        <is>
          <t>v2</t>
        </is>
      </c>
      <c r="R356" s="16" t="inlineStr">
        <is>
          <t>Específico</t>
        </is>
      </c>
    </row>
    <row r="357" ht="23.25" customHeight="1" s="12">
      <c r="A357" s="22" t="inlineStr">
        <is>
          <t>F119-2</t>
        </is>
      </c>
      <c r="B357" s="22" t="inlineStr">
        <is>
          <t>fne</t>
        </is>
      </c>
      <c r="C357" s="22" t="inlineStr">
        <is>
          <t>Almacenamiento, logística y destrucción</t>
        </is>
      </c>
      <c r="D357" s="22" t="inlineStr">
        <is>
          <t>C119</t>
        </is>
      </c>
      <c r="E357" s="22" t="inlineStr">
        <is>
          <t>Almacén ordenado por precio</t>
        </is>
      </c>
      <c r="F357" s="22" t="inlineStr">
        <is>
          <t>En el almacén de un distribuidor autorizado los medicamentos están ordenados por precio, el termohigrómetro está descalibrado y la puerta permanece abierta durante el turno.</t>
        </is>
      </c>
      <c r="G357" s="22" t="inlineStr">
        <is>
          <t>Respecto a temperatura y humedad, el establecimiento debe</t>
        </is>
      </c>
      <c r="H357" s="22" t="inlineStr">
        <is>
          <t>Llevar registros permanentes con instrumentos calibrados</t>
        </is>
      </c>
      <c r="I357" s="22" t="inlineStr">
        <is>
          <t>Medir esas variables cuando cambie la estación del año</t>
        </is>
      </c>
      <c r="J357" s="22" t="inlineStr">
        <is>
          <t>Dejar los registros a cargo del transportador del pedido</t>
        </is>
      </c>
      <c r="K357" s="22" t="inlineStr">
        <is>
          <t>A</t>
        </is>
      </c>
      <c r="L357" s="22" t="inlineStr">
        <is>
          <t>Deben llevarse registros permanentes de temperatura y humedad con instrumentos calibrados. Resolución 1478 de 2006, artículo 76; Resolución 1403 de 2007, capítulo de almacenamiento.</t>
        </is>
      </c>
      <c r="M357" s="22" t="inlineStr">
        <is>
          <t>Medir por temporadas deja huecos de registro; delegar los registros en el transportador traslada una obligación del establecimiento.</t>
        </is>
      </c>
      <c r="N357" s="22" t="inlineStr">
        <is>
          <t>Resolución 1478 de 2006, art. 76; Resolución 1403 de 2007</t>
        </is>
      </c>
      <c r="O357" s="22" t="inlineStr">
        <is>
          <t>SI</t>
        </is>
      </c>
      <c r="P357" s="16" t="inlineStr">
        <is>
          <t>Media</t>
        </is>
      </c>
      <c r="Q357" s="16" t="inlineStr">
        <is>
          <t>v2</t>
        </is>
      </c>
      <c r="R357" s="16" t="inlineStr">
        <is>
          <t>Específico</t>
        </is>
      </c>
    </row>
    <row r="358" ht="23.25" customHeight="1" s="12">
      <c r="A358" s="22" t="inlineStr">
        <is>
          <t>F119-3</t>
        </is>
      </c>
      <c r="B358" s="22" t="inlineStr">
        <is>
          <t>fne</t>
        </is>
      </c>
      <c r="C358" s="22" t="inlineStr">
        <is>
          <t>Almacenamiento, logística y destrucción</t>
        </is>
      </c>
      <c r="D358" s="22" t="inlineStr">
        <is>
          <t>C119</t>
        </is>
      </c>
      <c r="E358" s="22" t="inlineStr">
        <is>
          <t>Almacén ordenado por precio</t>
        </is>
      </c>
      <c r="F358" s="22" t="inlineStr">
        <is>
          <t>En el almacén de un distribuidor autorizado los medicamentos están ordenados por precio, el termohigrómetro está descalibrado y la puerta permanece abierta durante el turno.</t>
        </is>
      </c>
      <c r="G358" s="22" t="inlineStr">
        <is>
          <t>El almacenamiento de estas sustancias debe mantenerse bajo</t>
        </is>
      </c>
      <c r="H358" s="22" t="inlineStr">
        <is>
          <t>La custodia del proveedor que despacha el pedido</t>
        </is>
      </c>
      <c r="I358" s="22" t="inlineStr">
        <is>
          <t>Estrictas condiciones de seguridad, con acceso controlado</t>
        </is>
      </c>
      <c r="J358" s="22" t="inlineStr">
        <is>
          <t>El control del personal administrativo de la entidad</t>
        </is>
      </c>
      <c r="K358" s="22" t="inlineStr">
        <is>
          <t>B</t>
        </is>
      </c>
      <c r="L358" s="22" t="inlineStr">
        <is>
          <t>El almacenamiento de sustancias fiscalizadas exige seguridad y acceso controlado, bajo responsabilidad del establecimiento. Resolución 1478 de 2006, artículos 76 y 97.</t>
        </is>
      </c>
      <c r="M358" s="22" t="inlineStr">
        <is>
          <t>La custodia del proveedor termina con la entrega; el control administrativo general no sustituye las condiciones de seguridad exigidas.</t>
        </is>
      </c>
      <c r="N358" s="22" t="inlineStr">
        <is>
          <t>Resolución 1478 de 2006, arts. 76 y 97</t>
        </is>
      </c>
      <c r="O358" s="22" t="inlineStr">
        <is>
          <t>SI</t>
        </is>
      </c>
      <c r="P358" s="16" t="inlineStr">
        <is>
          <t>Media</t>
        </is>
      </c>
      <c r="Q358" s="16" t="inlineStr">
        <is>
          <t>v2</t>
        </is>
      </c>
      <c r="R358" s="16" t="inlineStr">
        <is>
          <t>Específico</t>
        </is>
      </c>
    </row>
    <row r="359" ht="23.25" customHeight="1" s="12">
      <c r="A359" s="22" t="inlineStr">
        <is>
          <t>F120-1</t>
        </is>
      </c>
      <c r="B359" s="22" t="inlineStr">
        <is>
          <t>fne</t>
        </is>
      </c>
      <c r="C359" s="22" t="inlineStr">
        <is>
          <t>Acceso a medicamentos y cuidados paliativos</t>
        </is>
      </c>
      <c r="D359" s="22" t="inlineStr">
        <is>
          <t>C120</t>
        </is>
      </c>
      <c r="E359" s="22" t="inlineStr">
        <is>
          <t>Paciente que viaja con su tratamiento</t>
        </is>
      </c>
      <c r="F359" s="22" t="inlineStr">
        <is>
          <t>Un paciente con tratamiento opioide viaja a España por dos meses para un tratamiento familiar. Pregunta cuánto puede llevar, qué documentos necesita y si el Fondo le expide alguna certificación.</t>
        </is>
      </c>
      <c r="G359" s="22" t="inlineStr">
        <is>
          <t>La cantidad máxima que puede transportar para uso personal corresponde a</t>
        </is>
      </c>
      <c r="H359" s="22" t="inlineStr">
        <is>
          <t>Un tratamiento estándar de treinta (30) días</t>
        </is>
      </c>
      <c r="I359" s="22" t="inlineStr">
        <is>
          <t>Un tratamiento estándar de noventa (90) días</t>
        </is>
      </c>
      <c r="J359" s="22" t="inlineStr">
        <is>
          <t>La cantidad que indique el médico tratante</t>
        </is>
      </c>
      <c r="K359" s="22" t="inlineStr">
        <is>
          <t>A</t>
        </is>
      </c>
      <c r="L359" s="22" t="inlineStr">
        <is>
          <t>Hasta treinta (30) días de tratamiento puede llevar el viajero para su uso personal. Resolución 1478 de 2006, artículo 83.</t>
        </is>
      </c>
      <c r="M359" s="22" t="inlineStr">
        <is>
          <t>Noventa días exceden el máximo para uso personal; dejarlo a lo que indique el médico elimina el límite que fija la norma.</t>
        </is>
      </c>
      <c r="N359" s="22" t="inlineStr">
        <is>
          <t>Resolución 1478 de 2006, art. 83</t>
        </is>
      </c>
      <c r="O359" s="22" t="inlineStr">
        <is>
          <t>SI</t>
        </is>
      </c>
      <c r="P359" s="16" t="inlineStr">
        <is>
          <t>Basica</t>
        </is>
      </c>
      <c r="Q359" s="16" t="inlineStr">
        <is>
          <t>v2</t>
        </is>
      </c>
      <c r="R359" s="16" t="inlineStr">
        <is>
          <t>Específico</t>
        </is>
      </c>
    </row>
    <row r="360" ht="23.25" customHeight="1" s="12">
      <c r="A360" s="22" t="inlineStr">
        <is>
          <t>F120-2</t>
        </is>
      </c>
      <c r="B360" s="22" t="inlineStr">
        <is>
          <t>fne</t>
        </is>
      </c>
      <c r="C360" s="22" t="inlineStr">
        <is>
          <t>Acceso a medicamentos y cuidados paliativos</t>
        </is>
      </c>
      <c r="D360" s="22" t="inlineStr">
        <is>
          <t>C120</t>
        </is>
      </c>
      <c r="E360" s="22" t="inlineStr">
        <is>
          <t>Paciente que viaja con su tratamiento</t>
        </is>
      </c>
      <c r="F360" s="22" t="inlineStr">
        <is>
          <t>Un paciente con tratamiento opioide viaja a España por dos meses para un tratamiento familiar. Pregunta cuánto puede llevar, qué documentos necesita y si el Fondo le expide alguna certificación.</t>
        </is>
      </c>
      <c r="G360" s="22" t="inlineStr">
        <is>
          <t>Al salir del país, el paciente debe llevar</t>
        </is>
      </c>
      <c r="H360" s="22" t="inlineStr">
        <is>
          <t>La fórmula médica original y el carné de la EPS</t>
        </is>
      </c>
      <c r="I360" s="22" t="inlineStr">
        <is>
          <t>El pasaporte y la factura de compra del medicamento</t>
        </is>
      </c>
      <c r="J360" s="22" t="inlineStr">
        <is>
          <t>Copia de la fórmula y las reglas del país de destino</t>
        </is>
      </c>
      <c r="K360" s="22" t="inlineStr">
        <is>
          <t>C</t>
        </is>
      </c>
      <c r="L360" s="22" t="inlineStr">
        <is>
          <t>La Resolución 1478 de 2006, art. 83, lo exige.</t>
        </is>
      </c>
      <c r="M360" s="22" t="inlineStr">
        <is>
          <t>El carné de la EPS no acredita nada en el exterior; el pasaporte y la factura no informan sobre las reglas del país de destino.</t>
        </is>
      </c>
      <c r="N360" s="22" t="inlineStr">
        <is>
          <t>Resolución 1478 de 2006, art. 83</t>
        </is>
      </c>
      <c r="O360" s="22" t="inlineStr">
        <is>
          <t>SI</t>
        </is>
      </c>
      <c r="P360" s="16" t="inlineStr">
        <is>
          <t>Basica</t>
        </is>
      </c>
      <c r="Q360" s="16" t="inlineStr">
        <is>
          <t>v2</t>
        </is>
      </c>
      <c r="R360" s="16" t="inlineStr">
        <is>
          <t>Específico</t>
        </is>
      </c>
    </row>
    <row r="361" ht="23.25" customHeight="1" s="12">
      <c r="A361" s="22" t="inlineStr">
        <is>
          <t>F120-3</t>
        </is>
      </c>
      <c r="B361" s="22" t="inlineStr">
        <is>
          <t>fne</t>
        </is>
      </c>
      <c r="C361" s="22" t="inlineStr">
        <is>
          <t>Acceso a medicamentos y cuidados paliativos</t>
        </is>
      </c>
      <c r="D361" s="22" t="inlineStr">
        <is>
          <t>C120</t>
        </is>
      </c>
      <c r="E361" s="22" t="inlineStr">
        <is>
          <t>Paciente que viaja con su tratamiento</t>
        </is>
      </c>
      <c r="F361" s="22" t="inlineStr">
        <is>
          <t>Un paciente con tratamiento opioide viaja a España por dos meses para un tratamiento familiar. Pregunta cuánto puede llevar, qué documentos necesita y si el Fondo le expide alguna certificación.</t>
        </is>
      </c>
      <c r="G361" s="22" t="inlineStr">
        <is>
          <t>Si el país de destino exige una certificación adicional, el Fondo puede expedirla con base en</t>
        </is>
      </c>
      <c r="H361" s="22" t="inlineStr">
        <is>
          <t>La declaración juramentada que rinda el paciente</t>
        </is>
      </c>
      <c r="I361" s="22" t="inlineStr">
        <is>
          <t>La factura de compra expedida por la droguería</t>
        </is>
      </c>
      <c r="J361" s="22" t="inlineStr">
        <is>
          <t>El resumen de historia clínica del médico tratante</t>
        </is>
      </c>
      <c r="K361" s="22" t="inlineStr">
        <is>
          <t>C</t>
        </is>
      </c>
      <c r="L361" s="22" t="inlineStr">
        <is>
          <t>La Resolución 1478 de 2006, art. 83, lo prevé.</t>
        </is>
      </c>
      <c r="M361" s="22" t="inlineStr">
        <is>
          <t>Una declaración del propio paciente no tiene soporte clínico; la factura acredita la compra, no el tratamiento.</t>
        </is>
      </c>
      <c r="N361" s="22" t="inlineStr">
        <is>
          <t>Resolución 1478 de 2006, art. 83</t>
        </is>
      </c>
      <c r="O361" s="22" t="inlineStr">
        <is>
          <t>SI</t>
        </is>
      </c>
      <c r="P361" s="16" t="inlineStr">
        <is>
          <t>Basica</t>
        </is>
      </c>
      <c r="Q361" s="16" t="inlineStr">
        <is>
          <t>v2</t>
        </is>
      </c>
      <c r="R361" s="16" t="inlineStr">
        <is>
          <t>Específico</t>
        </is>
      </c>
    </row>
    <row r="362" ht="34.5" customHeight="1" s="12">
      <c r="A362" s="22" t="inlineStr">
        <is>
          <t>F121-1</t>
        </is>
      </c>
      <c r="B362" s="22" t="inlineStr">
        <is>
          <t>fne</t>
        </is>
      </c>
      <c r="C362" s="22" t="inlineStr">
        <is>
          <t>Control y fiscalización de medicamentos de control especial</t>
        </is>
      </c>
      <c r="D362" s="22" t="inlineStr">
        <is>
          <t>C121</t>
        </is>
      </c>
      <c r="E362" s="22" t="inlineStr">
        <is>
          <t>Productos con cannabis y control especial</t>
        </is>
      </c>
      <c r="F362" s="22" t="inlineStr">
        <is>
          <t>Un laboratorio autorizado para preparaciones magistrales de cannabis consulta si su producto queda sometido a control especial. En un caso llevado a la Corte, una EPS negó una fórmula magistral de cannabis alegando que estaba excluida del plan de beneficios.</t>
        </is>
      </c>
      <c r="G362" s="22" t="inlineStr">
        <is>
          <t>Los medicamentos y preparaciones magistrales de cannabis son de control especial si contienen</t>
        </is>
      </c>
      <c r="H362" s="22" t="inlineStr">
        <is>
          <t>Más de 50 mg de THC por empaque comercial del producto</t>
        </is>
      </c>
      <c r="I362" s="22" t="inlineStr">
        <is>
          <t>2 mg o más de THC por unidad de dosis o por gramo</t>
        </is>
      </c>
      <c r="J362" s="22" t="inlineStr">
        <is>
          <t>Cualquier cantidad de CBD, sin importar la concentración</t>
        </is>
      </c>
      <c r="K362" s="22" t="inlineStr">
        <is>
          <t>B</t>
        </is>
      </c>
      <c r="L362" s="22" t="inlineStr">
        <is>
          <t>La Resolución 315 de 2020, art. 5, fija ese umbral.</t>
        </is>
      </c>
      <c r="M362" s="22" t="inlineStr">
        <is>
          <t>Los 50 mg por empaque no son el criterio de la norma, que se fija por unidad; la presencia de CBD no determina el control especial.</t>
        </is>
      </c>
      <c r="N362" s="22" t="inlineStr">
        <is>
          <t>Resolución 315 de 2020, arts. 3 y 5; Corte Constitucional, T-451 de 2023</t>
        </is>
      </c>
      <c r="O362" s="22" t="inlineStr">
        <is>
          <t>SI</t>
        </is>
      </c>
      <c r="P362" s="16" t="inlineStr">
        <is>
          <t>Basica</t>
        </is>
      </c>
      <c r="Q362" s="16" t="inlineStr">
        <is>
          <t>v2</t>
        </is>
      </c>
      <c r="R362" s="16" t="inlineStr">
        <is>
          <t>Específico</t>
        </is>
      </c>
    </row>
    <row r="363" ht="34.5" customHeight="1" s="12">
      <c r="A363" s="22" t="inlineStr">
        <is>
          <t>F121-2</t>
        </is>
      </c>
      <c r="B363" s="22" t="inlineStr">
        <is>
          <t>fne</t>
        </is>
      </c>
      <c r="C363" s="22" t="inlineStr">
        <is>
          <t>Control y fiscalización de medicamentos de control especial</t>
        </is>
      </c>
      <c r="D363" s="22" t="inlineStr">
        <is>
          <t>C121</t>
        </is>
      </c>
      <c r="E363" s="22" t="inlineStr">
        <is>
          <t>Productos con cannabis y control especial</t>
        </is>
      </c>
      <c r="F363" s="22" t="inlineStr">
        <is>
          <t>Un laboratorio autorizado para preparaciones magistrales de cannabis consulta si su producto queda sometido a control especial. En un caso llevado a la Corte, una EPS negó una fórmula magistral de cannabis alegando que estaba excluida del plan de beneficios.</t>
        </is>
      </c>
      <c r="G363" s="22" t="inlineStr">
        <is>
          <t>Por debajo de ese límite de THC, los productos</t>
        </is>
      </c>
      <c r="H363" s="22" t="inlineStr">
        <is>
          <t>Siguen siendo monopolio del Estado</t>
        </is>
      </c>
      <c r="I363" s="22" t="inlineStr">
        <is>
          <t>Quedan prohibidos</t>
        </is>
      </c>
      <c r="J363" s="22" t="inlineStr">
        <is>
          <t>Se consideran no fiscalizados</t>
        </is>
      </c>
      <c r="K363" s="22" t="inlineStr">
        <is>
          <t>C</t>
        </is>
      </c>
      <c r="L363" s="22" t="inlineStr">
        <is>
          <t>La Resolución 315 de 2020, art. 5, lo aclara.</t>
        </is>
      </c>
      <c r="M363" s="22" t="inlineStr">
        <is>
          <t>Mantenerlos como monopolio extiende un régimen que no les aplica; prohibirlos desconoce que pueden comercializarse legalmente.</t>
        </is>
      </c>
      <c r="N363" s="22" t="inlineStr">
        <is>
          <t>Resolución 315 de 2020, arts. 3 y 5; Corte Constitucional, T-451 de 2023</t>
        </is>
      </c>
      <c r="O363" s="22" t="inlineStr">
        <is>
          <t>SI</t>
        </is>
      </c>
      <c r="P363" s="16" t="inlineStr">
        <is>
          <t>Basica</t>
        </is>
      </c>
      <c r="Q363" s="16" t="inlineStr">
        <is>
          <t>v2</t>
        </is>
      </c>
      <c r="R363" s="16" t="inlineStr">
        <is>
          <t>Específico</t>
        </is>
      </c>
    </row>
    <row r="364" ht="34.5" customHeight="1" s="12">
      <c r="A364" s="22" t="inlineStr">
        <is>
          <t>F121-3</t>
        </is>
      </c>
      <c r="B364" s="22" t="inlineStr">
        <is>
          <t>fne</t>
        </is>
      </c>
      <c r="C364" s="22" t="inlineStr">
        <is>
          <t>Control y fiscalización de medicamentos de control especial</t>
        </is>
      </c>
      <c r="D364" s="22" t="inlineStr">
        <is>
          <t>C121</t>
        </is>
      </c>
      <c r="E364" s="22" t="inlineStr">
        <is>
          <t>Productos con cannabis y control especial</t>
        </is>
      </c>
      <c r="F364" s="22" t="inlineStr">
        <is>
          <t>Un laboratorio autorizado para preparaciones magistrales de cannabis consulta si su producto queda sometido a control especial. En un caso llevado a la Corte, una EPS negó una fórmula magistral de cannabis alegando que estaba excluida del plan de beneficios.</t>
        </is>
      </c>
      <c r="G364" s="22" t="inlineStr">
        <is>
          <t>La fiscalización de una sustancia listada se extiende a</t>
        </is>
      </c>
      <c r="H364" s="22" t="inlineStr">
        <is>
          <t>Las mezclas o productos que la contengan</t>
        </is>
      </c>
      <c r="I364" s="22" t="inlineStr">
        <is>
          <t>Solo la materia prima importada</t>
        </is>
      </c>
      <c r="J364" s="22" t="inlineStr">
        <is>
          <t>Solo la sustancia pura</t>
        </is>
      </c>
      <c r="K364" s="22" t="inlineStr">
        <is>
          <t>A</t>
        </is>
      </c>
      <c r="L364" s="22" t="inlineStr">
        <is>
          <t>La Resolución 315 de 2020, art. 3, lo dispone.</t>
        </is>
      </c>
      <c r="M364" s="22" t="inlineStr">
        <is>
          <t>Limitarla a la materia prima dejaría libres los productos terminados; restringirla a la sustancia pura excluiría las mezclas.</t>
        </is>
      </c>
      <c r="N364" s="22" t="inlineStr">
        <is>
          <t>Resolución 315 de 2020, arts. 3 y 5; Corte Constitucional, T-451 de 2023</t>
        </is>
      </c>
      <c r="O364" s="22" t="inlineStr">
        <is>
          <t>SI</t>
        </is>
      </c>
      <c r="P364" s="16" t="inlineStr">
        <is>
          <t>Basica</t>
        </is>
      </c>
      <c r="Q364" s="16" t="inlineStr">
        <is>
          <t>v2</t>
        </is>
      </c>
      <c r="R364" s="16" t="inlineStr">
        <is>
          <t>Específico</t>
        </is>
      </c>
    </row>
    <row r="365" ht="34.5" customHeight="1" s="12">
      <c r="A365" s="22" t="inlineStr">
        <is>
          <t>F122-1</t>
        </is>
      </c>
      <c r="B365" s="22" t="inlineStr">
        <is>
          <t>fne</t>
        </is>
      </c>
      <c r="C365" s="22" t="inlineStr">
        <is>
          <t>Control y fiscalización de medicamentos de control especial</t>
        </is>
      </c>
      <c r="D365" s="22" t="inlineStr">
        <is>
          <t>C122</t>
        </is>
      </c>
      <c r="E365" s="22" t="inlineStr">
        <is>
          <t>Sustancia nueva en las listas</t>
        </is>
      </c>
      <c r="F365" s="22" t="inlineStr">
        <is>
          <t>Naciones Unidas incluyó una nueva sustancia en las listas de fiscalización. Un laboratorio pregunta cómo se refleja eso en Colombia y si debe adjuntar el listado completo al pedir la ampliación de su inscripción.</t>
        </is>
      </c>
      <c r="G365" s="22" t="inlineStr">
        <is>
          <t>Una fuente para incluir o reclasificar sustancias es</t>
        </is>
      </c>
      <c r="H365" s="22" t="inlineStr">
        <is>
          <t>Las encuestas de opinión sobre consumo de sustancias en el país</t>
        </is>
      </c>
      <c r="I365" s="22" t="inlineStr">
        <is>
          <t>Las decisiones de la Comisión de Estupefacientes de la ONU</t>
        </is>
      </c>
      <c r="J365" s="22" t="inlineStr">
        <is>
          <t>Las recomendaciones de los distribuidores privados inscritos ante el Fondo</t>
        </is>
      </c>
      <c r="K365" s="22" t="inlineStr">
        <is>
          <t>B</t>
        </is>
      </c>
      <c r="L365" s="22" t="inlineStr">
        <is>
          <t>Las listas de fiscalización se actualizan por decisión de la Comisión de Estupefacientes de la ONU y se incorporan al ordenamiento interno. Convención Única de 1961, artículo 3; Resolución 315 de 2020, artículos 6 a 8.</t>
        </is>
      </c>
      <c r="M365" s="22" t="inlineStr">
        <is>
          <t>Las encuestas de opinión no tienen valor técnico; la recomendación de un distribuidor privado proviene de un interesado.</t>
        </is>
      </c>
      <c r="N365" s="22" t="inlineStr">
        <is>
          <t>Convención Única de 1961, art. 3; Resolución 315 de 2020, arts. 6 a 8</t>
        </is>
      </c>
      <c r="O365" s="22" t="inlineStr">
        <is>
          <t>SI</t>
        </is>
      </c>
      <c r="P365" s="16" t="inlineStr">
        <is>
          <t>Basica</t>
        </is>
      </c>
      <c r="Q365" s="16" t="inlineStr">
        <is>
          <t>v2</t>
        </is>
      </c>
      <c r="R365" s="16" t="inlineStr">
        <is>
          <t>Específico</t>
        </is>
      </c>
    </row>
    <row r="366" ht="34.5" customHeight="1" s="12">
      <c r="A366" s="22" t="inlineStr">
        <is>
          <t>F122-2</t>
        </is>
      </c>
      <c r="B366" s="22" t="inlineStr">
        <is>
          <t>fne</t>
        </is>
      </c>
      <c r="C366" s="22" t="inlineStr">
        <is>
          <t>Control y fiscalización de medicamentos de control especial</t>
        </is>
      </c>
      <c r="D366" s="22" t="inlineStr">
        <is>
          <t>C122</t>
        </is>
      </c>
      <c r="E366" s="22" t="inlineStr">
        <is>
          <t>Sustancia nueva en las listas</t>
        </is>
      </c>
      <c r="F366" s="22" t="inlineStr">
        <is>
          <t>Naciones Unidas incluyó una nueva sustancia en las listas de fiscalización. Un laboratorio pregunta cómo se refleja eso en Colombia y si debe adjuntar el listado completo al pedir la ampliación de su inscripción.</t>
        </is>
      </c>
      <c r="G366" s="22" t="inlineStr">
        <is>
          <t>La inclusión, exclusión o reclasificación se hace mediante acto administrativo del</t>
        </is>
      </c>
      <c r="H366" s="22" t="inlineStr">
        <is>
          <t>Fondo Rotatorio, previo aval del gobernador</t>
        </is>
      </c>
      <c r="I366" s="22" t="inlineStr">
        <is>
          <t>Congreso, previa iniciativa del Gobierno</t>
        </is>
      </c>
      <c r="J366" s="22" t="inlineStr">
        <is>
          <t>Ministerio de Salud, previo concepto técnico</t>
        </is>
      </c>
      <c r="K366" s="22" t="inlineStr">
        <is>
          <t>C</t>
        </is>
      </c>
      <c r="L366" s="22" t="inlineStr">
        <is>
          <t>La Resolución 315 de 2020, art. 7, lo establece.</t>
        </is>
      </c>
      <c r="M366" s="22" t="inlineStr">
        <is>
          <t>El Fondo Rotatorio aplica las listas, no las define; el Congreso legisla, pero no expide estos actos administrativos.</t>
        </is>
      </c>
      <c r="N366" s="22" t="inlineStr">
        <is>
          <t>Resolución 315 de 2020, arts. 6, 7 y 8</t>
        </is>
      </c>
      <c r="O366" s="22" t="inlineStr">
        <is>
          <t>SI</t>
        </is>
      </c>
      <c r="P366" s="16" t="inlineStr">
        <is>
          <t>Basica</t>
        </is>
      </c>
      <c r="Q366" s="16" t="inlineStr">
        <is>
          <t>v2</t>
        </is>
      </c>
      <c r="R366" s="16" t="inlineStr">
        <is>
          <t>Específico</t>
        </is>
      </c>
    </row>
    <row r="367" ht="34.5" customHeight="1" s="12">
      <c r="A367" s="22" t="inlineStr">
        <is>
          <t>F122-3</t>
        </is>
      </c>
      <c r="B367" s="22" t="inlineStr">
        <is>
          <t>fne</t>
        </is>
      </c>
      <c r="C367" s="22" t="inlineStr">
        <is>
          <t>Control y fiscalización de medicamentos de control especial</t>
        </is>
      </c>
      <c r="D367" s="22" t="inlineStr">
        <is>
          <t>C122</t>
        </is>
      </c>
      <c r="E367" s="22" t="inlineStr">
        <is>
          <t>Sustancia nueva en las listas</t>
        </is>
      </c>
      <c r="F367" s="22" t="inlineStr">
        <is>
          <t>Naciones Unidas incluyó una nueva sustancia en las listas de fiscalización. Un laboratorio pregunta cómo se refleja eso en Colombia y si debe adjuntar el listado completo al pedir la ampliación de su inscripción.</t>
        </is>
      </c>
      <c r="G367" s="22" t="inlineStr">
        <is>
          <t>Con los 'listados tipo', para inscribirse o ampliar la inscripción,</t>
        </is>
      </c>
      <c r="H367" s="22" t="inlineStr">
        <is>
          <t>Se deben adjuntar tres listados distintos por modalidad</t>
        </is>
      </c>
      <c r="I367" s="22" t="inlineStr">
        <is>
          <t>No se requiere inscripción previa ante el Fondo Nacional</t>
        </is>
      </c>
      <c r="J367" s="22" t="inlineStr">
        <is>
          <t>No es necesario adjuntar el listado de medicamentos</t>
        </is>
      </c>
      <c r="K367" s="22" t="inlineStr">
        <is>
          <t>C</t>
        </is>
      </c>
      <c r="L367" s="22" t="inlineStr">
        <is>
          <t>La Resolución 315 de 2020, art. 8, simplificó el trámite.</t>
        </is>
      </c>
      <c r="M367" s="22" t="inlineStr">
        <is>
          <t>Exigir tres listados distintos multiplica el trámite; afirmar que no se requiere inscripción elimina el control de entrada.</t>
        </is>
      </c>
      <c r="N367" s="22" t="inlineStr">
        <is>
          <t>Resolución 315 de 2020, arts. 6, 7 y 8</t>
        </is>
      </c>
      <c r="O367" s="22" t="inlineStr">
        <is>
          <t>SI</t>
        </is>
      </c>
      <c r="P367" s="16" t="inlineStr">
        <is>
          <t>Basica</t>
        </is>
      </c>
      <c r="Q367" s="16" t="inlineStr">
        <is>
          <t>v2</t>
        </is>
      </c>
      <c r="R367" s="16" t="inlineStr">
        <is>
          <t>Específico</t>
        </is>
      </c>
    </row>
    <row r="368" ht="34.5" customHeight="1" s="12">
      <c r="A368" s="22" t="inlineStr">
        <is>
          <t>F123-1</t>
        </is>
      </c>
      <c r="B368" s="22" t="inlineStr">
        <is>
          <t>fne</t>
        </is>
      </c>
      <c r="C368" s="22" t="inlineStr">
        <is>
          <t>Comercio internacional de sustancias fiscalizadas</t>
        </is>
      </c>
      <c r="D368" s="22" t="inlineStr">
        <is>
          <t>C123</t>
        </is>
      </c>
      <c r="E368" s="22" t="inlineStr">
        <is>
          <t>Tres conceptos para un informe</t>
        </is>
      </c>
      <c r="F368" s="22" t="inlineStr">
        <is>
          <t>En un informe internacional le piden distinguir tres cosas: qué es un precursor químico, qué órgano decide la inclusión de sustancias en las listas y cuál vigila el cumplimiento de los tratados.</t>
        </is>
      </c>
      <c r="G368" s="22" t="inlineStr">
        <is>
          <t>Un precursor químico es</t>
        </is>
      </c>
      <c r="H368" s="22" t="inlineStr">
        <is>
          <t>La sustancia con la que se producen drogas que crean dependencia</t>
        </is>
      </c>
      <c r="I368" s="22" t="inlineStr">
        <is>
          <t>El producto terminado que contiene sustancias bajo fiscalización</t>
        </is>
      </c>
      <c r="J368" s="22" t="inlineStr">
        <is>
          <t>El insumo de laboratorio usado para analizar esas sustancias</t>
        </is>
      </c>
      <c r="K368" s="22" t="inlineStr">
        <is>
          <t>A</t>
        </is>
      </c>
      <c r="L368" s="22" t="inlineStr">
        <is>
          <t>El precursor es la sustancia que se emplea en la fabricación ilícita de estupefacientes o sicotrópicos, según la Convención de 1988. Convención de las Naciones Unidas de 1988, artículo 12 y Cuadros I y II.</t>
        </is>
      </c>
      <c r="M368" s="22" t="inlineStr">
        <is>
          <t>El producto terminado es el resultado, no el precursor; el insumo de laboratorio se usa para analizar, no para producir la droga.</t>
        </is>
      </c>
      <c r="N368" s="22" t="inlineStr">
        <is>
          <t>Convención de las Naciones Unidas de 1988, art. 12</t>
        </is>
      </c>
      <c r="O368" s="22" t="inlineStr">
        <is>
          <t>SI</t>
        </is>
      </c>
      <c r="P368" s="16" t="inlineStr">
        <is>
          <t>Alta</t>
        </is>
      </c>
      <c r="Q368" s="16" t="inlineStr">
        <is>
          <t>v2</t>
        </is>
      </c>
      <c r="R368" s="16" t="inlineStr">
        <is>
          <t>Específico</t>
        </is>
      </c>
    </row>
    <row r="369" ht="23.25" customHeight="1" s="12">
      <c r="A369" s="22" t="inlineStr">
        <is>
          <t>F123-2</t>
        </is>
      </c>
      <c r="B369" s="22" t="inlineStr">
        <is>
          <t>fne</t>
        </is>
      </c>
      <c r="C369" s="22" t="inlineStr">
        <is>
          <t>Comercio internacional de sustancias fiscalizadas</t>
        </is>
      </c>
      <c r="D369" s="22" t="inlineStr">
        <is>
          <t>C123</t>
        </is>
      </c>
      <c r="E369" s="22" t="inlineStr">
        <is>
          <t>Tres conceptos para un informe</t>
        </is>
      </c>
      <c r="F369" s="22" t="inlineStr">
        <is>
          <t>En un informe internacional le piden distinguir tres cosas: qué es un precursor químico, qué órgano decide la inclusión de sustancias en las listas y cuál vigila el cumplimiento de los tratados.</t>
        </is>
      </c>
      <c r="G369" s="22" t="inlineStr">
        <is>
          <t>El órgano de Naciones Unidas que decide sobre la inclusión de sustancias en las listas de los tratados es</t>
        </is>
      </c>
      <c r="H369" s="22" t="inlineStr">
        <is>
          <t>El Consejo de Seguridad</t>
        </is>
      </c>
      <c r="I369" s="22" t="inlineStr">
        <is>
          <t>La Asamblea General</t>
        </is>
      </c>
      <c r="J369" s="22" t="inlineStr">
        <is>
          <t>La Comisión de Estupefacientes</t>
        </is>
      </c>
      <c r="K369" s="22" t="inlineStr">
        <is>
          <t>C</t>
        </is>
      </c>
      <c r="L369" s="22" t="inlineStr">
        <is>
          <t>La inclusión de sustancias en las listas la decide la Comisión de Estupefacientes de la ONU, por recomendación de la OMS. Convención Única de 1961, artículo 3.</t>
        </is>
      </c>
      <c r="M369" s="22" t="inlineStr">
        <is>
          <t>El Consejo de Seguridad atiende paz y seguridad; la Asamblea General no decide sobre las listas de fiscalización.</t>
        </is>
      </c>
      <c r="N369" s="22" t="inlineStr">
        <is>
          <t>Convención Única de 1961, art. 3</t>
        </is>
      </c>
      <c r="O369" s="22" t="inlineStr">
        <is>
          <t>SI</t>
        </is>
      </c>
      <c r="P369" s="16" t="inlineStr">
        <is>
          <t>Alta</t>
        </is>
      </c>
      <c r="Q369" s="16" t="inlineStr">
        <is>
          <t>v2</t>
        </is>
      </c>
      <c r="R369" s="16" t="inlineStr">
        <is>
          <t>Específico</t>
        </is>
      </c>
    </row>
    <row r="370" ht="23.25" customHeight="1" s="12">
      <c r="A370" s="22" t="inlineStr">
        <is>
          <t>F123-3</t>
        </is>
      </c>
      <c r="B370" s="22" t="inlineStr">
        <is>
          <t>fne</t>
        </is>
      </c>
      <c r="C370" s="22" t="inlineStr">
        <is>
          <t>Comercio internacional de sustancias fiscalizadas</t>
        </is>
      </c>
      <c r="D370" s="22" t="inlineStr">
        <is>
          <t>C123</t>
        </is>
      </c>
      <c r="E370" s="22" t="inlineStr">
        <is>
          <t>Tres conceptos para un informe</t>
        </is>
      </c>
      <c r="F370" s="22" t="inlineStr">
        <is>
          <t>En un informe internacional le piden distinguir tres cosas: qué es un precursor químico, qué órgano decide la inclusión de sustancias en las listas y cuál vigila el cumplimiento de los tratados.</t>
        </is>
      </c>
      <c r="G370" s="22" t="inlineStr">
        <is>
          <t>El órgano que vigila el cumplimiento de los tratados y administra el sistema de previsiones es</t>
        </is>
      </c>
      <c r="H370" s="22" t="inlineStr">
        <is>
          <t>La Organización Mundial de la Salud, a través de su comité</t>
        </is>
      </c>
      <c r="I370" s="22" t="inlineStr">
        <is>
          <t>La Oficina de Naciones Unidas contra la Droga y el Delito</t>
        </is>
      </c>
      <c r="J370" s="22" t="inlineStr">
        <is>
          <t>La Junta Internacional de Fiscalización de Estupefacientes</t>
        </is>
      </c>
      <c r="K370" s="22" t="inlineStr">
        <is>
          <t>C</t>
        </is>
      </c>
      <c r="L370" s="22" t="inlineStr">
        <is>
          <t>La Junta Internacional de Fiscalización de Estupefacientes vigila el cumplimiento de los tratados y administra el sistema de previsiones. Convención Única de 1961, artículos 9 y 12.</t>
        </is>
      </c>
      <c r="M370" s="22" t="inlineStr">
        <is>
          <t>La OMS recomienda desde el punto de vista sanitario; la UNODC apoya técnicamente, pero no administra las previsiones.</t>
        </is>
      </c>
      <c r="N370" s="22" t="inlineStr">
        <is>
          <t>Convención Única de 1961, arts. 9 y 12</t>
        </is>
      </c>
      <c r="O370" s="22" t="inlineStr">
        <is>
          <t>SI</t>
        </is>
      </c>
      <c r="P370" s="16" t="inlineStr">
        <is>
          <t>Alta</t>
        </is>
      </c>
      <c r="Q370" s="16" t="inlineStr">
        <is>
          <t>v2</t>
        </is>
      </c>
      <c r="R370" s="16" t="inlineStr">
        <is>
          <t>Específico</t>
        </is>
      </c>
    </row>
    <row r="371" ht="23.25" customHeight="1" s="12">
      <c r="A371" s="22" t="inlineStr">
        <is>
          <t>F124-1</t>
        </is>
      </c>
      <c r="B371" s="22" t="inlineStr">
        <is>
          <t>fne</t>
        </is>
      </c>
      <c r="C371" s="22" t="inlineStr">
        <is>
          <t>Gestión presupuestal y financiera</t>
        </is>
      </c>
      <c r="D371" s="22" t="inlineStr">
        <is>
          <t>C124</t>
        </is>
      </c>
      <c r="E371" s="22" t="inlineStr">
        <is>
          <t>Tres dudas al armar el presupuesto</t>
        </is>
      </c>
      <c r="F371" s="22" t="inlineStr">
        <is>
          <t>El área financiera prepara el presupuesto del año. Surgen tres dudas: con qué se pagan las apropiaciones, por qué no puede usarse un rubro para otro fin y qué se requiere para comprometer la vigencia siguiente.</t>
        </is>
      </c>
      <c r="G371" s="22" t="inlineStr">
        <is>
          <t>El principio según el cual con el total de los ingresos se atiende el pago oportuno de las apropiaciones es el de</t>
        </is>
      </c>
      <c r="H371" s="22" t="inlineStr">
        <is>
          <t>Unidad de caja</t>
        </is>
      </c>
      <c r="I371" s="22" t="inlineStr">
        <is>
          <t>Anualidad</t>
        </is>
      </c>
      <c r="J371" s="22" t="inlineStr">
        <is>
          <t>Inembargabilidad</t>
        </is>
      </c>
      <c r="K371" s="22" t="inlineStr">
        <is>
          <t>A</t>
        </is>
      </c>
      <c r="L371" s="22" t="inlineStr">
        <is>
          <t>El Decreto 111 de 1996 define el principio de unidad de caja.</t>
        </is>
      </c>
      <c r="M371" s="22" t="inlineStr">
        <is>
          <t>La anualidad limita el gasto a la vigencia; la inembargabilidad protege los recursos frente a terceros, sin regular el pago.</t>
        </is>
      </c>
      <c r="N371" s="22" t="inlineStr">
        <is>
          <t>Decreto 111 de 1996, arts. 16 y 18; Ley 819 de 2003</t>
        </is>
      </c>
      <c r="O371" s="22" t="inlineStr">
        <is>
          <t>SI</t>
        </is>
      </c>
      <c r="P371" s="16" t="inlineStr">
        <is>
          <t>Basica</t>
        </is>
      </c>
      <c r="Q371" s="16" t="inlineStr">
        <is>
          <t>v2</t>
        </is>
      </c>
      <c r="R371" s="16" t="inlineStr">
        <is>
          <t>Específico</t>
        </is>
      </c>
    </row>
    <row r="372" ht="34.5" customHeight="1" s="12">
      <c r="A372" s="22" t="inlineStr">
        <is>
          <t>F124-2</t>
        </is>
      </c>
      <c r="B372" s="22" t="inlineStr">
        <is>
          <t>fne</t>
        </is>
      </c>
      <c r="C372" s="22" t="inlineStr">
        <is>
          <t>Gestión presupuestal y financiera</t>
        </is>
      </c>
      <c r="D372" s="22" t="inlineStr">
        <is>
          <t>C124</t>
        </is>
      </c>
      <c r="E372" s="22" t="inlineStr">
        <is>
          <t>Tres dudas al armar el presupuesto</t>
        </is>
      </c>
      <c r="F372" s="22" t="inlineStr">
        <is>
          <t>El área financiera prepara el presupuesto del año. Surgen tres dudas: con qué se pagan las apropiaciones, por qué no puede usarse un rubro para otro fin y qué se requiere para comprometer la vigencia siguiente.</t>
        </is>
      </c>
      <c r="G372" s="22" t="inlineStr">
        <is>
          <t>El principio que exige que las apropiaciones se destinen exclusivamente al objeto para el que fueron programadas es el de</t>
        </is>
      </c>
      <c r="H372" s="22" t="inlineStr">
        <is>
          <t>Planificación</t>
        </is>
      </c>
      <c r="I372" s="22" t="inlineStr">
        <is>
          <t>Universalidad</t>
        </is>
      </c>
      <c r="J372" s="22" t="inlineStr">
        <is>
          <t>Especialización</t>
        </is>
      </c>
      <c r="K372" s="22" t="inlineStr">
        <is>
          <t>C</t>
        </is>
      </c>
      <c r="L372" s="22" t="inlineStr">
        <is>
          <t>El Decreto 111 de 1996 define el principio de especialización.</t>
        </is>
      </c>
      <c r="M372" s="22" t="inlineStr">
        <is>
          <t>La planificación vincula el presupuesto a los planes; la universalidad exige incluir todos los gastos, sin referirse al destino específico.</t>
        </is>
      </c>
      <c r="N372" s="22" t="inlineStr">
        <is>
          <t>Decreto 111 de 1996, arts. 16 y 18; Ley 819 de 2003</t>
        </is>
      </c>
      <c r="O372" s="22" t="inlineStr">
        <is>
          <t>SI</t>
        </is>
      </c>
      <c r="P372" s="16" t="inlineStr">
        <is>
          <t>Basica</t>
        </is>
      </c>
      <c r="Q372" s="16" t="inlineStr">
        <is>
          <t>v2</t>
        </is>
      </c>
      <c r="R372" s="16" t="inlineStr">
        <is>
          <t>Específico</t>
        </is>
      </c>
    </row>
    <row r="373" ht="23.25" customHeight="1" s="12">
      <c r="A373" s="22" t="inlineStr">
        <is>
          <t>F124-3</t>
        </is>
      </c>
      <c r="B373" s="22" t="inlineStr">
        <is>
          <t>fne</t>
        </is>
      </c>
      <c r="C373" s="22" t="inlineStr">
        <is>
          <t>Gestión presupuestal y financiera</t>
        </is>
      </c>
      <c r="D373" s="22" t="inlineStr">
        <is>
          <t>C124</t>
        </is>
      </c>
      <c r="E373" s="22" t="inlineStr">
        <is>
          <t>Tres dudas al armar el presupuesto</t>
        </is>
      </c>
      <c r="F373" s="22" t="inlineStr">
        <is>
          <t>El área financiera prepara el presupuesto del año. Surgen tres dudas: con qué se pagan las apropiaciones, por qué no puede usarse un rubro para otro fin y qué se requiere para comprometer la vigencia siguiente.</t>
        </is>
      </c>
      <c r="G373" s="22" t="inlineStr">
        <is>
          <t>Para asumir compromisos que afecten presupuestos de años siguientes se requiere</t>
        </is>
      </c>
      <c r="H373" s="22" t="inlineStr">
        <is>
          <t>Autorización del jefe de presupuesto</t>
        </is>
      </c>
      <c r="I373" s="22" t="inlineStr">
        <is>
          <t>Autorización escrita del supervisor</t>
        </is>
      </c>
      <c r="J373" s="22" t="inlineStr">
        <is>
          <t>Autorización de vigencias futuras</t>
        </is>
      </c>
      <c r="K373" s="22" t="inlineStr">
        <is>
          <t>C</t>
        </is>
      </c>
      <c r="L373" s="22" t="inlineStr">
        <is>
          <t>Comprometer presupuesto de vigencias siguientes exige autorización de vigencias futuras. Ley 819 de 2003, artículos 10, 11 y 12.</t>
        </is>
      </c>
      <c r="M373" s="22" t="inlineStr">
        <is>
          <t>El jefe de presupuesto certifica disponibilidad, no autoriza vigencias futuras; el supervisor vigila el contrato, sin competencia presupuestal.</t>
        </is>
      </c>
      <c r="N373" s="22" t="inlineStr">
        <is>
          <t>Ley 819 de 2003, arts. 10 a 12; Decreto 111 de 1996, art. 23</t>
        </is>
      </c>
      <c r="O373" s="22" t="inlineStr">
        <is>
          <t>SI</t>
        </is>
      </c>
      <c r="P373" s="16" t="inlineStr">
        <is>
          <t>Basica</t>
        </is>
      </c>
      <c r="Q373" s="16" t="inlineStr">
        <is>
          <t>v2</t>
        </is>
      </c>
      <c r="R373" s="16" t="inlineStr">
        <is>
          <t>Específico</t>
        </is>
      </c>
    </row>
    <row r="374" ht="23.25" customHeight="1" s="12">
      <c r="A374" s="22" t="inlineStr">
        <is>
          <t>F125-1</t>
        </is>
      </c>
      <c r="B374" s="22" t="inlineStr">
        <is>
          <t>fne</t>
        </is>
      </c>
      <c r="C374" s="22" t="inlineStr">
        <is>
          <t>Gestión presupuestal y financiera</t>
        </is>
      </c>
      <c r="D374" s="22" t="inlineStr">
        <is>
          <t>C125</t>
        </is>
      </c>
      <c r="E374" s="22" t="inlineStr">
        <is>
          <t>Treinta unidades menos en el conteo</t>
        </is>
      </c>
      <c r="F374" s="22" t="inlineStr">
        <is>
          <t>En el cierre del inventario aparecen 30 unidades menos de un opioide frente al kárdex. El auxiliar propone ajustar el registro al conteo físico y seguir, porque la diferencia es pequeña.</t>
        </is>
      </c>
      <c r="G374" s="22" t="inlineStr">
        <is>
          <t>La herramienta que registra entradas, salidas y saldos de cada producto es</t>
        </is>
      </c>
      <c r="H374" s="22" t="inlineStr">
        <is>
          <t>El kárdex o sistema de inventario</t>
        </is>
      </c>
      <c r="I374" s="22" t="inlineStr">
        <is>
          <t>El plan anual de adquisiciones</t>
        </is>
      </c>
      <c r="J374" s="22" t="inlineStr">
        <is>
          <t>El manual de funciones</t>
        </is>
      </c>
      <c r="K374" s="22" t="inlineStr">
        <is>
          <t>A</t>
        </is>
      </c>
      <c r="L374" s="22" t="inlineStr">
        <is>
          <t>El kárdex permite controlar el movimiento de inventarios.</t>
        </is>
      </c>
      <c r="M374" s="22" t="inlineStr">
        <is>
          <t>El plan anual de adquisiciones programa compras del año; el manual de funciones define empleos, no movimientos de inventario.</t>
        </is>
      </c>
      <c r="N374" s="22" t="inlineStr">
        <is>
          <t>Control de inventarios; Resolución 1478 de 2006, art. 97</t>
        </is>
      </c>
      <c r="O374" s="22" t="inlineStr">
        <is>
          <t>SI</t>
        </is>
      </c>
      <c r="P374" s="16" t="inlineStr">
        <is>
          <t>Media</t>
        </is>
      </c>
      <c r="Q374" s="16" t="inlineStr">
        <is>
          <t>v2</t>
        </is>
      </c>
      <c r="R374" s="16" t="inlineStr">
        <is>
          <t>Específico</t>
        </is>
      </c>
    </row>
    <row r="375" ht="23.25" customHeight="1" s="12">
      <c r="A375" s="22" t="inlineStr">
        <is>
          <t>F125-2</t>
        </is>
      </c>
      <c r="B375" s="22" t="inlineStr">
        <is>
          <t>fne</t>
        </is>
      </c>
      <c r="C375" s="22" t="inlineStr">
        <is>
          <t>Gestión presupuestal y financiera</t>
        </is>
      </c>
      <c r="D375" s="22" t="inlineStr">
        <is>
          <t>C125</t>
        </is>
      </c>
      <c r="E375" s="22" t="inlineStr">
        <is>
          <t>Treinta unidades menos en el conteo</t>
        </is>
      </c>
      <c r="F375" s="22" t="inlineStr">
        <is>
          <t>En el cierre del inventario aparecen 30 unidades menos de un opioide frente al kárdex. El auxiliar propone ajustar el registro al conteo físico y seguir, porque la diferencia es pequeña.</t>
        </is>
      </c>
      <c r="G375" s="22" t="inlineStr">
        <is>
          <t>Los conteos físicos periódicos sirven para</t>
        </is>
      </c>
      <c r="H375" s="22" t="inlineStr">
        <is>
          <t>Verificar que las existencias coincidan con los registros</t>
        </is>
      </c>
      <c r="I375" s="22" t="inlineStr">
        <is>
          <t>Verificar el valor de los inventarios en la contabilidad</t>
        </is>
      </c>
      <c r="J375" s="22" t="inlineStr">
        <is>
          <t>Reemplazar el registro del kárdex por el conteo del mes</t>
        </is>
      </c>
      <c r="K375" s="22" t="inlineStr">
        <is>
          <t>A</t>
        </is>
      </c>
      <c r="L375" s="22" t="inlineStr">
        <is>
          <t>La toma física valida los saldos registrados.</t>
        </is>
      </c>
      <c r="M375" s="22" t="inlineStr">
        <is>
          <t>Actualizar el valor contable es una consecuencia posterior; reemplazar el kárdex por el conteo elimina el registro que se quiere verificar.</t>
        </is>
      </c>
      <c r="N375" s="22" t="inlineStr">
        <is>
          <t>Control de inventarios; Resolución 1478 de 2006, art. 97</t>
        </is>
      </c>
      <c r="O375" s="22" t="inlineStr">
        <is>
          <t>SI</t>
        </is>
      </c>
      <c r="P375" s="16" t="inlineStr">
        <is>
          <t>Media</t>
        </is>
      </c>
      <c r="Q375" s="16" t="inlineStr">
        <is>
          <t>v2</t>
        </is>
      </c>
      <c r="R375" s="16" t="inlineStr">
        <is>
          <t>Específico</t>
        </is>
      </c>
    </row>
    <row r="376" ht="23.25" customHeight="1" s="12">
      <c r="A376" s="22" t="inlineStr">
        <is>
          <t>F125-3</t>
        </is>
      </c>
      <c r="B376" s="22" t="inlineStr">
        <is>
          <t>fne</t>
        </is>
      </c>
      <c r="C376" s="22" t="inlineStr">
        <is>
          <t>Gestión presupuestal y financiera</t>
        </is>
      </c>
      <c r="D376" s="22" t="inlineStr">
        <is>
          <t>C125</t>
        </is>
      </c>
      <c r="E376" s="22" t="inlineStr">
        <is>
          <t>Treinta unidades menos en el conteo</t>
        </is>
      </c>
      <c r="F376" s="22" t="inlineStr">
        <is>
          <t>En el cierre del inventario aparecen 30 unidades menos de un opioide frente al kárdex. El auxiliar propone ajustar el registro al conteo físico y seguir, porque la diferencia es pequeña.</t>
        </is>
      </c>
      <c r="G376" s="22" t="inlineStr">
        <is>
          <t>Si el conteo físico no coincide con el registro, lo correcto es</t>
        </is>
      </c>
      <c r="H376" s="22" t="inlineStr">
        <is>
          <t>Ajustar el registro al conteo físico y continuar la operación</t>
        </is>
      </c>
      <c r="I376" s="22" t="inlineStr">
        <is>
          <t>Investigar la causa, documentarla y reportarla antes de ajustar</t>
        </is>
      </c>
      <c r="J376" s="22" t="inlineStr">
        <is>
          <t>Documentar la diferencia como merma normal del almacenamiento</t>
        </is>
      </c>
      <c r="K376" s="22" t="inlineStr">
        <is>
          <t>B</t>
        </is>
      </c>
      <c r="L376" s="22" t="inlineStr">
        <is>
          <t>Las diferencias en productos fiscalizados requieren investigación y reporte.</t>
        </is>
      </c>
      <c r="M376" s="22" t="inlineStr">
        <is>
          <t>Ajustar sin investigar borra la evidencia de un posible desvío; registrarla como merma normaliza una diferencia que debe explicarse.</t>
        </is>
      </c>
      <c r="N376" s="22" t="inlineStr">
        <is>
          <t>Control de inventarios; Resolución 1478 de 2006, art. 97</t>
        </is>
      </c>
      <c r="O376" s="22" t="inlineStr">
        <is>
          <t>SI</t>
        </is>
      </c>
      <c r="P376" s="16" t="inlineStr">
        <is>
          <t>Media</t>
        </is>
      </c>
      <c r="Q376" s="16" t="inlineStr">
        <is>
          <t>repaso</t>
        </is>
      </c>
      <c r="R376" s="16" t="inlineStr">
        <is>
          <t>Específico</t>
        </is>
      </c>
    </row>
    <row r="377" ht="34.5" customHeight="1" s="12">
      <c r="A377" s="22" t="inlineStr">
        <is>
          <t>F126-1</t>
        </is>
      </c>
      <c r="B377" s="22" t="inlineStr">
        <is>
          <t>comun</t>
        </is>
      </c>
      <c r="C377" s="22" t="inlineStr">
        <is>
          <t>Precisión jurídica del verbo</t>
        </is>
      </c>
      <c r="D377" s="22" t="inlineStr">
        <is>
          <t>C126</t>
        </is>
      </c>
      <c r="E377" s="22" t="inlineStr">
        <is>
          <t>Citar, convocar o comunicar</t>
        </is>
      </c>
      <c r="F377" s="22" t="inlineStr">
        <is>
          <t>Debe notificar hoy una resolución a una empresa y, a la misma hora, reunir al comité técnico que estudia otro caso. Además, un tercero interesado pide que se le informe la decisión que no lo afecta directamente.</t>
        </is>
      </c>
      <c r="G377" s="22" t="inlineStr">
        <is>
          <t>Para que la empresa comparezca a notificarse personalmente, el acto que corresponde es</t>
        </is>
      </c>
      <c r="H377" s="22" t="inlineStr">
        <is>
          <t>Citarla dentro de los cinco días siguientes al acto</t>
        </is>
      </c>
      <c r="I377" s="22" t="inlineStr">
        <is>
          <t>Invitarla a acercarse cuando pueda, por correo electrónico o por teléfono</t>
        </is>
      </c>
      <c r="J377" s="22" t="inlineStr">
        <is>
          <t>Convocarla a una audiencia de notificación con presencia de su apoderado</t>
        </is>
      </c>
      <c r="K377" s="22" t="inlineStr">
        <is>
          <t>A</t>
        </is>
      </c>
      <c r="L377" s="22" t="inlineStr">
        <is>
          <t>Citar es llamar al interesado a notificarse personalmente, dentro de los cinco (5) días siguientes a la expedición del acto. Ley 1437 de 2011, artículo 68.</t>
        </is>
      </c>
      <c r="M377" s="22" t="inlineStr">
        <is>
          <t>Convocar se reserva para audiencias e instancias colegiadas, no para la notificación individual; invitar no tiene efectos jurídicos ni hace correr términos.</t>
        </is>
      </c>
      <c r="N377" s="22" t="inlineStr">
        <is>
          <t>Ley 1437 de 2011, art. 68</t>
        </is>
      </c>
      <c r="O377" s="22" t="inlineStr">
        <is>
          <t>SI</t>
        </is>
      </c>
      <c r="P377" s="16" t="inlineStr">
        <is>
          <t>Alta</t>
        </is>
      </c>
      <c r="Q377" s="16" t="inlineStr">
        <is>
          <t>v2</t>
        </is>
      </c>
      <c r="R377" s="16" t="inlineStr">
        <is>
          <t>Básico</t>
        </is>
      </c>
    </row>
    <row r="378" ht="34.5" customHeight="1" s="12">
      <c r="A378" s="22" t="inlineStr">
        <is>
          <t>F126-2</t>
        </is>
      </c>
      <c r="B378" s="22" t="inlineStr">
        <is>
          <t>comun</t>
        </is>
      </c>
      <c r="C378" s="22" t="inlineStr">
        <is>
          <t>Precisión jurídica del verbo</t>
        </is>
      </c>
      <c r="D378" s="22" t="inlineStr">
        <is>
          <t>C126</t>
        </is>
      </c>
      <c r="E378" s="22" t="inlineStr">
        <is>
          <t>Citar, convocar o comunicar</t>
        </is>
      </c>
      <c r="F378" s="22" t="inlineStr">
        <is>
          <t>Debe notificar hoy una resolución a una empresa y, a la misma hora, reunir al comité técnico que estudia otro caso. Además, un tercero interesado pide que se le informe la decisión que no lo afecta directamente.</t>
        </is>
      </c>
      <c r="G378" s="22" t="inlineStr">
        <is>
          <t>Para reunir al comité técnico, el verbo correcto es</t>
        </is>
      </c>
      <c r="H378" s="22" t="inlineStr">
        <is>
          <t>Convocarlo, con el orden del día</t>
        </is>
      </c>
      <c r="I378" s="22" t="inlineStr">
        <is>
          <t>Citarlo mediante notificación personal</t>
        </is>
      </c>
      <c r="J378" s="22" t="inlineStr">
        <is>
          <t>Emplazarlo por edicto</t>
        </is>
      </c>
      <c r="K378" s="22" t="inlineStr">
        <is>
          <t>A</t>
        </is>
      </c>
      <c r="L378" s="22" t="inlineStr">
        <is>
          <t>Convocar es llamar a sesionar a un cuerpo colegiado, según su reglamento.</t>
        </is>
      </c>
      <c r="M378" s="22" t="inlineStr">
        <is>
          <t>Citar aplica a la notificación de un particular; emplazar es el llamado público a quien se desconoce, propio de otras actuaciones.</t>
        </is>
      </c>
      <c r="N378" s="22" t="inlineStr">
        <is>
          <t>Ley 1437 de 2011, arts. 65 a 69</t>
        </is>
      </c>
      <c r="O378" s="22" t="inlineStr">
        <is>
          <t>SI</t>
        </is>
      </c>
      <c r="P378" s="16" t="inlineStr">
        <is>
          <t>Alta</t>
        </is>
      </c>
      <c r="Q378" s="16" t="inlineStr">
        <is>
          <t>v2</t>
        </is>
      </c>
      <c r="R378" s="16" t="inlineStr">
        <is>
          <t>Básico</t>
        </is>
      </c>
    </row>
    <row r="379" ht="34.5" customHeight="1" s="12">
      <c r="A379" s="22" t="inlineStr">
        <is>
          <t>F126-3</t>
        </is>
      </c>
      <c r="B379" s="22" t="inlineStr">
        <is>
          <t>comun</t>
        </is>
      </c>
      <c r="C379" s="22" t="inlineStr">
        <is>
          <t>Precisión jurídica del verbo</t>
        </is>
      </c>
      <c r="D379" s="22" t="inlineStr">
        <is>
          <t>C126</t>
        </is>
      </c>
      <c r="E379" s="22" t="inlineStr">
        <is>
          <t>Citar, convocar o comunicar</t>
        </is>
      </c>
      <c r="F379" s="22" t="inlineStr">
        <is>
          <t>Debe notificar hoy una resolución a una empresa y, a la misma hora, reunir al comité técnico que estudia otro caso. Además, un tercero interesado pide que se le informe la decisión que no lo afecta directamente.</t>
        </is>
      </c>
      <c r="G379" s="22" t="inlineStr">
        <is>
          <t>Cuando solo quiere informar a un tercero interesado el contenido de una decisión que no lo afecta directamente, usted debe</t>
        </is>
      </c>
      <c r="H379" s="22" t="inlineStr">
        <is>
          <t>Notificarle personalmente la decisión</t>
        </is>
      </c>
      <c r="I379" s="22" t="inlineStr">
        <is>
          <t>Publicar la decisión en el Diario Oficial</t>
        </is>
      </c>
      <c r="J379" s="22" t="inlineStr">
        <is>
          <t>Comunicarle la decisión</t>
        </is>
      </c>
      <c r="K379" s="22" t="inlineStr">
        <is>
          <t>C</t>
        </is>
      </c>
      <c r="L379" s="22" t="inlineStr">
        <is>
          <t>La comunicación informa sin abrir términos de recursos; la notificación se reserva a quien resulta afectado en un derecho.</t>
        </is>
      </c>
      <c r="M379" s="22" t="inlineStr">
        <is>
          <t>Notificar a quien no es titular del derecho confunde la actuación y puede generar nulidades; la publicación es para actos de carácter general.</t>
        </is>
      </c>
      <c r="N379" s="22" t="inlineStr">
        <is>
          <t>Ley 1437 de 2011, arts. 65 a 69</t>
        </is>
      </c>
      <c r="O379" s="22" t="inlineStr">
        <is>
          <t>SI</t>
        </is>
      </c>
      <c r="P379" s="16" t="inlineStr">
        <is>
          <t>Alta</t>
        </is>
      </c>
      <c r="Q379" s="16" t="inlineStr">
        <is>
          <t>v2</t>
        </is>
      </c>
      <c r="R379" s="16" t="inlineStr">
        <is>
          <t>Básico</t>
        </is>
      </c>
    </row>
    <row r="380" ht="34.5" customHeight="1" s="12">
      <c r="A380" s="22" t="inlineStr">
        <is>
          <t>F127-1</t>
        </is>
      </c>
      <c r="B380" s="22" t="inlineStr">
        <is>
          <t>comun</t>
        </is>
      </c>
      <c r="C380" s="22" t="inlineStr">
        <is>
          <t>Precisión jurídica del verbo</t>
        </is>
      </c>
      <c r="D380" s="22" t="inlineStr">
        <is>
          <t>C127</t>
        </is>
      </c>
      <c r="E380" s="22" t="inlineStr">
        <is>
          <t>Una resolución y una circular</t>
        </is>
      </c>
      <c r="F380" s="22" t="inlineStr">
        <is>
          <t>La entidad expide el mismo día dos actos: una resolución que sanciona a una empresa y una circular con reglas para todos los vigilados. La empresa cambió de sede y no recibe la citación.</t>
        </is>
      </c>
      <c r="G380" s="22" t="inlineStr">
        <is>
          <t>La resolución que sanciona a la empresa debe</t>
        </is>
      </c>
      <c r="H380" s="22" t="inlineStr">
        <is>
          <t>Publicarse en la página web</t>
        </is>
      </c>
      <c r="I380" s="22" t="inlineStr">
        <is>
          <t>Notificarse personalmente o por aviso</t>
        </is>
      </c>
      <c r="J380" s="22" t="inlineStr">
        <is>
          <t>Comunicarse por correo ordinario</t>
        </is>
      </c>
      <c r="K380" s="22" t="inlineStr">
        <is>
          <t>B</t>
        </is>
      </c>
      <c r="L380" s="22" t="inlineStr">
        <is>
          <t>Los actos de carácter particular y concreto se notifican, porque de ahí nacen los términos para recurrir.</t>
        </is>
      </c>
      <c r="M380" s="22" t="inlineStr">
        <is>
          <t>La publicación es para actos generales; la comunicación no abre términos ni acredita el conocimiento formal del afectado.</t>
        </is>
      </c>
      <c r="N380" s="22" t="inlineStr">
        <is>
          <t>Ley 1437 de 2011, arts. 65, 66 y 69</t>
        </is>
      </c>
      <c r="O380" s="22" t="inlineStr">
        <is>
          <t>SI</t>
        </is>
      </c>
      <c r="P380" s="16" t="inlineStr">
        <is>
          <t>Alta</t>
        </is>
      </c>
      <c r="Q380" s="16" t="inlineStr">
        <is>
          <t>v2</t>
        </is>
      </c>
      <c r="R380" s="16" t="inlineStr">
        <is>
          <t>Básico</t>
        </is>
      </c>
    </row>
    <row r="381" ht="34.5" customHeight="1" s="12">
      <c r="A381" s="22" t="inlineStr">
        <is>
          <t>F127-2</t>
        </is>
      </c>
      <c r="B381" s="22" t="inlineStr">
        <is>
          <t>comun</t>
        </is>
      </c>
      <c r="C381" s="22" t="inlineStr">
        <is>
          <t>Precisión jurídica del verbo</t>
        </is>
      </c>
      <c r="D381" s="22" t="inlineStr">
        <is>
          <t>C127</t>
        </is>
      </c>
      <c r="E381" s="22" t="inlineStr">
        <is>
          <t>Una resolución y una circular</t>
        </is>
      </c>
      <c r="F381" s="22" t="inlineStr">
        <is>
          <t>La entidad expide el mismo día dos actos: una resolución que sanciona a una empresa y una circular con reglas para todos los vigilados. La empresa cambió de sede y no recibe la citación.</t>
        </is>
      </c>
      <c r="G381" s="22" t="inlineStr">
        <is>
          <t>La circular con reglas para todos los vigilados debe</t>
        </is>
      </c>
      <c r="H381" s="22" t="inlineStr">
        <is>
          <t>Notificarse a cada vigilado</t>
        </is>
      </c>
      <c r="I381" s="22" t="inlineStr">
        <is>
          <t>Archivarse hasta que alguien la solicite</t>
        </is>
      </c>
      <c r="J381" s="22" t="inlineStr">
        <is>
          <t>Publicarse, porque es un acto de carácter general</t>
        </is>
      </c>
      <c r="K381" s="22" t="inlineStr">
        <is>
          <t>C</t>
        </is>
      </c>
      <c r="L381" s="22" t="inlineStr">
        <is>
          <t>Los actos de carácter general rigen desde su publicación.</t>
        </is>
      </c>
      <c r="M381" s="22" t="inlineStr">
        <is>
          <t>Notificar uno por uno es imposible y no lo exige la ley; archivar impide que produzca efectos.</t>
        </is>
      </c>
      <c r="N381" s="22" t="inlineStr">
        <is>
          <t>Ley 1437 de 2011, arts. 65, 66 y 69</t>
        </is>
      </c>
      <c r="O381" s="22" t="inlineStr">
        <is>
          <t>SI</t>
        </is>
      </c>
      <c r="P381" s="16" t="inlineStr">
        <is>
          <t>Alta</t>
        </is>
      </c>
      <c r="Q381" s="16" t="inlineStr">
        <is>
          <t>v2</t>
        </is>
      </c>
      <c r="R381" s="16" t="inlineStr">
        <is>
          <t>Básico</t>
        </is>
      </c>
    </row>
    <row r="382" ht="45.75" customHeight="1" s="12">
      <c r="A382" s="22" t="inlineStr">
        <is>
          <t>F127-3</t>
        </is>
      </c>
      <c r="B382" s="22" t="inlineStr">
        <is>
          <t>comun</t>
        </is>
      </c>
      <c r="C382" s="22" t="inlineStr">
        <is>
          <t>Precisión jurídica del verbo</t>
        </is>
      </c>
      <c r="D382" s="22" t="inlineStr">
        <is>
          <t>C127</t>
        </is>
      </c>
      <c r="E382" s="22" t="inlineStr">
        <is>
          <t>Una resolución y una circular</t>
        </is>
      </c>
      <c r="F382" s="22" t="inlineStr">
        <is>
          <t>La entidad expide el mismo día dos actos: una resolución que sanciona a una empresa y una circular con reglas para todos los vigilados. La empresa cambió de sede y no recibe la citación.</t>
        </is>
      </c>
      <c r="G382" s="22" t="inlineStr">
        <is>
          <t>Si la notificación personal de la resolución no fue posible, lo procedente es</t>
        </is>
      </c>
      <c r="H382" s="22" t="inlineStr">
        <is>
          <t>Publicar la resolución en un periódico</t>
        </is>
      </c>
      <c r="I382" s="22" t="inlineStr">
        <is>
          <t>Notificar por aviso</t>
        </is>
      </c>
      <c r="J382" s="22" t="inlineStr">
        <is>
          <t>Dar por notificada a la empresa por conducta concluyente sin más trámite</t>
        </is>
      </c>
      <c r="K382" s="22" t="inlineStr">
        <is>
          <t>B</t>
        </is>
      </c>
      <c r="L382" s="22" t="inlineStr">
        <is>
          <t>Agotada la citación, el CPACA prevé la notificación por aviso con copia íntegra del acto.</t>
        </is>
      </c>
      <c r="M382" s="22" t="inlineStr">
        <is>
          <t>La conducta concluyente solo opera cuando el interesado actúa en el proceso demostrando que conoce el acto; la publicación en prensa no sustituye la notificación personal.</t>
        </is>
      </c>
      <c r="N382" s="22" t="inlineStr">
        <is>
          <t>Ley 1437 de 2011, arts. 65, 66 y 69</t>
        </is>
      </c>
      <c r="O382" s="22" t="inlineStr">
        <is>
          <t>SI</t>
        </is>
      </c>
      <c r="P382" s="16" t="inlineStr">
        <is>
          <t>Alta</t>
        </is>
      </c>
      <c r="Q382" s="16" t="inlineStr">
        <is>
          <t>v2</t>
        </is>
      </c>
      <c r="R382" s="16" t="inlineStr">
        <is>
          <t>Básico</t>
        </is>
      </c>
    </row>
    <row r="383" ht="34.5" customHeight="1" s="12">
      <c r="A383" s="22" t="inlineStr">
        <is>
          <t>F128-1</t>
        </is>
      </c>
      <c r="B383" s="22" t="inlineStr">
        <is>
          <t>comun</t>
        </is>
      </c>
      <c r="C383" s="22" t="inlineStr">
        <is>
          <t>Precisión jurídica del verbo</t>
        </is>
      </c>
      <c r="D383" s="22" t="inlineStr">
        <is>
          <t>C128</t>
        </is>
      </c>
      <c r="E383" s="22" t="inlineStr">
        <is>
          <t>Revocar, anular o suspender</t>
        </is>
      </c>
      <c r="F383" s="22" t="inlineStr">
        <is>
          <t>Una empresa sostiene que un acto suyo es ilegal y pide dejarlo sin efectos. El abogado de la empresa habla indistintamente de revocarlo, anularlo y suspenderlo, y anuncia demanda si no se resuelve hoy.</t>
        </is>
      </c>
      <c r="G383" s="22" t="inlineStr">
        <is>
          <t>Si la propia administración concluye que el acto es manifiestamente contrario a la ley, lo que procede es</t>
        </is>
      </c>
      <c r="H383" s="22" t="inlineStr">
        <is>
          <t>Anularlo mediante resolución</t>
        </is>
      </c>
      <c r="I383" s="22" t="inlineStr">
        <is>
          <t>Declararlo inexistente</t>
        </is>
      </c>
      <c r="J383" s="22" t="inlineStr">
        <is>
          <t>Revocarlo directamente</t>
        </is>
      </c>
      <c r="K383" s="22" t="inlineStr">
        <is>
          <t>C</t>
        </is>
      </c>
      <c r="L383" s="22" t="inlineStr">
        <is>
          <t>La revocatoria directa es la figura con la que la administración deja sin efectos sus propios actos por las causales del artículo 93.</t>
        </is>
      </c>
      <c r="M383" s="22" t="inlineStr">
        <is>
          <t>Anular es competencia del juez administrativo; la inexistencia no es una figura del procedimiento administrativo colombiano.</t>
        </is>
      </c>
      <c r="N383" s="22" t="inlineStr">
        <is>
          <t>Ley 1437 de 2011, arts. 93, 137 y 231</t>
        </is>
      </c>
      <c r="O383" s="22" t="inlineStr">
        <is>
          <t>SI</t>
        </is>
      </c>
      <c r="P383" s="16" t="inlineStr">
        <is>
          <t>Alta</t>
        </is>
      </c>
      <c r="Q383" s="16" t="inlineStr">
        <is>
          <t>v2</t>
        </is>
      </c>
      <c r="R383" s="16" t="inlineStr">
        <is>
          <t>Básico</t>
        </is>
      </c>
    </row>
    <row r="384" ht="34.5" customHeight="1" s="12">
      <c r="A384" s="22" t="inlineStr">
        <is>
          <t>F128-2</t>
        </is>
      </c>
      <c r="B384" s="22" t="inlineStr">
        <is>
          <t>comun</t>
        </is>
      </c>
      <c r="C384" s="22" t="inlineStr">
        <is>
          <t>Precisión jurídica del verbo</t>
        </is>
      </c>
      <c r="D384" s="22" t="inlineStr">
        <is>
          <t>C128</t>
        </is>
      </c>
      <c r="E384" s="22" t="inlineStr">
        <is>
          <t>Revocar, anular o suspender</t>
        </is>
      </c>
      <c r="F384" s="22" t="inlineStr">
        <is>
          <t>Una empresa sostiene que un acto suyo es ilegal y pide dejarlo sin efectos. El abogado de la empresa habla indistintamente de revocarlo, anularlo y suspenderlo, y anuncia demanda si no se resuelve hoy.</t>
        </is>
      </c>
      <c r="G384" s="22" t="inlineStr">
        <is>
          <t>Declarar la nulidad del acto le corresponde a</t>
        </is>
      </c>
      <c r="H384" s="22" t="inlineStr">
        <is>
          <t>La Procuraduría</t>
        </is>
      </c>
      <c r="I384" s="22" t="inlineStr">
        <is>
          <t>El superior jerárquico de quien lo expidió</t>
        </is>
      </c>
      <c r="J384" s="22" t="inlineStr">
        <is>
          <t>La jurisdicción de lo contencioso administrativo</t>
        </is>
      </c>
      <c r="K384" s="22" t="inlineStr">
        <is>
          <t>C</t>
        </is>
      </c>
      <c r="L384" s="22" t="inlineStr">
        <is>
          <t>La nulidad de los actos administrativos la declara el juez, mediante los medios de control correspondientes.</t>
        </is>
      </c>
      <c r="M384" s="22" t="inlineStr">
        <is>
          <t>El superior puede resolver recursos o revocar, pero no anular; la Procuraduría ejerce control disciplinario, no de legalidad de actos.</t>
        </is>
      </c>
      <c r="N384" s="22" t="inlineStr">
        <is>
          <t>Ley 1437 de 2011, arts. 93, 137 y 231</t>
        </is>
      </c>
      <c r="O384" s="22" t="inlineStr">
        <is>
          <t>SI</t>
        </is>
      </c>
      <c r="P384" s="16" t="inlineStr">
        <is>
          <t>Alta</t>
        </is>
      </c>
      <c r="Q384" s="16" t="inlineStr">
        <is>
          <t>v2</t>
        </is>
      </c>
      <c r="R384" s="16" t="inlineStr">
        <is>
          <t>Básico</t>
        </is>
      </c>
    </row>
    <row r="385" ht="34.5" customHeight="1" s="12">
      <c r="A385" s="22" t="inlineStr">
        <is>
          <t>F128-3</t>
        </is>
      </c>
      <c r="B385" s="22" t="inlineStr">
        <is>
          <t>comun</t>
        </is>
      </c>
      <c r="C385" s="22" t="inlineStr">
        <is>
          <t>Precisión jurídica del verbo</t>
        </is>
      </c>
      <c r="D385" s="22" t="inlineStr">
        <is>
          <t>C128</t>
        </is>
      </c>
      <c r="E385" s="22" t="inlineStr">
        <is>
          <t>Revocar, anular o suspender</t>
        </is>
      </c>
      <c r="F385" s="22" t="inlineStr">
        <is>
          <t>Una empresa sostiene que un acto suyo es ilegal y pide dejarlo sin efectos. El abogado de la empresa habla indistintamente de revocarlo, anularlo y suspenderlo, y anuncia demanda si no se resuelve hoy.</t>
        </is>
      </c>
      <c r="G385" s="22" t="inlineStr">
        <is>
          <t>La suspensión provisional de los efectos del acto</t>
        </is>
      </c>
      <c r="H385" s="22" t="inlineStr">
        <is>
          <t>Opera automáticamente con la presentación del recurso</t>
        </is>
      </c>
      <c r="I385" s="22" t="inlineStr">
        <is>
          <t>La ordena el jefe de la oficina jurídica</t>
        </is>
      </c>
      <c r="J385" s="22" t="inlineStr">
        <is>
          <t>La decreta el juez como medida cautelar dentro del proceso</t>
        </is>
      </c>
      <c r="K385" s="22" t="inlineStr">
        <is>
          <t>C</t>
        </is>
      </c>
      <c r="L385" s="22" t="inlineStr">
        <is>
          <t>La suspensión provisional es una medida cautelar judicial.</t>
        </is>
      </c>
      <c r="M385" s="22" t="inlineStr">
        <is>
          <t>Ningún funcionario la decreta por su cuenta; y los recursos no suspenden por sí solos los efectos del acto, salvo norma expresa.</t>
        </is>
      </c>
      <c r="N385" s="22" t="inlineStr">
        <is>
          <t>Ley 1437 de 2011, arts. 93, 137 y 231</t>
        </is>
      </c>
      <c r="O385" s="22" t="inlineStr">
        <is>
          <t>SI</t>
        </is>
      </c>
      <c r="P385" s="16" t="inlineStr">
        <is>
          <t>Alta</t>
        </is>
      </c>
      <c r="Q385" s="16" t="inlineStr">
        <is>
          <t>v2</t>
        </is>
      </c>
      <c r="R385" s="16" t="inlineStr">
        <is>
          <t>Básico</t>
        </is>
      </c>
    </row>
    <row r="386" ht="34.5" customHeight="1" s="12">
      <c r="A386" s="22" t="inlineStr">
        <is>
          <t>F129-1</t>
        </is>
      </c>
      <c r="B386" s="22" t="inlineStr">
        <is>
          <t>comun</t>
        </is>
      </c>
      <c r="C386" s="22" t="inlineStr">
        <is>
          <t>Precisión jurídica del verbo</t>
        </is>
      </c>
      <c r="D386" s="22" t="inlineStr">
        <is>
          <t>C129</t>
        </is>
      </c>
      <c r="E386" s="22" t="inlineStr">
        <is>
          <t>Dos conflictos en la misma semana</t>
        </is>
      </c>
      <c r="F386" s="22" t="inlineStr">
        <is>
          <t>A usted le asignan una actuación sobre la empresa de su primo hermano y, al mismo tiempo, descubre que su jefe tiene interés en otro expediente. Ambos casos deben decidirse esta semana.</t>
        </is>
      </c>
      <c r="G386" s="22" t="inlineStr">
        <is>
          <t>Respecto de su propio caso, lo que corresponde es</t>
        </is>
      </c>
      <c r="H386" s="22" t="inlineStr">
        <is>
          <t>Recusarse a sí mismo por escrito ante el superior jerárquico del caso</t>
        </is>
      </c>
      <c r="I386" s="22" t="inlineStr">
        <is>
          <t>Abstenerse de firmar sin explicación y dejar que otro tome la decisión</t>
        </is>
      </c>
      <c r="J386" s="22" t="inlineStr">
        <is>
          <t>Declararse impedido ante su superior, antes de actuar</t>
        </is>
      </c>
      <c r="K386" s="22" t="inlineStr">
        <is>
          <t>C</t>
        </is>
      </c>
      <c r="L386" s="22" t="inlineStr">
        <is>
          <t>El impedimento es la manifestación que hace el propio servidor cuando lo afecta una causal.</t>
        </is>
      </c>
      <c r="M386" s="22" t="inlineStr">
        <is>
          <t>La recusación la presenta un tercero, no uno mismo; abstenerse sin dejar constancia deja la actuación sin control y puede ser falta disciplinaria.</t>
        </is>
      </c>
      <c r="N386" s="22" t="inlineStr">
        <is>
          <t>Ley 1437 de 2011, arts. 11 y 12</t>
        </is>
      </c>
      <c r="O386" s="22" t="inlineStr">
        <is>
          <t>SI</t>
        </is>
      </c>
      <c r="P386" s="16" t="inlineStr">
        <is>
          <t>Alta</t>
        </is>
      </c>
      <c r="Q386" s="16" t="inlineStr">
        <is>
          <t>v2</t>
        </is>
      </c>
      <c r="R386" s="16" t="inlineStr">
        <is>
          <t>Básico</t>
        </is>
      </c>
    </row>
    <row r="387" ht="34.5" customHeight="1" s="12">
      <c r="A387" s="22" t="inlineStr">
        <is>
          <t>F129-2</t>
        </is>
      </c>
      <c r="B387" s="22" t="inlineStr">
        <is>
          <t>comun</t>
        </is>
      </c>
      <c r="C387" s="22" t="inlineStr">
        <is>
          <t>Precisión jurídica del verbo</t>
        </is>
      </c>
      <c r="D387" s="22" t="inlineStr">
        <is>
          <t>C129</t>
        </is>
      </c>
      <c r="E387" s="22" t="inlineStr">
        <is>
          <t>Dos conflictos en la misma semana</t>
        </is>
      </c>
      <c r="F387" s="22" t="inlineStr">
        <is>
          <t>A usted le asignan una actuación sobre la empresa de su primo hermano y, al mismo tiempo, descubre que su jefe tiene interés en otro expediente. Ambos casos deben decidirse esta semana.</t>
        </is>
      </c>
      <c r="G387" s="22" t="inlineStr">
        <is>
          <t>Respecto del interés de su jefe, si él no se aparta, el interesado puede</t>
        </is>
      </c>
      <c r="H387" s="22" t="inlineStr">
        <is>
          <t>Recusarlo</t>
        </is>
      </c>
      <c r="I387" s="22" t="inlineStr">
        <is>
          <t>Impedirlo</t>
        </is>
      </c>
      <c r="J387" s="22" t="inlineStr">
        <is>
          <t>Denunciarlo penalmente de inmediato, como único camino</t>
        </is>
      </c>
      <c r="K387" s="22" t="inlineStr">
        <is>
          <t>A</t>
        </is>
      </c>
      <c r="L387" s="22" t="inlineStr">
        <is>
          <t>La recusación es la solicitud del interesado para que se aparte el funcionario incurso en una causal.</t>
        </is>
      </c>
      <c r="M387" s="22" t="inlineStr">
        <is>
          <t>Impedirse es un acto propio del funcionario, no de un tercero; la denuncia penal exige un delito, y aquí lo procedente es la figura procesal.</t>
        </is>
      </c>
      <c r="N387" s="22" t="inlineStr">
        <is>
          <t>Ley 1437 de 2011, arts. 11 y 12</t>
        </is>
      </c>
      <c r="O387" s="22" t="inlineStr">
        <is>
          <t>SI</t>
        </is>
      </c>
      <c r="P387" s="16" t="inlineStr">
        <is>
          <t>Alta</t>
        </is>
      </c>
      <c r="Q387" s="16" t="inlineStr">
        <is>
          <t>v2</t>
        </is>
      </c>
      <c r="R387" s="16" t="inlineStr">
        <is>
          <t>Básico</t>
        </is>
      </c>
    </row>
    <row r="388" ht="34.5" customHeight="1" s="12">
      <c r="A388" s="22" t="inlineStr">
        <is>
          <t>F129-3</t>
        </is>
      </c>
      <c r="B388" s="22" t="inlineStr">
        <is>
          <t>comun</t>
        </is>
      </c>
      <c r="C388" s="22" t="inlineStr">
        <is>
          <t>Precisión jurídica del verbo</t>
        </is>
      </c>
      <c r="D388" s="22" t="inlineStr">
        <is>
          <t>C129</t>
        </is>
      </c>
      <c r="E388" s="22" t="inlineStr">
        <is>
          <t>Dos conflictos en la misma semana</t>
        </is>
      </c>
      <c r="F388" s="22" t="inlineStr">
        <is>
          <t>A usted le asignan una actuación sobre la empresa de su primo hermano y, al mismo tiempo, descubre que su jefe tiene interés en otro expediente. Ambos casos deben decidirse esta semana.</t>
        </is>
      </c>
      <c r="G388" s="22" t="inlineStr">
        <is>
          <t>Mientras se resuelve la recusación, el funcionario recusado</t>
        </is>
      </c>
      <c r="H388" s="22" t="inlineStr">
        <is>
          <t>Debe apartarse del conocimiento del asunto</t>
        </is>
      </c>
      <c r="I388" s="22" t="inlineStr">
        <is>
          <t>Puede delegar la decisión en su secretaria</t>
        </is>
      </c>
      <c r="J388" s="22" t="inlineStr">
        <is>
          <t>Continúa decidiendo hasta que se le notifique lo contrario</t>
        </is>
      </c>
      <c r="K388" s="22" t="inlineStr">
        <is>
          <t>A</t>
        </is>
      </c>
      <c r="L388" s="22" t="inlineStr">
        <is>
          <t>Planteada la causal, el funcionario se aparta y el superior decide quién continúa.</t>
        </is>
      </c>
      <c r="M388" s="22" t="inlineStr">
        <is>
          <t>Seguir decidiendo compromete la validez de lo actuado; la delegación no sanea el conflicto de interés.</t>
        </is>
      </c>
      <c r="N388" s="22" t="inlineStr">
        <is>
          <t>Ley 1437 de 2011, arts. 11 y 12</t>
        </is>
      </c>
      <c r="O388" s="22" t="inlineStr">
        <is>
          <t>SI</t>
        </is>
      </c>
      <c r="P388" s="16" t="inlineStr">
        <is>
          <t>Alta</t>
        </is>
      </c>
      <c r="Q388" s="16" t="inlineStr">
        <is>
          <t>v2</t>
        </is>
      </c>
      <c r="R388" s="16" t="inlineStr">
        <is>
          <t>Básico</t>
        </is>
      </c>
    </row>
    <row r="389" ht="45.75" customHeight="1" s="12">
      <c r="A389" s="22" t="inlineStr">
        <is>
          <t>F130-1</t>
        </is>
      </c>
      <c r="B389" s="22" t="inlineStr">
        <is>
          <t>comun</t>
        </is>
      </c>
      <c r="C389" s="22" t="inlineStr">
        <is>
          <t>Precisión jurídica del verbo</t>
        </is>
      </c>
      <c r="D389" s="22" t="inlineStr">
        <is>
          <t>C130</t>
        </is>
      </c>
      <c r="E389" s="22" t="inlineStr">
        <is>
          <t>Certificar, conceptuar o autorizar</t>
        </is>
      </c>
      <c r="F389" s="22" t="inlineStr">
        <is>
          <t>Llegan tres solicitudes el mismo día: una empresa pide constancia de un dato que reposa en los registros, otra pide su opinión sobre cómo aplicar una norma y una tercera pide permiso para iniciar una actividad sujeta a control.</t>
        </is>
      </c>
      <c r="G389" s="22" t="inlineStr">
        <is>
          <t>Para hacer constar un hecho que reposa en los registros de la entidad, usted debe</t>
        </is>
      </c>
      <c r="H389" s="22" t="inlineStr">
        <is>
          <t>Autorizarlo</t>
        </is>
      </c>
      <c r="I389" s="22" t="inlineStr">
        <is>
          <t>Certificarlo</t>
        </is>
      </c>
      <c r="J389" s="22" t="inlineStr">
        <is>
          <t>Conceptuarlo</t>
        </is>
      </c>
      <c r="K389" s="22" t="inlineStr">
        <is>
          <t>B</t>
        </is>
      </c>
      <c r="L389" s="22" t="inlineStr">
        <is>
          <t>Certificar es dar fe de un hecho o dato que consta en la entidad.</t>
        </is>
      </c>
      <c r="M389" s="22" t="inlineStr">
        <is>
          <t>Conceptuar es opinar técnicamente; autorizar es habilitar una conducta: ninguno acredita un hecho.</t>
        </is>
      </c>
      <c r="N389" s="22" t="inlineStr">
        <is>
          <t>Ley 1437 de 2011, arts. 14, 28 y 43</t>
        </is>
      </c>
      <c r="O389" s="22" t="inlineStr">
        <is>
          <t>SI</t>
        </is>
      </c>
      <c r="P389" s="16" t="inlineStr">
        <is>
          <t>Alta</t>
        </is>
      </c>
      <c r="Q389" s="16" t="inlineStr">
        <is>
          <t>v2</t>
        </is>
      </c>
      <c r="R389" s="16" t="inlineStr">
        <is>
          <t>Básico</t>
        </is>
      </c>
    </row>
    <row r="390" ht="45.75" customHeight="1" s="12">
      <c r="A390" s="22" t="inlineStr">
        <is>
          <t>F130-2</t>
        </is>
      </c>
      <c r="B390" s="22" t="inlineStr">
        <is>
          <t>comun</t>
        </is>
      </c>
      <c r="C390" s="22" t="inlineStr">
        <is>
          <t>Precisión jurídica del verbo</t>
        </is>
      </c>
      <c r="D390" s="22" t="inlineStr">
        <is>
          <t>C130</t>
        </is>
      </c>
      <c r="E390" s="22" t="inlineStr">
        <is>
          <t>Certificar, conceptuar o autorizar</t>
        </is>
      </c>
      <c r="F390" s="22" t="inlineStr">
        <is>
          <t>Llegan tres solicitudes el mismo día: una empresa pide constancia de un dato que reposa en los registros, otra pide su opinión sobre cómo aplicar una norma y una tercera pide permiso para iniciar una actividad sujeta a control.</t>
        </is>
      </c>
      <c r="G390" s="22" t="inlineStr">
        <is>
          <t>La opinión técnica sobre cómo se aplica la norma se materializa en un concepto, que</t>
        </is>
      </c>
      <c r="H390" s="22" t="inlineStr">
        <is>
          <t>No es de obligatorio cumplimiento, salvo norma en contrario</t>
        </is>
      </c>
      <c r="I390" s="22" t="inlineStr">
        <is>
          <t>Reemplaza la decisión del caso concreto cuando el funcionario lo acoge por escrito</t>
        </is>
      </c>
      <c r="J390" s="22" t="inlineStr">
        <is>
          <t>Obliga a la entidad como si fuera un acto administrativo desde que se comunica</t>
        </is>
      </c>
      <c r="K390" s="22" t="inlineStr">
        <is>
          <t>A</t>
        </is>
      </c>
      <c r="L390" s="22" t="inlineStr">
        <is>
          <t>Los conceptos no comprometen la responsabilidad de la entidad ni son de obligatorio cumplimiento.</t>
        </is>
      </c>
      <c r="M390" s="22" t="inlineStr">
        <is>
          <t>Un concepto no crea, modifica ni extingue derechos, y por eso no sustituye la decisión ni obliga como un acto.</t>
        </is>
      </c>
      <c r="N390" s="22" t="inlineStr">
        <is>
          <t>Ley 1437 de 2011, arts. 14, 28 y 43</t>
        </is>
      </c>
      <c r="O390" s="22" t="inlineStr">
        <is>
          <t>SI</t>
        </is>
      </c>
      <c r="P390" s="16" t="inlineStr">
        <is>
          <t>Alta</t>
        </is>
      </c>
      <c r="Q390" s="16" t="inlineStr">
        <is>
          <t>v2</t>
        </is>
      </c>
      <c r="R390" s="16" t="inlineStr">
        <is>
          <t>Básico</t>
        </is>
      </c>
    </row>
    <row r="391" ht="45.75" customHeight="1" s="12">
      <c r="A391" s="22" t="inlineStr">
        <is>
          <t>F130-3</t>
        </is>
      </c>
      <c r="B391" s="22" t="inlineStr">
        <is>
          <t>comun</t>
        </is>
      </c>
      <c r="C391" s="22" t="inlineStr">
        <is>
          <t>Precisión jurídica del verbo</t>
        </is>
      </c>
      <c r="D391" s="22" t="inlineStr">
        <is>
          <t>C130</t>
        </is>
      </c>
      <c r="E391" s="22" t="inlineStr">
        <is>
          <t>Certificar, conceptuar o autorizar</t>
        </is>
      </c>
      <c r="F391" s="22" t="inlineStr">
        <is>
          <t>Llegan tres solicitudes el mismo día: una empresa pide constancia de un dato que reposa en los registros, otra pide su opinión sobre cómo aplicar una norma y una tercera pide permiso para iniciar una actividad sujeta a control.</t>
        </is>
      </c>
      <c r="G391" s="22" t="inlineStr">
        <is>
          <t>El permiso para iniciar la actividad se otorga mediante</t>
        </is>
      </c>
      <c r="H391" s="22" t="inlineStr">
        <is>
          <t>Una autorización, que es un acto con efectos jurídicos</t>
        </is>
      </c>
      <c r="I391" s="22" t="inlineStr">
        <is>
          <t>Un concepto favorable de la dependencia técnica, firmado por el coordinador del grupo</t>
        </is>
      </c>
      <c r="J391" s="22" t="inlineStr">
        <is>
          <t>Un certificado de buena conducta del solicitante, expedido por la autoridad competente</t>
        </is>
      </c>
      <c r="K391" s="22" t="inlineStr">
        <is>
          <t>A</t>
        </is>
      </c>
      <c r="L391" s="22" t="inlineStr">
        <is>
          <t>La autorización habilita jurídicamente al particular para desarrollar la actividad.</t>
        </is>
      </c>
      <c r="M391" s="22" t="inlineStr">
        <is>
          <t>Un certificado solo acredita hechos y un concepto no habilita: sin acto autorizatorio, la actividad seguiría sin permiso.</t>
        </is>
      </c>
      <c r="N391" s="22" t="inlineStr">
        <is>
          <t>Ley 1437 de 2011, arts. 14, 28 y 43</t>
        </is>
      </c>
      <c r="O391" s="22" t="inlineStr">
        <is>
          <t>SI</t>
        </is>
      </c>
      <c r="P391" s="16" t="inlineStr">
        <is>
          <t>Alta</t>
        </is>
      </c>
      <c r="Q391" s="16" t="inlineStr">
        <is>
          <t>v2</t>
        </is>
      </c>
      <c r="R391" s="16" t="inlineStr">
        <is>
          <t>Básico</t>
        </is>
      </c>
    </row>
    <row r="392" ht="34.5" customHeight="1" s="12">
      <c r="A392" s="22" t="inlineStr">
        <is>
          <t>F131-1</t>
        </is>
      </c>
      <c r="B392" s="22" t="inlineStr">
        <is>
          <t>comun</t>
        </is>
      </c>
      <c r="C392" s="22" t="inlineStr">
        <is>
          <t>Precisión jurídica del verbo</t>
        </is>
      </c>
      <c r="D392" s="22" t="inlineStr">
        <is>
          <t>C131</t>
        </is>
      </c>
      <c r="E392" s="22" t="inlineStr">
        <is>
          <t>Tres escritos después de una visita</t>
        </is>
      </c>
      <c r="F392" s="22" t="inlineStr">
        <is>
          <t>Después de una visita debe dejar por escrito tres cosas: pedir los registros de producción que faltaron, disponer el cierre inmediato de un área con riesgo y sugerir una mejora de señalización que la norma no exige.</t>
        </is>
      </c>
      <c r="G392" s="22" t="inlineStr">
        <is>
          <t>Para pedir los documentos faltantes, dentro de una actuación en curso, usted</t>
        </is>
      </c>
      <c r="H392" s="22" t="inlineStr">
        <is>
          <t>Le recomienda enviarlos cuando pueda, sin fecha y sin consecuencia alguna</t>
        </is>
      </c>
      <c r="I392" s="22" t="inlineStr">
        <is>
          <t>Requiere al vigilado, con plazo y advertencia</t>
        </is>
      </c>
      <c r="J392" s="22" t="inlineStr">
        <is>
          <t>Le ordena entregarlos de inmediato, sin plazo, so pena de cierre del establecimiento</t>
        </is>
      </c>
      <c r="K392" s="22" t="inlineStr">
        <is>
          <t>B</t>
        </is>
      </c>
      <c r="L392" s="22" t="inlineStr">
        <is>
          <t>El requerimiento es la solicitud formal con plazo dentro de una actuación; su desatención puede acarrear multa por renuencia.</t>
        </is>
      </c>
      <c r="M392" s="22" t="inlineStr">
        <is>
          <t>Una orden sin plazo no es exigible ni permite defensa; una recomendación no obliga y no habilita ninguna consecuencia.</t>
        </is>
      </c>
      <c r="N392" s="22" t="inlineStr">
        <is>
          <t>Ley 1437 de 2011, art. 51; Ley 9 de 1979, art. 576; Constitución Política, art. 6</t>
        </is>
      </c>
      <c r="O392" s="22" t="inlineStr">
        <is>
          <t>SI</t>
        </is>
      </c>
      <c r="P392" s="16" t="inlineStr">
        <is>
          <t>Alta</t>
        </is>
      </c>
      <c r="Q392" s="16" t="inlineStr">
        <is>
          <t>v2</t>
        </is>
      </c>
      <c r="R392" s="16" t="inlineStr">
        <is>
          <t>Básico</t>
        </is>
      </c>
    </row>
    <row r="393" ht="34.5" customHeight="1" s="12">
      <c r="A393" s="22" t="inlineStr">
        <is>
          <t>F131-2</t>
        </is>
      </c>
      <c r="B393" s="22" t="inlineStr">
        <is>
          <t>comun</t>
        </is>
      </c>
      <c r="C393" s="22" t="inlineStr">
        <is>
          <t>Precisión jurídica del verbo</t>
        </is>
      </c>
      <c r="D393" s="22" t="inlineStr">
        <is>
          <t>C131</t>
        </is>
      </c>
      <c r="E393" s="22" t="inlineStr">
        <is>
          <t>Tres escritos después de una visita</t>
        </is>
      </c>
      <c r="F393" s="22" t="inlineStr">
        <is>
          <t>Después de una visita debe dejar por escrito tres cosas: pedir los registros de producción que faltaron, disponer el cierre inmediato de un área con riesgo y sugerir una mejora de señalización que la norma no exige.</t>
        </is>
      </c>
      <c r="G393" s="22" t="inlineStr">
        <is>
          <t>Para disponer una acción obligatoria que elimina un riesgo sanitario, usted</t>
        </is>
      </c>
      <c r="H393" s="22" t="inlineStr">
        <is>
          <t>Recomienda adoptarla y deja la decisión en manos del representante legal</t>
        </is>
      </c>
      <c r="I393" s="22" t="inlineStr">
        <is>
          <t>Requiere que la evalúen y presenten un plan de ajuste dentro de un mes</t>
        </is>
      </c>
      <c r="J393" s="22" t="inlineStr">
        <is>
          <t>Ordena la medida mediante acto motivado</t>
        </is>
      </c>
      <c r="K393" s="22" t="inlineStr">
        <is>
          <t>C</t>
        </is>
      </c>
      <c r="L393" s="22" t="inlineStr">
        <is>
          <t>La orden impone un deber de hacer o no hacer y se sustenta en la norma que la habilita.</t>
        </is>
      </c>
      <c r="M393" s="22" t="inlineStr">
        <is>
          <t>Recomendar deja la decisión en manos del vigilado y requerir solo pide información: ninguno conjura un riesgo inminente.</t>
        </is>
      </c>
      <c r="N393" s="22" t="inlineStr">
        <is>
          <t>Ley 1437 de 2011, art. 51; Ley 9 de 1979, art. 576; Constitución Política, art. 6</t>
        </is>
      </c>
      <c r="O393" s="22" t="inlineStr">
        <is>
          <t>SI</t>
        </is>
      </c>
      <c r="P393" s="16" t="inlineStr">
        <is>
          <t>Alta</t>
        </is>
      </c>
      <c r="Q393" s="16" t="inlineStr">
        <is>
          <t>v2</t>
        </is>
      </c>
      <c r="R393" s="16" t="inlineStr">
        <is>
          <t>Básico</t>
        </is>
      </c>
    </row>
    <row r="394" ht="34.5" customHeight="1" s="12">
      <c r="A394" s="22" t="inlineStr">
        <is>
          <t>F131-3</t>
        </is>
      </c>
      <c r="B394" s="22" t="inlineStr">
        <is>
          <t>comun</t>
        </is>
      </c>
      <c r="C394" s="22" t="inlineStr">
        <is>
          <t>Precisión jurídica del verbo</t>
        </is>
      </c>
      <c r="D394" s="22" t="inlineStr">
        <is>
          <t>C131</t>
        </is>
      </c>
      <c r="E394" s="22" t="inlineStr">
        <is>
          <t>Tres escritos después de una visita</t>
        </is>
      </c>
      <c r="F394" s="22" t="inlineStr">
        <is>
          <t>Después de una visita debe dejar por escrito tres cosas: pedir los registros de producción que faltaron, disponer el cierre inmediato de un área con riesgo y sugerir una mejora de señalización que la norma no exige.</t>
        </is>
      </c>
      <c r="G394" s="22" t="inlineStr">
        <is>
          <t>Para sugerir una mejora que la norma no exige, lo correcto es</t>
        </is>
      </c>
      <c r="H394" s="22" t="inlineStr">
        <is>
          <t>Ordenarla como si fuera un requisito</t>
        </is>
      </c>
      <c r="I394" s="22" t="inlineStr">
        <is>
          <t>Recomendarla, dejando claro que no es obligatoria</t>
        </is>
      </c>
      <c r="J394" s="22" t="inlineStr">
        <is>
          <t>Requerirla con plazo perentorio</t>
        </is>
      </c>
      <c r="K394" s="22" t="inlineStr">
        <is>
          <t>B</t>
        </is>
      </c>
      <c r="L394" s="22" t="inlineStr">
        <is>
          <t>La recomendación orienta sin crear obligaciones y evita exigir lo que la norma no manda.</t>
        </is>
      </c>
      <c r="M394" s="22" t="inlineStr">
        <is>
          <t>Ordenar o requerir algo que la norma no exige es extralimitación de funciones y puede anularse.</t>
        </is>
      </c>
      <c r="N394" s="22" t="inlineStr">
        <is>
          <t>Ley 1437 de 2011, art. 51; Ley 9 de 1979, art. 576; Constitución Política, art. 6</t>
        </is>
      </c>
      <c r="O394" s="22" t="inlineStr">
        <is>
          <t>SI</t>
        </is>
      </c>
      <c r="P394" s="16" t="inlineStr">
        <is>
          <t>Alta</t>
        </is>
      </c>
      <c r="Q394" s="16" t="inlineStr">
        <is>
          <t>v2</t>
        </is>
      </c>
      <c r="R394" s="16" t="inlineStr">
        <is>
          <t>Básico</t>
        </is>
      </c>
    </row>
    <row r="395" ht="34.5" customHeight="1" s="12">
      <c r="A395" s="22" t="inlineStr">
        <is>
          <t>F132-1</t>
        </is>
      </c>
      <c r="B395" s="22" t="inlineStr">
        <is>
          <t>comun</t>
        </is>
      </c>
      <c r="C395" s="22" t="inlineStr">
        <is>
          <t>Precisión jurídica del verbo</t>
        </is>
      </c>
      <c r="D395" s="22" t="inlineStr">
        <is>
          <t>C132</t>
        </is>
      </c>
      <c r="E395" s="22" t="inlineStr">
        <is>
          <t>Un comité con tres expedientes viejos</t>
        </is>
      </c>
      <c r="F395" s="22" t="inlineStr">
        <is>
          <t>En un comité se discute un expediente abierto hace cuatro años, una sanción en firme desde 2019 que nunca se cobró y un recurso presentado ayer, fuera del término de diez días.</t>
        </is>
      </c>
      <c r="G395" s="22" t="inlineStr">
        <is>
          <t>Que la autoridad pierda la facultad de sancionar por el paso del tiempo desde el hecho se denomina</t>
        </is>
      </c>
      <c r="H395" s="22" t="inlineStr">
        <is>
          <t>Caducidad de la facultad sancionatoria</t>
        </is>
      </c>
      <c r="I395" s="22" t="inlineStr">
        <is>
          <t>Vencimiento del expediente por inactividad de la administración durante tres años</t>
        </is>
      </c>
      <c r="J395" s="22" t="inlineStr">
        <is>
          <t>Prescripción de la sanción, porque el hecho ocurrió hace más de tres años</t>
        </is>
      </c>
      <c r="K395" s="22" t="inlineStr">
        <is>
          <t>A</t>
        </is>
      </c>
      <c r="L395" s="22" t="inlineStr">
        <is>
          <t>La caducidad extingue la posibilidad de iniciar o decidir la actuación sancionatoria: tres años desde el hecho, salvo norma especial.</t>
        </is>
      </c>
      <c r="M395" s="22" t="inlineStr">
        <is>
          <t>La prescripción opera sobre la sanción ya impuesta; el vencimiento se predica de términos procesales, no del expediente.</t>
        </is>
      </c>
      <c r="N395" s="22" t="inlineStr">
        <is>
          <t>Ley 1437 de 2011, arts. 52 y 87</t>
        </is>
      </c>
      <c r="O395" s="22" t="inlineStr">
        <is>
          <t>SI</t>
        </is>
      </c>
      <c r="P395" s="16" t="inlineStr">
        <is>
          <t>Alta</t>
        </is>
      </c>
      <c r="Q395" s="16" t="inlineStr">
        <is>
          <t>v2</t>
        </is>
      </c>
      <c r="R395" s="16" t="inlineStr">
        <is>
          <t>Básico</t>
        </is>
      </c>
    </row>
    <row r="396" ht="34.5" customHeight="1" s="12">
      <c r="A396" s="22" t="inlineStr">
        <is>
          <t>F132-2</t>
        </is>
      </c>
      <c r="B396" s="22" t="inlineStr">
        <is>
          <t>comun</t>
        </is>
      </c>
      <c r="C396" s="22" t="inlineStr">
        <is>
          <t>Precisión jurídica del verbo</t>
        </is>
      </c>
      <c r="D396" s="22" t="inlineStr">
        <is>
          <t>C132</t>
        </is>
      </c>
      <c r="E396" s="22" t="inlineStr">
        <is>
          <t>Un comité con tres expedientes viejos</t>
        </is>
      </c>
      <c r="F396" s="22" t="inlineStr">
        <is>
          <t>En un comité se discute un expediente abierto hace cuatro años, una sanción en firme desde 2019 que nunca se cobró y un recurso presentado ayer, fuera del término de diez días.</t>
        </is>
      </c>
      <c r="G396" s="22" t="inlineStr">
        <is>
          <t>Que una sanción ya impuesta no pueda hacerse efectiva por el paso del tiempo corresponde a</t>
        </is>
      </c>
      <c r="H396" s="22" t="inlineStr">
        <is>
          <t>La revocatoria</t>
        </is>
      </c>
      <c r="I396" s="22" t="inlineStr">
        <is>
          <t>La prescripción</t>
        </is>
      </c>
      <c r="J396" s="22" t="inlineStr">
        <is>
          <t>La caducidad</t>
        </is>
      </c>
      <c r="K396" s="22" t="inlineStr">
        <is>
          <t>B</t>
        </is>
      </c>
      <c r="L396" s="22" t="inlineStr">
        <is>
          <t>La prescripción impide ejecutar la sanción en firme transcurrido el término legal.</t>
        </is>
      </c>
      <c r="M396" s="22" t="inlineStr">
        <is>
          <t>La caducidad se refiere al momento anterior, cuando aún no hay decisión; la revocatoria es una decisión de la administración, no un efecto del tiempo.</t>
        </is>
      </c>
      <c r="N396" s="22" t="inlineStr">
        <is>
          <t>Ley 1437 de 2011, arts. 52 y 87</t>
        </is>
      </c>
      <c r="O396" s="22" t="inlineStr">
        <is>
          <t>SI</t>
        </is>
      </c>
      <c r="P396" s="16" t="inlineStr">
        <is>
          <t>Alta</t>
        </is>
      </c>
      <c r="Q396" s="16" t="inlineStr">
        <is>
          <t>v2</t>
        </is>
      </c>
      <c r="R396" s="16" t="inlineStr">
        <is>
          <t>Básico</t>
        </is>
      </c>
    </row>
    <row r="397" ht="34.5" customHeight="1" s="12">
      <c r="A397" s="22" t="inlineStr">
        <is>
          <t>F132-3</t>
        </is>
      </c>
      <c r="B397" s="22" t="inlineStr">
        <is>
          <t>comun</t>
        </is>
      </c>
      <c r="C397" s="22" t="inlineStr">
        <is>
          <t>Precisión jurídica del verbo</t>
        </is>
      </c>
      <c r="D397" s="22" t="inlineStr">
        <is>
          <t>C132</t>
        </is>
      </c>
      <c r="E397" s="22" t="inlineStr">
        <is>
          <t>Un comité con tres expedientes viejos</t>
        </is>
      </c>
      <c r="F397" s="22" t="inlineStr">
        <is>
          <t>En un comité se discute un expediente abierto hace cuatro años, una sanción en firme desde 2019 que nunca se cobró y un recurso presentado ayer, fuera del término de diez días.</t>
        </is>
      </c>
      <c r="G397" s="22" t="inlineStr">
        <is>
          <t>Que se agote el plazo para presentar un recurso significa que el término</t>
        </is>
      </c>
      <c r="H397" s="22" t="inlineStr">
        <is>
          <t>Venció, con lo cual el acto queda en firme</t>
        </is>
      </c>
      <c r="I397" s="22" t="inlineStr">
        <is>
          <t>Caducó la sanción, que ya no puede hacerse efectiva por el paso del tiempo</t>
        </is>
      </c>
      <c r="J397" s="22" t="inlineStr">
        <is>
          <t>Prescribió el proceso, que debe archivarse sin decidir el recurso</t>
        </is>
      </c>
      <c r="K397" s="22" t="inlineStr">
        <is>
          <t>A</t>
        </is>
      </c>
      <c r="L397" s="22" t="inlineStr">
        <is>
          <t>El vencimiento de términos procesales produce la firmeza del acto.</t>
        </is>
      </c>
      <c r="M397" s="22" t="inlineStr">
        <is>
          <t>Caducidad y prescripción son figuras sustanciales distintas; no se usan para describir el simple agotamiento de un plazo procesal.</t>
        </is>
      </c>
      <c r="N397" s="22" t="inlineStr">
        <is>
          <t>Ley 1437 de 2011, arts. 52 y 87</t>
        </is>
      </c>
      <c r="O397" s="22" t="inlineStr">
        <is>
          <t>SI</t>
        </is>
      </c>
      <c r="P397" s="16" t="inlineStr">
        <is>
          <t>Alta</t>
        </is>
      </c>
      <c r="Q397" s="16" t="inlineStr">
        <is>
          <t>v2</t>
        </is>
      </c>
      <c r="R397" s="16" t="inlineStr">
        <is>
          <t>Básico</t>
        </is>
      </c>
    </row>
    <row r="398" ht="45.75" customHeight="1" s="12">
      <c r="A398" s="22" t="inlineStr">
        <is>
          <t>F133-1</t>
        </is>
      </c>
      <c r="B398" s="22" t="inlineStr">
        <is>
          <t>comun</t>
        </is>
      </c>
      <c r="C398" s="22" t="inlineStr">
        <is>
          <t>Precisión jurídica del verbo</t>
        </is>
      </c>
      <c r="D398" s="22" t="inlineStr">
        <is>
          <t>C133</t>
        </is>
      </c>
      <c r="E398" s="22" t="inlineStr">
        <is>
          <t>Cómo repartir las funciones</t>
        </is>
      </c>
      <c r="F398" s="22" t="inlineStr">
        <is>
          <t>El director quiere repartir funciones: delegar firmas en un subdirector, asignar de forma permanente competencias a las regionales y saber quién responde si el delegatario se equivoca.</t>
        </is>
      </c>
      <c r="G398" s="22" t="inlineStr">
        <is>
          <t>Que el director transfiera el ejercicio de funciones a un subalterno mediante acto administrativo es</t>
        </is>
      </c>
      <c r="H398" s="22" t="inlineStr">
        <is>
          <t>Descentralización</t>
        </is>
      </c>
      <c r="I398" s="22" t="inlineStr">
        <is>
          <t>Delegación</t>
        </is>
      </c>
      <c r="J398" s="22" t="inlineStr">
        <is>
          <t>Desconcentración</t>
        </is>
      </c>
      <c r="K398" s="22" t="inlineStr">
        <is>
          <t>B</t>
        </is>
      </c>
      <c r="L398" s="22" t="inlineStr">
        <is>
          <t>La delegación transfiere el ejercicio de funciones a un subalterno, por acto del delegante y de forma revocable.</t>
        </is>
      </c>
      <c r="M398" s="22" t="inlineStr">
        <is>
          <t>La desconcentración la establece la ley o el reglamento con carácter permanente; la descentralización supone otra persona jurídica o nivel territorial.</t>
        </is>
      </c>
      <c r="N398" s="22" t="inlineStr">
        <is>
          <t>Ley 489 de 1998, arts. 8, 9 y 12</t>
        </is>
      </c>
      <c r="O398" s="22" t="inlineStr">
        <is>
          <t>SI</t>
        </is>
      </c>
      <c r="P398" s="16" t="inlineStr">
        <is>
          <t>Alta</t>
        </is>
      </c>
      <c r="Q398" s="16" t="inlineStr">
        <is>
          <t>v2</t>
        </is>
      </c>
      <c r="R398" s="16" t="inlineStr">
        <is>
          <t>Básico</t>
        </is>
      </c>
    </row>
    <row r="399" ht="34.5" customHeight="1" s="12">
      <c r="A399" s="22" t="inlineStr">
        <is>
          <t>F133-2</t>
        </is>
      </c>
      <c r="B399" s="22" t="inlineStr">
        <is>
          <t>comun</t>
        </is>
      </c>
      <c r="C399" s="22" t="inlineStr">
        <is>
          <t>Precisión jurídica del verbo</t>
        </is>
      </c>
      <c r="D399" s="22" t="inlineStr">
        <is>
          <t>C133</t>
        </is>
      </c>
      <c r="E399" s="22" t="inlineStr">
        <is>
          <t>Cómo repartir las funciones</t>
        </is>
      </c>
      <c r="F399" s="22" t="inlineStr">
        <is>
          <t>El director quiere repartir funciones: delegar firmas en un subdirector, asignar de forma permanente competencias a las regionales y saber quién responde si el delegatario se equivoca.</t>
        </is>
      </c>
      <c r="G399" s="22" t="inlineStr">
        <is>
          <t>Que la ley radique funciones de manera permanente en dependencias regionales de la misma entidad es</t>
        </is>
      </c>
      <c r="H399" s="22" t="inlineStr">
        <is>
          <t>Desconcentración</t>
        </is>
      </c>
      <c r="I399" s="22" t="inlineStr">
        <is>
          <t>Privatización</t>
        </is>
      </c>
      <c r="J399" s="22" t="inlineStr">
        <is>
          <t>Delegación</t>
        </is>
      </c>
      <c r="K399" s="22" t="inlineStr">
        <is>
          <t>A</t>
        </is>
      </c>
      <c r="L399" s="22" t="inlineStr">
        <is>
          <t>La desconcentración distribuye funciones dentro de la misma entidad, sin crear una persona jurídica nueva.</t>
        </is>
      </c>
      <c r="M399" s="22" t="inlineStr">
        <is>
          <t>La delegación depende de la voluntad del delegante y es revocable; la privatización traslada la actividad a particulares, que es otra cosa.</t>
        </is>
      </c>
      <c r="N399" s="22" t="inlineStr">
        <is>
          <t>Ley 489 de 1998, arts. 8, 9 y 12</t>
        </is>
      </c>
      <c r="O399" s="22" t="inlineStr">
        <is>
          <t>SI</t>
        </is>
      </c>
      <c r="P399" s="16" t="inlineStr">
        <is>
          <t>Alta</t>
        </is>
      </c>
      <c r="Q399" s="16" t="inlineStr">
        <is>
          <t>v2</t>
        </is>
      </c>
      <c r="R399" s="16" t="inlineStr">
        <is>
          <t>Básico</t>
        </is>
      </c>
    </row>
    <row r="400" ht="34.5" customHeight="1" s="12">
      <c r="A400" s="22" t="inlineStr">
        <is>
          <t>F133-3</t>
        </is>
      </c>
      <c r="B400" s="22" t="inlineStr">
        <is>
          <t>comun</t>
        </is>
      </c>
      <c r="C400" s="22" t="inlineStr">
        <is>
          <t>Precisión jurídica del verbo</t>
        </is>
      </c>
      <c r="D400" s="22" t="inlineStr">
        <is>
          <t>C133</t>
        </is>
      </c>
      <c r="E400" s="22" t="inlineStr">
        <is>
          <t>Cómo repartir las funciones</t>
        </is>
      </c>
      <c r="F400" s="22" t="inlineStr">
        <is>
          <t>El director quiere repartir funciones: delegar firmas en un subdirector, asignar de forma permanente competencias a las regionales y saber quién responde si el delegatario se equivoca.</t>
        </is>
      </c>
      <c r="G400" s="22" t="inlineStr">
        <is>
          <t>En la delegación, la responsabilidad</t>
        </is>
      </c>
      <c r="H400" s="22" t="inlineStr">
        <is>
          <t>Permanece íntegramente en cabeza del delegante del acto</t>
        </is>
      </c>
      <c r="I400" s="22" t="inlineStr">
        <is>
          <t>Corresponde al delegatario, con control del delegante</t>
        </is>
      </c>
      <c r="J400" s="22" t="inlineStr">
        <is>
          <t>Desaparece para ambos</t>
        </is>
      </c>
      <c r="K400" s="22" t="inlineStr">
        <is>
          <t>B</t>
        </is>
      </c>
      <c r="L400" s="22" t="inlineStr">
        <is>
          <t>El delegatario responde por sus decisiones y el delegante conserva la dirección y el control.</t>
        </is>
      </c>
      <c r="M400" s="22" t="inlineStr">
        <is>
          <t>Sostener que todo sigue en el delegante vacía la figura; afirmar que nadie responde es contrario al artículo 6 de la Constitución.</t>
        </is>
      </c>
      <c r="N400" s="22" t="inlineStr">
        <is>
          <t>Ley 489 de 1998, arts. 8, 9 y 12</t>
        </is>
      </c>
      <c r="O400" s="22" t="inlineStr">
        <is>
          <t>SI</t>
        </is>
      </c>
      <c r="P400" s="16" t="inlineStr">
        <is>
          <t>Alta</t>
        </is>
      </c>
      <c r="Q400" s="16" t="inlineStr">
        <is>
          <t>v2</t>
        </is>
      </c>
      <c r="R400" s="16" t="inlineStr">
        <is>
          <t>Básico</t>
        </is>
      </c>
    </row>
    <row r="401" ht="45.75" customHeight="1" s="12">
      <c r="A401" s="22" t="inlineStr">
        <is>
          <t>F134-1</t>
        </is>
      </c>
      <c r="B401" s="22" t="inlineStr">
        <is>
          <t>invima</t>
        </is>
      </c>
      <c r="C401" s="22" t="inlineStr">
        <is>
          <t>Precisión jurídica del verbo</t>
        </is>
      </c>
      <c r="D401" s="22" t="inlineStr">
        <is>
          <t>C134</t>
        </is>
      </c>
      <c r="E401" s="22" t="inlineStr">
        <is>
          <t>Congelar, decomisar o clausurar</t>
        </is>
      </c>
      <c r="F401" s="22" t="inlineStr">
        <is>
          <t>En una bodega encuentra tres situaciones: un lote sospechoso que espera resultado de laboratorio, un producto vencido y en descomposición, y un área de proceso con riesgo grave para la salud. La congelación solo puede mantenerse mientras se decide.</t>
        </is>
      </c>
      <c r="G401" s="22" t="inlineStr">
        <is>
          <t>Mientras llegan los resultados del análisis del lote sospechoso, la medida adecuada es</t>
        </is>
      </c>
      <c r="H401" s="22" t="inlineStr">
        <is>
          <t>La congelación, que suspende la venta del producto</t>
        </is>
      </c>
      <c r="I401" s="22" t="inlineStr">
        <is>
          <t>La clausura temporal del establecimiento inspeccionado</t>
        </is>
      </c>
      <c r="J401" s="22" t="inlineStr">
        <is>
          <t>El decomiso del lote que se encuentre en la bodega</t>
        </is>
      </c>
      <c r="K401" s="22" t="inlineStr">
        <is>
          <t>A</t>
        </is>
      </c>
      <c r="L401" s="22" t="inlineStr">
        <is>
          <t>La congelación suspende temporalmente la venta o el empleo mientras se decide, y no puede exceder de sesenta (60) días hábiles. Ley 9 de 1979, artículo 576; Decreto 677 de 1995, artículo 104.</t>
        </is>
      </c>
      <c r="M401" s="22" t="inlineStr">
        <is>
          <t>Decomisar retira definitivamente el producto de su tenedor y aún no hay resultado que lo justifique; clausurar cierra el establecimiento y sería desproporcionado para un solo lote en estudio.</t>
        </is>
      </c>
      <c r="N401" s="22" t="inlineStr">
        <is>
          <t>Ley 9 de 1979, art. 576; Decreto 677 de 1995, art. 104</t>
        </is>
      </c>
      <c r="O401" s="22" t="inlineStr">
        <is>
          <t>SI</t>
        </is>
      </c>
      <c r="P401" s="16" t="inlineStr">
        <is>
          <t>Alta</t>
        </is>
      </c>
      <c r="Q401" s="16" t="inlineStr">
        <is>
          <t>v2</t>
        </is>
      </c>
      <c r="R401" s="16" t="inlineStr">
        <is>
          <t>Específico</t>
        </is>
      </c>
    </row>
    <row r="402" ht="45.75" customHeight="1" s="12">
      <c r="A402" s="22" t="inlineStr">
        <is>
          <t>F134-2</t>
        </is>
      </c>
      <c r="B402" s="22" t="inlineStr">
        <is>
          <t>invima</t>
        </is>
      </c>
      <c r="C402" s="22" t="inlineStr">
        <is>
          <t>Precisión jurídica del verbo</t>
        </is>
      </c>
      <c r="D402" s="22" t="inlineStr">
        <is>
          <t>C134</t>
        </is>
      </c>
      <c r="E402" s="22" t="inlineStr">
        <is>
          <t>Congelar, decomisar o clausurar</t>
        </is>
      </c>
      <c r="F402" s="22" t="inlineStr">
        <is>
          <t>En una bodega encuentra tres situaciones: un lote sospechoso que espera resultado de laboratorio, un producto vencido y en descomposición, y un área de proceso con riesgo grave para la salud. La congelación solo puede mantenerse mientras se decide.</t>
        </is>
      </c>
      <c r="G402" s="22" t="inlineStr">
        <is>
          <t>Para el producto vencido y en descomposición, lo procedente es</t>
        </is>
      </c>
      <c r="H402" s="22" t="inlineStr">
        <is>
          <t>La congelación, sin perjuicio de su reventa</t>
        </is>
      </c>
      <c r="I402" s="22" t="inlineStr">
        <is>
          <t>La recomendación previa de retiro voluntario</t>
        </is>
      </c>
      <c r="J402" s="22" t="inlineStr">
        <is>
          <t>El decomiso, sin perjuicio de su destrucción</t>
        </is>
      </c>
      <c r="K402" s="22" t="inlineStr">
        <is>
          <t>C</t>
        </is>
      </c>
      <c r="L402" s="22" t="inlineStr">
        <is>
          <t>El decomiso, con destrucción o desnaturalización, evita que un producto inservible vuelva al mercado.</t>
        </is>
      </c>
      <c r="M402" s="22" t="inlineStr">
        <is>
          <t>Congelar solo aplaza la decisión sobre algo que ya es inservible; una recomendación deja el producto en manos del vigilado.</t>
        </is>
      </c>
      <c r="N402" s="22" t="inlineStr">
        <is>
          <t>Ley 9 de 1979, art. 576; Decreto 677 de 1995, art. 104</t>
        </is>
      </c>
      <c r="O402" s="22" t="inlineStr">
        <is>
          <t>SI</t>
        </is>
      </c>
      <c r="P402" s="16" t="inlineStr">
        <is>
          <t>Alta</t>
        </is>
      </c>
      <c r="Q402" s="16" t="inlineStr">
        <is>
          <t>v2</t>
        </is>
      </c>
      <c r="R402" s="16" t="inlineStr">
        <is>
          <t>Específico</t>
        </is>
      </c>
    </row>
    <row r="403" ht="45.75" customHeight="1" s="12">
      <c r="A403" s="22" t="inlineStr">
        <is>
          <t>F134-3</t>
        </is>
      </c>
      <c r="B403" s="22" t="inlineStr">
        <is>
          <t>invima</t>
        </is>
      </c>
      <c r="C403" s="22" t="inlineStr">
        <is>
          <t>Precisión jurídica del verbo</t>
        </is>
      </c>
      <c r="D403" s="22" t="inlineStr">
        <is>
          <t>C134</t>
        </is>
      </c>
      <c r="E403" s="22" t="inlineStr">
        <is>
          <t>Congelar, decomisar o clausurar</t>
        </is>
      </c>
      <c r="F403" s="22" t="inlineStr">
        <is>
          <t>En una bodega encuentra tres situaciones: un lote sospechoso que espera resultado de laboratorio, un producto vencido y en descomposición, y un área de proceso con riesgo grave para la salud. La congelación solo puede mantenerse mientras se decide.</t>
        </is>
      </c>
      <c r="G403" s="22" t="inlineStr">
        <is>
          <t>Frente al área de proceso con riesgo grave para la salud, la medida proporcional es</t>
        </is>
      </c>
      <c r="H403" s="22" t="inlineStr">
        <is>
          <t>El decomiso de toda la planta</t>
        </is>
      </c>
      <c r="I403" s="22" t="inlineStr">
        <is>
          <t>La clausura temporal parcial del establecimiento</t>
        </is>
      </c>
      <c r="J403" s="22" t="inlineStr">
        <is>
          <t>La suspensión del registro sanitario como medida de seguridad</t>
        </is>
      </c>
      <c r="K403" s="22" t="inlineStr">
        <is>
          <t>B</t>
        </is>
      </c>
      <c r="L403" s="22" t="inlineStr">
        <is>
          <t>La clausura temporal puede ser total o parcial, y permite cerrar solo el área que genera el riesgo.</t>
        </is>
      </c>
      <c r="M403" s="22" t="inlineStr">
        <is>
          <t>El decomiso recae sobre productos, no sobre inmuebles; la suspensión del registro es una sanción del artículo 577, no una medida de seguridad.</t>
        </is>
      </c>
      <c r="N403" s="22" t="inlineStr">
        <is>
          <t>Ley 9 de 1979, art. 576; Decreto 677 de 1995, art. 104</t>
        </is>
      </c>
      <c r="O403" s="22" t="inlineStr">
        <is>
          <t>SI</t>
        </is>
      </c>
      <c r="P403" s="16" t="inlineStr">
        <is>
          <t>Alta</t>
        </is>
      </c>
      <c r="Q403" s="16" t="inlineStr">
        <is>
          <t>v2</t>
        </is>
      </c>
      <c r="R403" s="16" t="inlineStr">
        <is>
          <t>Específico</t>
        </is>
      </c>
    </row>
    <row r="404" ht="45.75" customHeight="1" s="12">
      <c r="A404" s="22" t="inlineStr">
        <is>
          <t>F135-1</t>
        </is>
      </c>
      <c r="B404" s="22" t="inlineStr">
        <is>
          <t>invima</t>
        </is>
      </c>
      <c r="C404" s="22" t="inlineStr">
        <is>
          <t>Precisión jurídica del verbo</t>
        </is>
      </c>
      <c r="D404" s="22" t="inlineStr">
        <is>
          <t>C135</t>
        </is>
      </c>
      <c r="E404" s="22" t="inlineStr">
        <is>
          <t>Lote contaminado y proceso fallido</t>
        </is>
      </c>
      <c r="F404" s="22" t="inlineStr">
        <is>
          <t>Se confirma que un lote de jarabe está contaminado, que ya se distribuyeron 12.000 unidades y que la falla viene del proceso de fabricación, no del lote. La prensa pregunta hoy qué hará la entidad.</t>
        </is>
      </c>
      <c r="G404" s="22" t="inlineStr">
        <is>
          <t>Para que la población y los profesionales conozcan el riesgo, la entidad debe</t>
        </is>
      </c>
      <c r="H404" s="22" t="inlineStr">
        <is>
          <t>Guardar reserva hasta la decisión final</t>
        </is>
      </c>
      <c r="I404" s="22" t="inlineStr">
        <is>
          <t>Prohibir la actividad de la empresa y ordenar su cierre mientras se investiga</t>
        </is>
      </c>
      <c r="J404" s="22" t="inlineStr">
        <is>
          <t>Emitir una alerta con el producto, el lote y las recomendaciones</t>
        </is>
      </c>
      <c r="K404" s="22" t="inlineStr">
        <is>
          <t>C</t>
        </is>
      </c>
      <c r="L404" s="22" t="inlineStr">
        <is>
          <t>La alerta es la herramienta de comunicación del riesgo y permite que la gente actúe a tiempo.</t>
        </is>
      </c>
      <c r="M404" s="22" t="inlineStr">
        <is>
          <t>Prohibir es una medida sobre la actividad, que exige su propio fundamento; guardar reserva contradice el deber de dar publicidad cuando hay riesgo para la salud.</t>
        </is>
      </c>
      <c r="N404" s="22" t="inlineStr">
        <is>
          <t>Ley 9 de 1979, arts. 576 y 578; vigilancia poscomercialización</t>
        </is>
      </c>
      <c r="O404" s="22" t="inlineStr">
        <is>
          <t>SI</t>
        </is>
      </c>
      <c r="P404" s="16" t="inlineStr">
        <is>
          <t>Alta</t>
        </is>
      </c>
      <c r="Q404" s="16" t="inlineStr">
        <is>
          <t>v2</t>
        </is>
      </c>
      <c r="R404" s="16" t="inlineStr">
        <is>
          <t>Específico</t>
        </is>
      </c>
    </row>
    <row r="405" ht="34.5" customHeight="1" s="12">
      <c r="A405" s="22" t="inlineStr">
        <is>
          <t>F135-2</t>
        </is>
      </c>
      <c r="B405" s="22" t="inlineStr">
        <is>
          <t>invima</t>
        </is>
      </c>
      <c r="C405" s="22" t="inlineStr">
        <is>
          <t>Precisión jurídica del verbo</t>
        </is>
      </c>
      <c r="D405" s="22" t="inlineStr">
        <is>
          <t>C135</t>
        </is>
      </c>
      <c r="E405" s="22" t="inlineStr">
        <is>
          <t>Lote contaminado y proceso fallido</t>
        </is>
      </c>
      <c r="F405" s="22" t="inlineStr">
        <is>
          <t>Se confirma que un lote de jarabe está contaminado, que ya se distribuyeron 12.000 unidades y que la falla viene del proceso de fabricación, no del lote. La prensa pregunta hoy qué hará la entidad.</t>
        </is>
      </c>
      <c r="G405" s="22" t="inlineStr">
        <is>
          <t>Para recuperar las unidades que ya salieron al mercado, corresponde</t>
        </is>
      </c>
      <c r="H405" s="22" t="inlineStr">
        <is>
          <t>Esperar que los consumidores lo devuelvan por iniciativa propia</t>
        </is>
      </c>
      <c r="I405" s="22" t="inlineStr">
        <is>
          <t>Ordenar el retiro del producto del mercado</t>
        </is>
      </c>
      <c r="J405" s="22" t="inlineStr">
        <is>
          <t>Cambiar el rótulo del lote</t>
        </is>
      </c>
      <c r="K405" s="22" t="inlineStr">
        <is>
          <t>B</t>
        </is>
      </c>
      <c r="L405" s="22" t="inlineStr">
        <is>
          <t>El retiro busca recuperar las unidades distribuidas y se verifica comparando lo recogido con lo despachado.</t>
        </is>
      </c>
      <c r="M405" s="22" t="inlineStr">
        <is>
          <t>Confiar en la devolución espontánea deja producto riesgoso circulando; cambiar el rótulo no elimina el riesgo y puede constituir adulteración.</t>
        </is>
      </c>
      <c r="N405" s="22" t="inlineStr">
        <is>
          <t>Ley 9 de 1979, arts. 576 y 578; vigilancia poscomercialización</t>
        </is>
      </c>
      <c r="O405" s="22" t="inlineStr">
        <is>
          <t>SI</t>
        </is>
      </c>
      <c r="P405" s="16" t="inlineStr">
        <is>
          <t>Alta</t>
        </is>
      </c>
      <c r="Q405" s="16" t="inlineStr">
        <is>
          <t>v2</t>
        </is>
      </c>
      <c r="R405" s="16" t="inlineStr">
        <is>
          <t>Específico</t>
        </is>
      </c>
    </row>
    <row r="406" ht="34.5" customHeight="1" s="12">
      <c r="A406" s="22" t="inlineStr">
        <is>
          <t>F135-3</t>
        </is>
      </c>
      <c r="B406" s="22" t="inlineStr">
        <is>
          <t>invima</t>
        </is>
      </c>
      <c r="C406" s="22" t="inlineStr">
        <is>
          <t>Precisión jurídica del verbo</t>
        </is>
      </c>
      <c r="D406" s="22" t="inlineStr">
        <is>
          <t>C135</t>
        </is>
      </c>
      <c r="E406" s="22" t="inlineStr">
        <is>
          <t>Lote contaminado y proceso fallido</t>
        </is>
      </c>
      <c r="F406" s="22" t="inlineStr">
        <is>
          <t>Se confirma que un lote de jarabe está contaminado, que ya se distribuyeron 12.000 unidades y que la falla viene del proceso de fabricación, no del lote. La prensa pregunta hoy qué hará la entidad.</t>
        </is>
      </c>
      <c r="G406" s="22" t="inlineStr">
        <is>
          <t>Si el riesgo proviene del proceso de fabricación y no de un lote puntual, procede además</t>
        </is>
      </c>
      <c r="H406" s="22" t="inlineStr">
        <is>
          <t>Suspender la actividad o el registro, según la gravedad</t>
        </is>
      </c>
      <c r="I406" s="22" t="inlineStr">
        <is>
          <t>Retirar el lote analizado</t>
        </is>
      </c>
      <c r="J406" s="22" t="inlineStr">
        <is>
          <t>Recomendar una mejora del proceso en el plazo que se acuerde</t>
        </is>
      </c>
      <c r="K406" s="22" t="inlineStr">
        <is>
          <t>A</t>
        </is>
      </c>
      <c r="L406" s="22" t="inlineStr">
        <is>
          <t>Cuando la causa es el proceso, la medida debe alcanzar la actividad o el registro, de forma proporcional.</t>
        </is>
      </c>
      <c r="M406" s="22" t="inlineStr">
        <is>
          <t>Retirar un lote no corrige la causa; una recomendación no protege a la población frente a un riesgo confirmado.</t>
        </is>
      </c>
      <c r="N406" s="22" t="inlineStr">
        <is>
          <t>Ley 9 de 1979, arts. 576 y 578; vigilancia poscomercialización</t>
        </is>
      </c>
      <c r="O406" s="22" t="inlineStr">
        <is>
          <t>SI</t>
        </is>
      </c>
      <c r="P406" s="16" t="inlineStr">
        <is>
          <t>Alta</t>
        </is>
      </c>
      <c r="Q406" s="16" t="inlineStr">
        <is>
          <t>v2</t>
        </is>
      </c>
      <c r="R406" s="16" t="inlineStr">
        <is>
          <t>Específico</t>
        </is>
      </c>
    </row>
    <row r="407" ht="34.5" customHeight="1" s="12">
      <c r="A407" s="22" t="inlineStr">
        <is>
          <t>F136-1</t>
        </is>
      </c>
      <c r="B407" s="22" t="inlineStr">
        <is>
          <t>invima</t>
        </is>
      </c>
      <c r="C407" s="22" t="inlineStr">
        <is>
          <t>Precisión jurídica del verbo</t>
        </is>
      </c>
      <c r="D407" s="22" t="inlineStr">
        <is>
          <t>C136</t>
        </is>
      </c>
      <c r="E407" s="22" t="inlineStr">
        <is>
          <t>Quién prescribe, dispensa y administra</t>
        </is>
      </c>
      <c r="F407" s="22" t="inlineStr">
        <is>
          <t>En una IPS discuten quién hace qué con un opioide: el médico escribe la fórmula, el regente entrega el medicamento y la enfermera lo aplica al paciente. Cada uno usa el verbo del otro en el registro.</t>
        </is>
      </c>
      <c r="G407" s="22" t="inlineStr">
        <is>
          <t>Escribir la fórmula del medicamento corresponde a</t>
        </is>
      </c>
      <c r="H407" s="22" t="inlineStr">
        <is>
          <t>Prescribir</t>
        </is>
      </c>
      <c r="I407" s="22" t="inlineStr">
        <is>
          <t>Dispensar, porque la fórmula la elabora el servicio farmacéutico</t>
        </is>
      </c>
      <c r="J407" s="22" t="inlineStr">
        <is>
          <t>Administrar, porque la enfermera registra la dosis en la historia</t>
        </is>
      </c>
      <c r="K407" s="22" t="inlineStr">
        <is>
          <t>A</t>
        </is>
      </c>
      <c r="L407" s="22" t="inlineStr">
        <is>
          <t>La prescripción es el acto del profesional facultado que indica el medicamento, la dosis y la duración.</t>
        </is>
      </c>
      <c r="M407" s="22" t="inlineStr">
        <is>
          <t>Dispensar es entregar el medicamento con la orientación del caso; administrar es aplicarlo al paciente: ninguno define el tratamiento.</t>
        </is>
      </c>
      <c r="N407" s="22" t="inlineStr">
        <is>
          <t>Decreto 780 de 2016; Resolución 1478 de 2006</t>
        </is>
      </c>
      <c r="O407" s="22" t="inlineStr">
        <is>
          <t>SI</t>
        </is>
      </c>
      <c r="P407" s="16" t="inlineStr">
        <is>
          <t>Alta</t>
        </is>
      </c>
      <c r="Q407" s="16" t="inlineStr">
        <is>
          <t>v2</t>
        </is>
      </c>
      <c r="R407" s="16" t="inlineStr">
        <is>
          <t>Específico</t>
        </is>
      </c>
    </row>
    <row r="408" ht="34.5" customHeight="1" s="12">
      <c r="A408" s="22" t="inlineStr">
        <is>
          <t>F136-2</t>
        </is>
      </c>
      <c r="B408" s="22" t="inlineStr">
        <is>
          <t>invima</t>
        </is>
      </c>
      <c r="C408" s="22" t="inlineStr">
        <is>
          <t>Precisión jurídica del verbo</t>
        </is>
      </c>
      <c r="D408" s="22" t="inlineStr">
        <is>
          <t>C136</t>
        </is>
      </c>
      <c r="E408" s="22" t="inlineStr">
        <is>
          <t>Quién prescribe, dispensa y administra</t>
        </is>
      </c>
      <c r="F408" s="22" t="inlineStr">
        <is>
          <t>En una IPS discuten quién hace qué con un opioide: el médico escribe la fórmula, el regente entrega el medicamento y la enfermera lo aplica al paciente. Cada uno usa el verbo del otro en el registro.</t>
        </is>
      </c>
      <c r="G408" s="22" t="inlineStr">
        <is>
          <t>Entregar el medicamento al paciente con la información para su uso es</t>
        </is>
      </c>
      <c r="H408" s="22" t="inlineStr">
        <is>
          <t>Prescribir, porque entrega el medicamento con la indicación de uso</t>
        </is>
      </c>
      <c r="I408" s="22" t="inlineStr">
        <is>
          <t>Dispensar</t>
        </is>
      </c>
      <c r="J408" s="22" t="inlineStr">
        <is>
          <t>Administrar, porque es quien pone el medicamento en manos del paciente</t>
        </is>
      </c>
      <c r="K408" s="22" t="inlineStr">
        <is>
          <t>B</t>
        </is>
      </c>
      <c r="L408" s="22" t="inlineStr">
        <is>
          <t>La dispensación es la entrega con información, a cargo del personal autorizado del servicio farmacéutico.</t>
        </is>
      </c>
      <c r="M408" s="22" t="inlineStr">
        <is>
          <t>Prescribir define el tratamiento y administrar lo aplica: confundirlos habilita entregas sin control o personal sin competencia.</t>
        </is>
      </c>
      <c r="N408" s="22" t="inlineStr">
        <is>
          <t>Decreto 780 de 2016; Resolución 1478 de 2006</t>
        </is>
      </c>
      <c r="O408" s="22" t="inlineStr">
        <is>
          <t>SI</t>
        </is>
      </c>
      <c r="P408" s="16" t="inlineStr">
        <is>
          <t>Alta</t>
        </is>
      </c>
      <c r="Q408" s="16" t="inlineStr">
        <is>
          <t>v2</t>
        </is>
      </c>
      <c r="R408" s="16" t="inlineStr">
        <is>
          <t>Específico</t>
        </is>
      </c>
    </row>
    <row r="409" ht="34.5" customHeight="1" s="12">
      <c r="A409" s="22" t="inlineStr">
        <is>
          <t>F136-3</t>
        </is>
      </c>
      <c r="B409" s="22" t="inlineStr">
        <is>
          <t>invima</t>
        </is>
      </c>
      <c r="C409" s="22" t="inlineStr">
        <is>
          <t>Precisión jurídica del verbo</t>
        </is>
      </c>
      <c r="D409" s="22" t="inlineStr">
        <is>
          <t>C136</t>
        </is>
      </c>
      <c r="E409" s="22" t="inlineStr">
        <is>
          <t>Quién prescribe, dispensa y administra</t>
        </is>
      </c>
      <c r="F409" s="22" t="inlineStr">
        <is>
          <t>En una IPS discuten quién hace qué con un opioide: el médico escribe la fórmula, el regente entrega el medicamento y la enfermera lo aplica al paciente. Cada uno usa el verbo del otro en el registro.</t>
        </is>
      </c>
      <c r="G409" s="22" t="inlineStr">
        <is>
          <t>Aplicar el medicamento al paciente es</t>
        </is>
      </c>
      <c r="H409" s="22" t="inlineStr">
        <is>
          <t>Prescribir</t>
        </is>
      </c>
      <c r="I409" s="22" t="inlineStr">
        <is>
          <t>Dispensar</t>
        </is>
      </c>
      <c r="J409" s="22" t="inlineStr">
        <is>
          <t>Administrar</t>
        </is>
      </c>
      <c r="K409" s="22" t="inlineStr">
        <is>
          <t>C</t>
        </is>
      </c>
      <c r="L409" s="22" t="inlineStr">
        <is>
          <t>La administración es el acto de aplicar el medicamento al paciente, por el personal de salud competente.</t>
        </is>
      </c>
      <c r="M409" s="22" t="inlineStr">
        <is>
          <t>La dispensación termina con la entrega y la prescripción con la orden escrita: ninguna incluye aplicar el medicamento.</t>
        </is>
      </c>
      <c r="N409" s="22" t="inlineStr">
        <is>
          <t>Decreto 780 de 2016; Resolución 1478 de 2006</t>
        </is>
      </c>
      <c r="O409" s="22" t="inlineStr">
        <is>
          <t>SI</t>
        </is>
      </c>
      <c r="P409" s="16" t="inlineStr">
        <is>
          <t>Alta</t>
        </is>
      </c>
      <c r="Q409" s="16" t="inlineStr">
        <is>
          <t>v2</t>
        </is>
      </c>
      <c r="R409" s="16" t="inlineStr">
        <is>
          <t>Específico</t>
        </is>
      </c>
    </row>
    <row r="410" ht="34.5" customHeight="1" s="12">
      <c r="A410" s="22" t="inlineStr">
        <is>
          <t>F137-1</t>
        </is>
      </c>
      <c r="B410" s="22" t="inlineStr">
        <is>
          <t>invima</t>
        </is>
      </c>
      <c r="C410" s="22" t="inlineStr">
        <is>
          <t>Precisión jurídica del verbo</t>
        </is>
      </c>
      <c r="D410" s="22" t="inlineStr">
        <is>
          <t>C137</t>
        </is>
      </c>
      <c r="E410" s="22" t="inlineStr">
        <is>
          <t>Tres alimentos, tres trámites</t>
        </is>
      </c>
      <c r="F410" s="22" t="inlineStr">
        <is>
          <t>Tres empresas de alimentos consultan el mismo día: una fabrica carne molida, otra galletas empacadas y la tercera vende frutas enteras sin procesar. Todas quieren vender en supermercados de cadena.</t>
        </is>
      </c>
      <c r="G410" s="22" t="inlineStr">
        <is>
          <t>Un alimento de mayor riesgo en salud pública requiere</t>
        </is>
      </c>
      <c r="H410" s="22" t="inlineStr">
        <is>
          <t>Notificación sanitaria</t>
        </is>
      </c>
      <c r="I410" s="22" t="inlineStr">
        <is>
          <t>Permiso sanitario</t>
        </is>
      </c>
      <c r="J410" s="22" t="inlineStr">
        <is>
          <t>Registro sanitario</t>
        </is>
      </c>
      <c r="K410" s="22" t="inlineStr">
        <is>
          <t>C</t>
        </is>
      </c>
      <c r="L410" s="22" t="inlineStr">
        <is>
          <t>La Resolución 2674 de 2013 asigna el registro sanitario a los alimentos de mayor riesgo.</t>
        </is>
      </c>
      <c r="M410" s="22" t="inlineStr">
        <is>
          <t>La notificación corresponde al riesgo bajo y el permiso al riesgo medio: usarlos en alto riesgo deja el producto sin la evaluación que exige la norma.</t>
        </is>
      </c>
      <c r="N410" s="22" t="inlineStr">
        <is>
          <t>Resolución 2674 de 2013, art. 37</t>
        </is>
      </c>
      <c r="O410" s="22" t="inlineStr">
        <is>
          <t>SI</t>
        </is>
      </c>
      <c r="P410" s="16" t="inlineStr">
        <is>
          <t>Alta</t>
        </is>
      </c>
      <c r="Q410" s="16" t="inlineStr">
        <is>
          <t>v2</t>
        </is>
      </c>
      <c r="R410" s="16" t="inlineStr">
        <is>
          <t>Específico</t>
        </is>
      </c>
    </row>
    <row r="411" ht="34.5" customHeight="1" s="12">
      <c r="A411" s="22" t="inlineStr">
        <is>
          <t>F137-2</t>
        </is>
      </c>
      <c r="B411" s="22" t="inlineStr">
        <is>
          <t>invima</t>
        </is>
      </c>
      <c r="C411" s="22" t="inlineStr">
        <is>
          <t>Precisión jurídica del verbo</t>
        </is>
      </c>
      <c r="D411" s="22" t="inlineStr">
        <is>
          <t>C137</t>
        </is>
      </c>
      <c r="E411" s="22" t="inlineStr">
        <is>
          <t>Tres alimentos, tres trámites</t>
        </is>
      </c>
      <c r="F411" s="22" t="inlineStr">
        <is>
          <t>Tres empresas de alimentos consultan el mismo día: una fabrica carne molida, otra galletas empacadas y la tercera vende frutas enteras sin procesar. Todas quieren vender en supermercados de cadena.</t>
        </is>
      </c>
      <c r="G411" s="22" t="inlineStr">
        <is>
          <t>Un alimento de riesgo medio requiere</t>
        </is>
      </c>
      <c r="H411" s="22" t="inlineStr">
        <is>
          <t>Notificación sanitaria</t>
        </is>
      </c>
      <c r="I411" s="22" t="inlineStr">
        <is>
          <t>Registro sanitario</t>
        </is>
      </c>
      <c r="J411" s="22" t="inlineStr">
        <is>
          <t>Permiso sanitario</t>
        </is>
      </c>
      <c r="K411" s="22" t="inlineStr">
        <is>
          <t>C</t>
        </is>
      </c>
      <c r="L411" s="22" t="inlineStr">
        <is>
          <t>El permiso sanitario es la autorización prevista para el riesgo medio.</t>
        </is>
      </c>
      <c r="M411" s="22" t="inlineStr">
        <is>
          <t>Exigir registro sería imponer un trámite más gravoso que el legal; aceptar notificación dejaría sin control un riesgo intermedio.</t>
        </is>
      </c>
      <c r="N411" s="22" t="inlineStr">
        <is>
          <t>Resolución 2674 de 2013, art. 37</t>
        </is>
      </c>
      <c r="O411" s="22" t="inlineStr">
        <is>
          <t>SI</t>
        </is>
      </c>
      <c r="P411" s="16" t="inlineStr">
        <is>
          <t>Alta</t>
        </is>
      </c>
      <c r="Q411" s="16" t="inlineStr">
        <is>
          <t>v2</t>
        </is>
      </c>
      <c r="R411" s="16" t="inlineStr">
        <is>
          <t>Específico</t>
        </is>
      </c>
    </row>
    <row r="412" ht="34.5" customHeight="1" s="12">
      <c r="A412" s="22" t="inlineStr">
        <is>
          <t>F137-3</t>
        </is>
      </c>
      <c r="B412" s="22" t="inlineStr">
        <is>
          <t>invima</t>
        </is>
      </c>
      <c r="C412" s="22" t="inlineStr">
        <is>
          <t>Precisión jurídica del verbo</t>
        </is>
      </c>
      <c r="D412" s="22" t="inlineStr">
        <is>
          <t>C137</t>
        </is>
      </c>
      <c r="E412" s="22" t="inlineStr">
        <is>
          <t>Tres alimentos, tres trámites</t>
        </is>
      </c>
      <c r="F412" s="22" t="inlineStr">
        <is>
          <t>Tres empresas de alimentos consultan el mismo día: una fabrica carne molida, otra galletas empacadas y la tercera vende frutas enteras sin procesar. Todas quieren vender en supermercados de cadena.</t>
        </is>
      </c>
      <c r="G412" s="22" t="inlineStr">
        <is>
          <t>Un alimento de riesgo bajo requiere</t>
        </is>
      </c>
      <c r="H412" s="22" t="inlineStr">
        <is>
          <t>Permiso sanitario</t>
        </is>
      </c>
      <c r="I412" s="22" t="inlineStr">
        <is>
          <t>Registro sanitario</t>
        </is>
      </c>
      <c r="J412" s="22" t="inlineStr">
        <is>
          <t>Notificación sanitaria</t>
        </is>
      </c>
      <c r="K412" s="22" t="inlineStr">
        <is>
          <t>C</t>
        </is>
      </c>
      <c r="L412" s="22" t="inlineStr">
        <is>
          <t>La notificación sanitaria es el trámite previsto para el riesgo bajo.</t>
        </is>
      </c>
      <c r="M412" s="22" t="inlineStr">
        <is>
          <t>El permiso corresponde al riesgo medio; y solo algunos alimentos, como los naturales sin transformación, quedan exceptuados.</t>
        </is>
      </c>
      <c r="N412" s="22" t="inlineStr">
        <is>
          <t>Resolución 2674 de 2013, art. 37</t>
        </is>
      </c>
      <c r="O412" s="22" t="inlineStr">
        <is>
          <t>SI</t>
        </is>
      </c>
      <c r="P412" s="16" t="inlineStr">
        <is>
          <t>Alta</t>
        </is>
      </c>
      <c r="Q412" s="16" t="inlineStr">
        <is>
          <t>v2</t>
        </is>
      </c>
      <c r="R412" s="16" t="inlineStr">
        <is>
          <t>Específico</t>
        </is>
      </c>
    </row>
    <row r="413" ht="34.5" customHeight="1" s="12">
      <c r="A413" s="22" t="inlineStr">
        <is>
          <t>F138-1</t>
        </is>
      </c>
      <c r="B413" s="22" t="inlineStr">
        <is>
          <t>invima</t>
        </is>
      </c>
      <c r="C413" s="22" t="inlineStr">
        <is>
          <t>Precisión jurídica del verbo</t>
        </is>
      </c>
      <c r="D413" s="22" t="inlineStr">
        <is>
          <t>C138</t>
        </is>
      </c>
      <c r="E413" s="22" t="inlineStr">
        <is>
          <t>Queja anónima y verificación en campo</t>
        </is>
      </c>
      <c r="F413" s="22" t="inlineStr">
        <is>
          <t>Llega una queja anónima sobre un establecimiento. Su coordinador pide actuar con cuidado: primero establecer si hay mérito, luego comprobar las condiciones en campo y solo después decidir si hay infracción.</t>
        </is>
      </c>
      <c r="G413" s="22" t="inlineStr">
        <is>
          <t>Antes de abrir el procedimiento sancionatorio, para establecer si hay mérito, lo que procede es</t>
        </is>
      </c>
      <c r="H413" s="22" t="inlineStr">
        <is>
          <t>Adelantar una averiguación preliminar</t>
        </is>
      </c>
      <c r="I413" s="22" t="inlineStr">
        <is>
          <t>Formular cargos de una vez</t>
        </is>
      </c>
      <c r="J413" s="22" t="inlineStr">
        <is>
          <t>Imponer una sanción provisional</t>
        </is>
      </c>
      <c r="K413" s="22" t="inlineStr">
        <is>
          <t>A</t>
        </is>
      </c>
      <c r="L413" s="22" t="inlineStr">
        <is>
          <t>La averiguación preliminar sirve para determinar si existe mérito para formular cargos.</t>
        </is>
      </c>
      <c r="M413" s="22" t="inlineStr">
        <is>
          <t>Formular cargos sin elementos vulnera el debido proceso; las sanciones provisionales no existen: lo provisional son las medidas de seguridad.</t>
        </is>
      </c>
      <c r="N413" s="22" t="inlineStr">
        <is>
          <t>Ley 1437 de 2011, arts. 47 y 48</t>
        </is>
      </c>
      <c r="O413" s="22" t="inlineStr">
        <is>
          <t>SI</t>
        </is>
      </c>
      <c r="P413" s="16" t="inlineStr">
        <is>
          <t>Alta</t>
        </is>
      </c>
      <c r="Q413" s="16" t="inlineStr">
        <is>
          <t>v2</t>
        </is>
      </c>
      <c r="R413" s="16" t="inlineStr">
        <is>
          <t>Específico</t>
        </is>
      </c>
    </row>
    <row r="414" ht="34.5" customHeight="1" s="12">
      <c r="A414" s="22" t="inlineStr">
        <is>
          <t>F138-2</t>
        </is>
      </c>
      <c r="B414" s="22" t="inlineStr">
        <is>
          <t>invima</t>
        </is>
      </c>
      <c r="C414" s="22" t="inlineStr">
        <is>
          <t>Precisión jurídica del verbo</t>
        </is>
      </c>
      <c r="D414" s="22" t="inlineStr">
        <is>
          <t>C138</t>
        </is>
      </c>
      <c r="E414" s="22" t="inlineStr">
        <is>
          <t>Queja anónima y verificación en campo</t>
        </is>
      </c>
      <c r="F414" s="22" t="inlineStr">
        <is>
          <t>Llega una queja anónima sobre un establecimiento. Su coordinador pide actuar con cuidado: primero establecer si hay mérito, luego comprobar las condiciones en campo y solo después decidir si hay infracción.</t>
        </is>
      </c>
      <c r="G414" s="22" t="inlineStr">
        <is>
          <t>Comprobar en campo que unas condiciones se cumplen es</t>
        </is>
      </c>
      <c r="H414" s="22" t="inlineStr">
        <is>
          <t>Auditar el sistema de gestión de la entidad</t>
        </is>
      </c>
      <c r="I414" s="22" t="inlineStr">
        <is>
          <t>Investigar disciplinariamente</t>
        </is>
      </c>
      <c r="J414" s="22" t="inlineStr">
        <is>
          <t>Verificar</t>
        </is>
      </c>
      <c r="K414" s="22" t="inlineStr">
        <is>
          <t>C</t>
        </is>
      </c>
      <c r="L414" s="22" t="inlineStr">
        <is>
          <t>La verificación constata hechos concretos frente a un requisito.</t>
        </is>
      </c>
      <c r="M414" s="22" t="inlineStr">
        <is>
          <t>La auditoría evalúa un sistema de gestión y la investigación disciplinaria recae sobre servidores públicos, no sobre el vigilado.</t>
        </is>
      </c>
      <c r="N414" s="22" t="inlineStr">
        <is>
          <t>Ley 1437 de 2011, arts. 47 y 48</t>
        </is>
      </c>
      <c r="O414" s="22" t="inlineStr">
        <is>
          <t>SI</t>
        </is>
      </c>
      <c r="P414" s="16" t="inlineStr">
        <is>
          <t>Alta</t>
        </is>
      </c>
      <c r="Q414" s="16" t="inlineStr">
        <is>
          <t>v2</t>
        </is>
      </c>
      <c r="R414" s="16" t="inlineStr">
        <is>
          <t>Específico</t>
        </is>
      </c>
    </row>
    <row r="415" ht="45.75" customHeight="1" s="12">
      <c r="A415" s="22" t="inlineStr">
        <is>
          <t>F138-3</t>
        </is>
      </c>
      <c r="B415" s="22" t="inlineStr">
        <is>
          <t>invima</t>
        </is>
      </c>
      <c r="C415" s="22" t="inlineStr">
        <is>
          <t>Precisión jurídica del verbo</t>
        </is>
      </c>
      <c r="D415" s="22" t="inlineStr">
        <is>
          <t>C138</t>
        </is>
      </c>
      <c r="E415" s="22" t="inlineStr">
        <is>
          <t>Queja anónima y verificación en campo</t>
        </is>
      </c>
      <c r="F415" s="22" t="inlineStr">
        <is>
          <t>Llega una queja anónima sobre un establecimiento. Su coordinador pide actuar con cuidado: primero establecer si hay mérito, luego comprobar las condiciones en campo y solo después decidir si hay infracción.</t>
        </is>
      </c>
      <c r="G415" s="22" t="inlineStr">
        <is>
          <t>Si en la verificación aparecen indicios de una infracción, lo que sigue es</t>
        </is>
      </c>
      <c r="H415" s="22" t="inlineStr">
        <is>
          <t>Repetir la visita hasta reunir más pruebas, sin abrir todavía la actuación formal</t>
        </is>
      </c>
      <c r="I415" s="22" t="inlineStr">
        <is>
          <t>Iniciar la actuación con la formulación de cargos</t>
        </is>
      </c>
      <c r="J415" s="22" t="inlineStr">
        <is>
          <t>Remitir el caso a la Contraloría, porque puede haber afectación del patrimonio público</t>
        </is>
      </c>
      <c r="K415" s="22" t="inlineStr">
        <is>
          <t>B</t>
        </is>
      </c>
      <c r="L415" s="22" t="inlineStr">
        <is>
          <t>Con mérito suficiente se formulan cargos y se garantiza la defensa del investigado.</t>
        </is>
      </c>
      <c r="M415" s="22" t="inlineStr">
        <is>
          <t>Repetir visitas indefinidamente puede llevar a la caducidad; la Contraloría conoce del daño al patrimonio público, no de infracciones sanitarias de particulares.</t>
        </is>
      </c>
      <c r="N415" s="22" t="inlineStr">
        <is>
          <t>Ley 1437 de 2011, arts. 47 y 48</t>
        </is>
      </c>
      <c r="O415" s="22" t="inlineStr">
        <is>
          <t>SI</t>
        </is>
      </c>
      <c r="P415" s="16" t="inlineStr">
        <is>
          <t>Alta</t>
        </is>
      </c>
      <c r="Q415" s="16" t="inlineStr">
        <is>
          <t>v2</t>
        </is>
      </c>
      <c r="R415" s="16" t="inlineStr">
        <is>
          <t>Específico</t>
        </is>
      </c>
    </row>
    <row r="416" ht="34.5" customHeight="1" s="12">
      <c r="A416" s="22" t="inlineStr">
        <is>
          <t>F139-1</t>
        </is>
      </c>
      <c r="B416" s="22" t="inlineStr">
        <is>
          <t>fne</t>
        </is>
      </c>
      <c r="C416" s="22" t="inlineStr">
        <is>
          <t>Precisión jurídica del verbo</t>
        </is>
      </c>
      <c r="D416" s="22" t="inlineStr">
        <is>
          <t>C139</t>
        </is>
      </c>
      <c r="E416" s="22" t="inlineStr">
        <is>
          <t>Tres solicitudes ante el Fondo</t>
        </is>
      </c>
      <c r="F416" s="22" t="inlineStr">
        <is>
          <t>El mismo día atiende tres solicitudes: una clínica nueva que quiere manejar opioides, un paciente que viaja al exterior con su tratamiento y un importador que necesita traer materia prima fiscalizada.</t>
        </is>
      </c>
      <c r="G416" s="22" t="inlineStr">
        <is>
          <t>Para que la clínica pueda manejar medicamentos de control especial, primero debe</t>
        </is>
      </c>
      <c r="H416" s="22" t="inlineStr">
        <is>
          <t>Certificar su experiencia en el manejo de medicamentos de control especial</t>
        </is>
      </c>
      <c r="I416" s="22" t="inlineStr">
        <is>
          <t>Inscribirse ante el Fondo o el Fondo Rotatorio</t>
        </is>
      </c>
      <c r="J416" s="22" t="inlineStr">
        <is>
          <t>Publicar un aviso en prensa sobre el inicio de su actividad con opioides</t>
        </is>
      </c>
      <c r="K416" s="22" t="inlineStr">
        <is>
          <t>B</t>
        </is>
      </c>
      <c r="L416" s="22" t="inlineStr">
        <is>
          <t>La inscripción es el acto con el que la entidad queda habilitada para las modalidades autorizadas.</t>
        </is>
      </c>
      <c r="M416" s="22" t="inlineStr">
        <is>
          <t>Un certificado solo acredita hechos y no habilita la actividad; ningún aviso en prensa sustituye la inscripción.</t>
        </is>
      </c>
      <c r="N416" s="22" t="inlineStr">
        <is>
          <t>Resolución 1478 de 2006, arts. 11, 14 y 83</t>
        </is>
      </c>
      <c r="O416" s="22" t="inlineStr">
        <is>
          <t>SI</t>
        </is>
      </c>
      <c r="P416" s="16" t="inlineStr">
        <is>
          <t>Alta</t>
        </is>
      </c>
      <c r="Q416" s="16" t="inlineStr">
        <is>
          <t>v2</t>
        </is>
      </c>
      <c r="R416" s="16" t="inlineStr">
        <is>
          <t>Específico</t>
        </is>
      </c>
    </row>
    <row r="417" ht="34.5" customHeight="1" s="12">
      <c r="A417" s="22" t="inlineStr">
        <is>
          <t>F139-2</t>
        </is>
      </c>
      <c r="B417" s="22" t="inlineStr">
        <is>
          <t>fne</t>
        </is>
      </c>
      <c r="C417" s="22" t="inlineStr">
        <is>
          <t>Precisión jurídica del verbo</t>
        </is>
      </c>
      <c r="D417" s="22" t="inlineStr">
        <is>
          <t>C139</t>
        </is>
      </c>
      <c r="E417" s="22" t="inlineStr">
        <is>
          <t>Tres solicitudes ante el Fondo</t>
        </is>
      </c>
      <c r="F417" s="22" t="inlineStr">
        <is>
          <t>El mismo día atiende tres solicitudes: una clínica nueva que quiere manejar opioides, un paciente que viaja al exterior con su tratamiento y un importador que necesita traer materia prima fiscalizada.</t>
        </is>
      </c>
      <c r="G417" s="22" t="inlineStr">
        <is>
          <t>Para que el paciente pueda viajar con su tratamiento, si el país de destino lo exige, el Fondo puede</t>
        </is>
      </c>
      <c r="H417" s="22" t="inlineStr">
        <is>
          <t>Expedir una certificación con base en la historia clínica</t>
        </is>
      </c>
      <c r="I417" s="22" t="inlineStr">
        <is>
          <t>Inscribirlo como establecimiento</t>
        </is>
      </c>
      <c r="J417" s="22" t="inlineStr">
        <is>
          <t>Autorizarle una previsión de importación por la cantidad que necesita en el viaje</t>
        </is>
      </c>
      <c r="K417" s="22" t="inlineStr">
        <is>
          <t>A</t>
        </is>
      </c>
      <c r="L417" s="22" t="inlineStr">
        <is>
          <t>La certificación acredita ante el país de destino que el medicamento corresponde a un tratamiento médico.</t>
        </is>
      </c>
      <c r="M417" s="22" t="inlineStr">
        <is>
          <t>La inscripción es para entidades, no para pacientes; la previsión es el cupo de importación de las empresas inscritas.</t>
        </is>
      </c>
      <c r="N417" s="22" t="inlineStr">
        <is>
          <t>Resolución 1478 de 2006, arts. 11, 14 y 83</t>
        </is>
      </c>
      <c r="O417" s="22" t="inlineStr">
        <is>
          <t>SI</t>
        </is>
      </c>
      <c r="P417" s="16" t="inlineStr">
        <is>
          <t>Alta</t>
        </is>
      </c>
      <c r="Q417" s="16" t="inlineStr">
        <is>
          <t>v2</t>
        </is>
      </c>
      <c r="R417" s="16" t="inlineStr">
        <is>
          <t>Específico</t>
        </is>
      </c>
    </row>
    <row r="418" ht="34.5" customHeight="1" s="12">
      <c r="A418" s="22" t="inlineStr">
        <is>
          <t>F139-3</t>
        </is>
      </c>
      <c r="B418" s="22" t="inlineStr">
        <is>
          <t>fne</t>
        </is>
      </c>
      <c r="C418" s="22" t="inlineStr">
        <is>
          <t>Precisión jurídica del verbo</t>
        </is>
      </c>
      <c r="D418" s="22" t="inlineStr">
        <is>
          <t>C139</t>
        </is>
      </c>
      <c r="E418" s="22" t="inlineStr">
        <is>
          <t>Tres solicitudes ante el Fondo</t>
        </is>
      </c>
      <c r="F418" s="22" t="inlineStr">
        <is>
          <t>El mismo día atiende tres solicitudes: una clínica nueva que quiere manejar opioides, un paciente que viaja al exterior con su tratamiento y un importador que necesita traer materia prima fiscalizada.</t>
        </is>
      </c>
      <c r="G418" s="22" t="inlineStr">
        <is>
          <t>Para que un importador pueda traer materia prima fiscalizada, requiere</t>
        </is>
      </c>
      <c r="H418" s="22" t="inlineStr">
        <is>
          <t>Solo su inscripción vigente ante el Fondo Nacional en la modalidad de importador</t>
        </is>
      </c>
      <c r="I418" s="22" t="inlineStr">
        <is>
          <t>La autorización de importación dentro de la previsión</t>
        </is>
      </c>
      <c r="J418" s="22" t="inlineStr">
        <is>
          <t>Un concepto favorable del Fondo Rotatorio del departamento donde tiene la planta</t>
        </is>
      </c>
      <c r="K418" s="22" t="inlineStr">
        <is>
          <t>B</t>
        </is>
      </c>
      <c r="L418" s="22" t="inlineStr">
        <is>
          <t>La autorización habilita la operación concreta y debe estar dentro del cupo previsto.</t>
        </is>
      </c>
      <c r="M418" s="22" t="inlineStr">
        <is>
          <t>La inscripción habilita la actividad en general, pero cada operación requiere autorización; un concepto no habilita ninguna importación.</t>
        </is>
      </c>
      <c r="N418" s="22" t="inlineStr">
        <is>
          <t>Resolución 1478 de 2006, arts. 11, 14 y 83</t>
        </is>
      </c>
      <c r="O418" s="22" t="inlineStr">
        <is>
          <t>SI</t>
        </is>
      </c>
      <c r="P418" s="16" t="inlineStr">
        <is>
          <t>Alta</t>
        </is>
      </c>
      <c r="Q418" s="16" t="inlineStr">
        <is>
          <t>v2</t>
        </is>
      </c>
      <c r="R418" s="16" t="inlineStr">
        <is>
          <t>Específico</t>
        </is>
      </c>
    </row>
    <row r="419" ht="34.5" customHeight="1" s="12">
      <c r="A419" s="22" t="inlineStr">
        <is>
          <t>F140-1</t>
        </is>
      </c>
      <c r="B419" s="22" t="inlineStr">
        <is>
          <t>fne</t>
        </is>
      </c>
      <c r="C419" s="22" t="inlineStr">
        <is>
          <t>Precisión jurídica del verbo</t>
        </is>
      </c>
      <c r="D419" s="22" t="inlineStr">
        <is>
          <t>C140</t>
        </is>
      </c>
      <c r="E419" s="22" t="inlineStr">
        <is>
          <t>Tres destinos para el mismo estante</t>
        </is>
      </c>
      <c r="F419" s="22" t="inlineStr">
        <is>
          <t>Una IPS tiene tres situaciones: medicamentos vencidos en la bodega, sobrantes de un paciente que falleció la semana pasada y unidades en buen estado que ya no usará por cambio de protocolo.</t>
        </is>
      </c>
      <c r="G419" s="22" t="inlineStr">
        <is>
          <t>Con los sobrantes del paciente que falleció, lo que corresponde es</t>
        </is>
      </c>
      <c r="H419" s="22" t="inlineStr">
        <is>
          <t>Que el familiar los devuelva al lugar donde los adquirió</t>
        </is>
      </c>
      <c r="I419" s="22" t="inlineStr">
        <is>
          <t>Que se destruyan en la casa del paciente</t>
        </is>
      </c>
      <c r="J419" s="22" t="inlineStr">
        <is>
          <t>Que la familia los conserve por si los necesita</t>
        </is>
      </c>
      <c r="K419" s="22" t="inlineStr">
        <is>
          <t>A</t>
        </is>
      </c>
      <c r="L419" s="22" t="inlineStr">
        <is>
          <t>La norma prevé la devolución de los sobrantes de medicamentos monopolio del Estado al sitio donde se adquirieron.</t>
        </is>
      </c>
      <c r="M419" s="22" t="inlineStr">
        <is>
          <t>Conservarlos en casa facilita el desvío o el uso indebido; destruirlos por cuenta propia deja el hecho sin registro ni control.</t>
        </is>
      </c>
      <c r="N419" s="22" t="inlineStr">
        <is>
          <t>Resolución 1478 de 2006, arts. 76, 78 y 79</t>
        </is>
      </c>
      <c r="O419" s="22" t="inlineStr">
        <is>
          <t>SI</t>
        </is>
      </c>
      <c r="P419" s="16" t="inlineStr">
        <is>
          <t>Alta</t>
        </is>
      </c>
      <c r="Q419" s="16" t="inlineStr">
        <is>
          <t>v2</t>
        </is>
      </c>
      <c r="R419" s="16" t="inlineStr">
        <is>
          <t>Específico</t>
        </is>
      </c>
    </row>
    <row r="420" ht="34.5" customHeight="1" s="12">
      <c r="A420" s="22" t="inlineStr">
        <is>
          <t>F140-2</t>
        </is>
      </c>
      <c r="B420" s="22" t="inlineStr">
        <is>
          <t>fne</t>
        </is>
      </c>
      <c r="C420" s="22" t="inlineStr">
        <is>
          <t>Precisión jurídica del verbo</t>
        </is>
      </c>
      <c r="D420" s="22" t="inlineStr">
        <is>
          <t>C140</t>
        </is>
      </c>
      <c r="E420" s="22" t="inlineStr">
        <is>
          <t>Tres destinos para el mismo estante</t>
        </is>
      </c>
      <c r="F420" s="22" t="inlineStr">
        <is>
          <t>Una IPS tiene tres situaciones: medicamentos vencidos en la bodega, sobrantes de un paciente que falleció la semana pasada y unidades en buen estado que ya no usará por cambio de protocolo.</t>
        </is>
      </c>
      <c r="G420" s="22" t="inlineStr">
        <is>
          <t>Para eliminar los medicamentos vencidos, la IPS debe</t>
        </is>
      </c>
      <c r="H420" s="22" t="inlineStr">
        <is>
          <t>Devolverlos al proveedor y pedir la nota crédito de cada lote</t>
        </is>
      </c>
      <c r="I420" s="22" t="inlineStr">
        <is>
          <t>Desecharlos junto con los residuos comunes del día</t>
        </is>
      </c>
      <c r="J420" s="22" t="inlineStr">
        <is>
          <t>Solicitar la autorización de baja y la destrucción</t>
        </is>
      </c>
      <c r="K420" s="22" t="inlineStr">
        <is>
          <t>C</t>
        </is>
      </c>
      <c r="L420" s="22" t="inlineStr">
        <is>
          <t>La baja y la destrucción se solicitan a la autoridad competente y se documentan en acta.</t>
        </is>
      </c>
      <c r="M420" s="22" t="inlineStr">
        <is>
          <t>Desecharlos como residuo común es una infracción y un riesgo ambiental; devolver sin trámite deja el movimiento sin soporte.</t>
        </is>
      </c>
      <c r="N420" s="22" t="inlineStr">
        <is>
          <t>Resolución 1478 de 2006, arts. 76, 78 y 79</t>
        </is>
      </c>
      <c r="O420" s="22" t="inlineStr">
        <is>
          <t>SI</t>
        </is>
      </c>
      <c r="P420" s="16" t="inlineStr">
        <is>
          <t>Alta</t>
        </is>
      </c>
      <c r="Q420" s="16" t="inlineStr">
        <is>
          <t>v2</t>
        </is>
      </c>
      <c r="R420" s="16" t="inlineStr">
        <is>
          <t>Específico</t>
        </is>
      </c>
    </row>
    <row r="421" ht="34.5" customHeight="1" s="12">
      <c r="A421" s="22" t="inlineStr">
        <is>
          <t>F140-3</t>
        </is>
      </c>
      <c r="B421" s="22" t="inlineStr">
        <is>
          <t>fne</t>
        </is>
      </c>
      <c r="C421" s="22" t="inlineStr">
        <is>
          <t>Precisión jurídica del verbo</t>
        </is>
      </c>
      <c r="D421" s="22" t="inlineStr">
        <is>
          <t>C140</t>
        </is>
      </c>
      <c r="E421" s="22" t="inlineStr">
        <is>
          <t>Tres destinos para el mismo estante</t>
        </is>
      </c>
      <c r="F421" s="22" t="inlineStr">
        <is>
          <t>Una IPS tiene tres situaciones: medicamentos vencidos en la bodega, sobrantes de un paciente que falleció la semana pasada y unidades en buen estado que ya no usará por cambio de protocolo.</t>
        </is>
      </c>
      <c r="G421" s="22" t="inlineStr">
        <is>
          <t>En la diligencia de destrucción deben participar</t>
        </is>
      </c>
      <c r="H421" s="22" t="inlineStr">
        <is>
          <t>Un delegado de la entidad y otro del Fondo, con acta</t>
        </is>
      </c>
      <c r="I421" s="22" t="inlineStr">
        <is>
          <t>El químico farmacéutico de la IPS y el auxiliar de bodega</t>
        </is>
      </c>
      <c r="J421" s="22" t="inlineStr">
        <is>
          <t>El proveedor del medicamento, que retira las unidades para destruirlas</t>
        </is>
      </c>
      <c r="K421" s="22" t="inlineStr">
        <is>
          <t>A</t>
        </is>
      </c>
      <c r="L421" s="22" t="inlineStr">
        <is>
          <t>La presencia de ambos delegados y el acta respectiva dan validez a la destrucción.</t>
        </is>
      </c>
      <c r="M421" s="22" t="inlineStr">
        <is>
          <t>La sola intervención de la IPS impide el control externo; el proveedor no tiene función de vigilancia.</t>
        </is>
      </c>
      <c r="N421" s="22" t="inlineStr">
        <is>
          <t>Resolución 1478 de 2006, arts. 76, 78 y 79</t>
        </is>
      </c>
      <c r="O421" s="22" t="inlineStr">
        <is>
          <t>SI</t>
        </is>
      </c>
      <c r="P421" s="16" t="inlineStr">
        <is>
          <t>Alta</t>
        </is>
      </c>
      <c r="Q421" s="16" t="inlineStr">
        <is>
          <t>v2</t>
        </is>
      </c>
      <c r="R421" s="16" t="inlineStr">
        <is>
          <t>Específico</t>
        </is>
      </c>
    </row>
    <row r="422" ht="15" customHeight="1" s="12">
      <c r="A422" s="16" t="inlineStr">
        <is>
          <t>F141-1</t>
        </is>
      </c>
      <c r="B422" s="16" t="inlineStr">
        <is>
          <t>comun</t>
        </is>
      </c>
      <c r="C422" s="16" t="inlineStr">
        <is>
          <t>Precisión jurídica del verbo</t>
        </is>
      </c>
      <c r="D422" s="16" t="inlineStr">
        <is>
          <t>C141</t>
        </is>
      </c>
      <c r="E422" s="16" t="inlineStr">
        <is>
          <t>Caso 039</t>
        </is>
      </c>
      <c r="F422" s="16" t="inlineStr">
        <is>
          <t>En la revisión de un proyecto de acto administrativo, la asesora observa que el documento usa indistintamente los verbos notificar, comunicar y publicar, y en otro aparte confunde revocar con anular.</t>
        </is>
      </c>
      <c r="G422" s="16" t="inlineStr">
        <is>
          <t>La diferencia correcta entre notificar, comunicar y publicar es:</t>
        </is>
      </c>
      <c r="H422" s="16" t="inlineStr">
        <is>
          <t>Notificar los actos particulares, comunicar los de trámite y publicar los generales</t>
        </is>
      </c>
      <c r="I422" s="16" t="inlineStr">
        <is>
          <t>Publicar los actos particulares</t>
        </is>
      </c>
      <c r="J422" s="16" t="inlineStr">
        <is>
          <t>Comunicar los actos particulares, publicar los de trámite y notificar los generales</t>
        </is>
      </c>
      <c r="K422" s="16" t="inlineStr">
        <is>
          <t>A</t>
        </is>
      </c>
      <c r="L422" s="16" t="inlineStr">
        <is>
          <t>La notificación se reserva a los actos particulares y concretos, la comunicación a actos de trámite o a terceros interesados y la publicación a los actos de carácter general.</t>
        </is>
      </c>
      <c r="M422" s="16" t="inlineStr">
        <is>
          <t>Las otras opciones, «Publicar los actos particulares, notificar…» y «Comunicar los actos particulares, publicar…», intercambian los destinatarios: notificar es para los actos particulares, comunicar para los de trámite y publicar para los generales.</t>
        </is>
      </c>
      <c r="N422" s="16" t="inlineStr">
        <is>
          <t>Ley 1437 de 2011, arts. 65, 67 y 68</t>
        </is>
      </c>
      <c r="O422" s="16" t="inlineStr">
        <is>
          <t>SI</t>
        </is>
      </c>
      <c r="P422" s="16" t="inlineStr">
        <is>
          <t>Alta</t>
        </is>
      </c>
      <c r="Q422" s="16" t="inlineStr">
        <is>
          <t>v2</t>
        </is>
      </c>
      <c r="R422" s="16" t="inlineStr">
        <is>
          <t>Básico</t>
        </is>
      </c>
    </row>
    <row r="423" ht="15" customHeight="1" s="12">
      <c r="A423" s="16" t="inlineStr">
        <is>
          <t>F141-2</t>
        </is>
      </c>
      <c r="B423" s="16" t="inlineStr">
        <is>
          <t>comun</t>
        </is>
      </c>
      <c r="C423" s="16" t="inlineStr">
        <is>
          <t>Precisión jurídica del verbo</t>
        </is>
      </c>
      <c r="D423" s="16" t="inlineStr">
        <is>
          <t>C141</t>
        </is>
      </c>
      <c r="E423" s="16" t="inlineStr">
        <is>
          <t>Caso 039</t>
        </is>
      </c>
      <c r="F423" s="16" t="inlineStr">
        <is>
          <t>En la revisión de un proyecto de acto administrativo, la asesora observa que el documento usa indistintamente los verbos notificar, comunicar y publicar, y en otro aparte confunde revocar con anular.</t>
        </is>
      </c>
      <c r="G423" s="16" t="inlineStr">
        <is>
          <t>Revocar, anular y suspender se distinguen porque:</t>
        </is>
      </c>
      <c r="H423" s="16" t="inlineStr">
        <is>
          <t>Revoca el juez, anula la administración y suspende el superior jerárquico</t>
        </is>
      </c>
      <c r="I423" s="16" t="inlineStr">
        <is>
          <t>Revoca la administración, anula el juez y suspende quien tenga competencia</t>
        </is>
      </c>
      <c r="J423" s="16" t="inlineStr">
        <is>
          <t>Revoca el superior, anula el Ministerio Público y suspende el ordenador</t>
        </is>
      </c>
      <c r="K423" s="16" t="inlineStr">
        <is>
          <t>B</t>
        </is>
      </c>
      <c r="L423" s="16" t="inlineStr">
        <is>
          <t>La revocatoria directa es una potestad de la administración, la nulidad la declara el juez y la suspensión es una medida temporal que adopta quien tiene competencia para ello.</t>
        </is>
      </c>
      <c r="M423" s="16" t="inlineStr">
        <is>
          <t>Las otras opciones, «Revoca el juez, anula la…» y «Revoca el superior, anula el…», reparten los tres verbos entre autoridades distintas de las que el ordenamiento habilita para cada actuación.</t>
        </is>
      </c>
      <c r="N423" s="16" t="inlineStr">
        <is>
          <t>Ley 1437 de 2011, arts. 93 y ss.; art. 137</t>
        </is>
      </c>
      <c r="O423" s="16" t="inlineStr">
        <is>
          <t>SI</t>
        </is>
      </c>
      <c r="P423" s="16" t="inlineStr">
        <is>
          <t>Alta</t>
        </is>
      </c>
      <c r="Q423" s="16" t="inlineStr">
        <is>
          <t>v2</t>
        </is>
      </c>
      <c r="R423" s="16" t="inlineStr">
        <is>
          <t>Básico</t>
        </is>
      </c>
    </row>
    <row r="424" ht="15" customHeight="1" s="12">
      <c r="A424" s="16" t="inlineStr">
        <is>
          <t>F141-3</t>
        </is>
      </c>
      <c r="B424" s="16" t="inlineStr">
        <is>
          <t>comun</t>
        </is>
      </c>
      <c r="C424" s="16" t="inlineStr">
        <is>
          <t>Precisión jurídica del verbo</t>
        </is>
      </c>
      <c r="D424" s="16" t="inlineStr">
        <is>
          <t>C141</t>
        </is>
      </c>
      <c r="E424" s="16" t="inlineStr">
        <is>
          <t>Caso 039</t>
        </is>
      </c>
      <c r="F424" s="16" t="inlineStr">
        <is>
          <t>En la revisión de un proyecto de acto administrativo, la asesora observa que el documento usa indistintamente los verbos notificar, comunicar y publicar, y en otro aparte confunde revocar con anular.</t>
        </is>
      </c>
      <c r="G424" s="16" t="inlineStr">
        <is>
          <t>Citar y convocar se diferencian en que:</t>
        </is>
      </c>
      <c r="H424" s="16" t="inlineStr">
        <is>
          <t>Se turno a un cuerpo colegiado y se convoca a una persona determinada</t>
        </is>
      </c>
      <c r="I424" s="16" t="inlineStr">
        <is>
          <t>Se turno mediante aviso público y se convoca mediante oficio personal</t>
        </is>
      </c>
      <c r="J424" s="16" t="inlineStr">
        <is>
          <t>Se turno a una persona determinada y se convoca a un cuerpo colegiado</t>
        </is>
      </c>
      <c r="K424" s="16" t="inlineStr">
        <is>
          <t>C</t>
        </is>
      </c>
      <c r="L424" s="16" t="inlineStr">
        <is>
          <t>La citación se dirige a una persona determinada para una actuación concreta, mientras la convocatoria llama a un colegiado o a un conjunto de destinatarios.</t>
        </is>
      </c>
      <c r="M424" s="16" t="inlineStr">
        <is>
          <t>La opción «Se turno a un cuerpo…» invierte los destinatarios de cada verbo y La opción «Se turno mediante aviso público…» los distingue por el medio de comunicación, que no es el criterio.</t>
        </is>
      </c>
      <c r="N424" s="16" t="inlineStr">
        <is>
          <t>Ley 1437 de 2011; Ley 909 de 2004, art. 31</t>
        </is>
      </c>
      <c r="O424" s="16" t="inlineStr">
        <is>
          <t>SI</t>
        </is>
      </c>
      <c r="P424" s="16" t="inlineStr">
        <is>
          <t>Alta</t>
        </is>
      </c>
      <c r="Q424" s="16" t="inlineStr">
        <is>
          <t>v2</t>
        </is>
      </c>
      <c r="R424" s="16" t="inlineStr">
        <is>
          <t>Básico</t>
        </is>
      </c>
    </row>
    <row r="425" ht="15" customHeight="1" s="12">
      <c r="A425" s="16" t="inlineStr">
        <is>
          <t>F142-1</t>
        </is>
      </c>
      <c r="B425" s="16" t="inlineStr">
        <is>
          <t>comun</t>
        </is>
      </c>
      <c r="C425" s="16" t="inlineStr">
        <is>
          <t>Precisión jurídica del verbo</t>
        </is>
      </c>
      <c r="D425" s="16" t="inlineStr">
        <is>
          <t>C142</t>
        </is>
      </c>
      <c r="E425" s="16" t="inlineStr">
        <is>
          <t>Caso 040</t>
        </is>
      </c>
      <c r="F425" s="16" t="inlineStr">
        <is>
          <t>En una minuta institucional aparecen las expresiones derogar, modificar y subrogar, y el equipo necesita usarlas correctamente al actualizar un manual.</t>
        </is>
      </c>
      <c r="G425" s="16" t="inlineStr">
        <is>
          <t>Derogar una norma significa:</t>
        </is>
      </c>
      <c r="H425" s="16" t="inlineStr">
        <is>
          <t>Dejarla sin efectos hacia el futuro por otra norma de igual rango</t>
        </is>
      </c>
      <c r="I425" s="16" t="inlineStr">
        <is>
          <t>Dejarla sin efectos por decisión judicial que declara su nulidad</t>
        </is>
      </c>
      <c r="J425" s="16" t="inlineStr">
        <is>
          <t>Dejarla sin aplicación temporal mientras se resuelve el fondo</t>
        </is>
      </c>
      <c r="K425" s="16" t="inlineStr">
        <is>
          <t>A</t>
        </is>
      </c>
      <c r="L425" s="16" t="inlineStr">
        <is>
          <t>La derogación priva de efectos a la norma hacia el futuro y proviene de otra norma de igual o superior jerarquía.</t>
        </is>
      </c>
      <c r="M425" s="16" t="inlineStr">
        <is>
          <t>La opción «Dejarla sin efectos por decisión…» corresponde al control judicial y la «Dejarla sin aplicación temporal mientras…» a una medida temporal que no extingue la norma.</t>
        </is>
      </c>
      <c r="N425" s="16" t="inlineStr">
        <is>
          <t>Ley 153 de 1887; C.P. art. 150</t>
        </is>
      </c>
      <c r="O425" s="16" t="inlineStr">
        <is>
          <t>SI</t>
        </is>
      </c>
      <c r="P425" s="16" t="inlineStr">
        <is>
          <t>Alta</t>
        </is>
      </c>
      <c r="Q425" s="16" t="inlineStr">
        <is>
          <t>v2</t>
        </is>
      </c>
      <c r="R425" s="16" t="inlineStr">
        <is>
          <t>Básico</t>
        </is>
      </c>
    </row>
    <row r="426" ht="15" customHeight="1" s="12">
      <c r="A426" s="16" t="inlineStr">
        <is>
          <t>F142-2</t>
        </is>
      </c>
      <c r="B426" s="16" t="inlineStr">
        <is>
          <t>comun</t>
        </is>
      </c>
      <c r="C426" s="16" t="inlineStr">
        <is>
          <t>Precisión jurídica del verbo</t>
        </is>
      </c>
      <c r="D426" s="16" t="inlineStr">
        <is>
          <t>C142</t>
        </is>
      </c>
      <c r="E426" s="16" t="inlineStr">
        <is>
          <t>Caso 040</t>
        </is>
      </c>
      <c r="F426" s="16" t="inlineStr">
        <is>
          <t>En una minuta institucional aparecen las expresiones derogar, modificar y subrogar, y el equipo necesita usarlas correctamente al actualizar un manual.</t>
        </is>
      </c>
      <c r="G426" s="16" t="inlineStr">
        <is>
          <t>Modificar y subrogar se diferencian en que:</t>
        </is>
      </c>
      <c r="H426" s="16" t="inlineStr">
        <is>
          <t>Modificar sustituye toda la disposición y subrogar cambia una parte</t>
        </is>
      </c>
      <c r="I426" s="16" t="inlineStr">
        <is>
          <t>Modificar deroga la disposición y subrogar suspende su aplicación</t>
        </is>
      </c>
      <c r="J426" s="16" t="inlineStr">
        <is>
          <t>Modificar cambia una parte y subrogar sustituye toda la disposición</t>
        </is>
      </c>
      <c r="K426" s="16" t="inlineStr">
        <is>
          <t>C</t>
        </is>
      </c>
      <c r="L426" s="16" t="inlineStr">
        <is>
          <t>Modificar cambia una parte del texto; subrogar lo reemplaza íntegramente. Ley 153 de 1887, artículos 71 y 72.</t>
        </is>
      </c>
      <c r="M426" s="16" t="inlineStr">
        <is>
          <t>La opción «Modificar sustituye toda la disposición…» invierte el alcance de los dos verbos y La opción «Modificar deroga la disposición y…» los confunde con la derogatoria y la suspensión.</t>
        </is>
      </c>
      <c r="N426" s="16" t="inlineStr">
        <is>
          <t>Ley 153 de 1887, arts. 71 y 72</t>
        </is>
      </c>
      <c r="O426" s="16" t="inlineStr">
        <is>
          <t>SI</t>
        </is>
      </c>
      <c r="P426" s="16" t="inlineStr">
        <is>
          <t>Alta</t>
        </is>
      </c>
      <c r="Q426" s="16" t="inlineStr">
        <is>
          <t>v2</t>
        </is>
      </c>
      <c r="R426" s="16" t="inlineStr">
        <is>
          <t>Básico</t>
        </is>
      </c>
    </row>
    <row r="427" ht="15" customHeight="1" s="12">
      <c r="A427" s="16" t="inlineStr">
        <is>
          <t>F142-3</t>
        </is>
      </c>
      <c r="B427" s="16" t="inlineStr">
        <is>
          <t>comun</t>
        </is>
      </c>
      <c r="C427" s="16" t="inlineStr">
        <is>
          <t>Precisión jurídica del verbo</t>
        </is>
      </c>
      <c r="D427" s="16" t="inlineStr">
        <is>
          <t>C142</t>
        </is>
      </c>
      <c r="E427" s="16" t="inlineStr">
        <is>
          <t>Caso 040</t>
        </is>
      </c>
      <c r="F427" s="16" t="inlineStr">
        <is>
          <t>En una minuta institucional aparecen las expresiones derogar, modificar y subrogar, y el equipo necesita usarlas correctamente al actualizar un manual.</t>
        </is>
      </c>
      <c r="G427" s="16" t="inlineStr">
        <is>
          <t>Una norma revocada antes de entrar a producir efectos, como ocurrió con la Resolución 1732 de 2026:</t>
        </is>
      </c>
      <c r="H427" s="16" t="inlineStr">
        <is>
          <t>La norma anterior queda derogada y el vacío lo llena la costumbre</t>
        </is>
      </c>
      <c r="I427" s="16" t="inlineStr">
        <is>
          <t>La norma anterior continúa vigente, sin interrupción de su aplicación</t>
        </is>
      </c>
      <c r="J427" s="16" t="inlineStr">
        <is>
          <t>La norma anterior revive con efectos retroactivos a la derogatoria</t>
        </is>
      </c>
      <c r="K427" s="16" t="inlineStr">
        <is>
          <t>B</t>
        </is>
      </c>
      <c r="L427" s="16" t="inlineStr">
        <is>
          <t>Al revocarse íntegramente la resolución que derogaba la norma anterior, esta continúa vigente sin interrupción, como ocurrió con la Resolución 3100 de 2019.</t>
        </is>
      </c>
      <c r="M427" s="16" t="inlineStr">
        <is>
          <t>Las otras opciones, «La norma anterior queda derogada…» y «La norma anterior revive con…», suponen efectos que la revocatoria no produce.</t>
        </is>
      </c>
      <c r="N427" s="16" t="inlineStr">
        <is>
          <t>Resolución 2080 de 2026 (Minsalud); Ley 1437 de 2011, art. 93</t>
        </is>
      </c>
      <c r="O427" s="16" t="inlineStr">
        <is>
          <t>SI</t>
        </is>
      </c>
      <c r="P427" s="16" t="inlineStr">
        <is>
          <t>Alta</t>
        </is>
      </c>
      <c r="Q427" s="16" t="inlineStr">
        <is>
          <t>v2</t>
        </is>
      </c>
      <c r="R427" s="16" t="inlineStr">
        <is>
          <t>Básico</t>
        </is>
      </c>
    </row>
    <row r="428" ht="15" customHeight="1" s="12">
      <c r="A428" s="16" t="inlineStr">
        <is>
          <t>F143-1</t>
        </is>
      </c>
      <c r="B428" s="16" t="inlineStr">
        <is>
          <t>comun</t>
        </is>
      </c>
      <c r="C428" s="16" t="inlineStr">
        <is>
          <t>Precisión jurídica del verbo</t>
        </is>
      </c>
      <c r="D428" s="16" t="inlineStr">
        <is>
          <t>C143</t>
        </is>
      </c>
      <c r="E428" s="16" t="inlineStr">
        <is>
          <t>Caso 041</t>
        </is>
      </c>
      <c r="F428" s="16" t="inlineStr">
        <is>
          <t>Un usuario interpone recurso de reposición contra una decisión de la entidad. El jefe jurídico pregunta con qué verbo debe redactarse la parte resolutiva del acto que resuelve el recurso.</t>
        </is>
      </c>
      <c r="G428" s="16" t="inlineStr">
        <is>
          <t>Al resolver el recurso, la autoridad puede:</t>
        </is>
      </c>
      <c r="H428" s="16" t="inlineStr">
        <is>
          <t>Confirmar, modificar o revocar la decisión recurrida</t>
        </is>
      </c>
      <c r="I428" s="16" t="inlineStr">
        <is>
          <t>Anular, suspender o inaplicar la decisión recurrida</t>
        </is>
      </c>
      <c r="J428" s="16" t="inlineStr">
        <is>
          <t>Derogar, subrogar o adicionar la decisión recurrida</t>
        </is>
      </c>
      <c r="K428" s="16" t="inlineStr">
        <is>
          <t>A</t>
        </is>
      </c>
      <c r="L428" s="16" t="inlineStr">
        <is>
          <t>El artículo 80 del CPACA dispone que al decidir los recursos se resuelve sobre las peticiones, confirmando, modificando o revocando la decisión.</t>
        </is>
      </c>
      <c r="M428" s="16" t="inlineStr">
        <is>
          <t>«Anular, suspender o inaplicar la…» usa verbos del control judicial y de las medidas cautelares, que no corresponden a la autoridad que resuelve el recurso; «Derogar, subrogar o adicionar la…» usa verbos propios de la técnica normativa aplicable a normas, no a actos administrativos particulares.</t>
        </is>
      </c>
      <c r="N428" s="16" t="inlineStr">
        <is>
          <t>Ley 1437 de 2011, art. 80</t>
        </is>
      </c>
      <c r="O428" s="16" t="inlineStr">
        <is>
          <t>SI</t>
        </is>
      </c>
      <c r="P428" s="16" t="inlineStr">
        <is>
          <t>Alta</t>
        </is>
      </c>
      <c r="Q428" s="16" t="inlineStr">
        <is>
          <t>v2</t>
        </is>
      </c>
      <c r="R428" s="16" t="inlineStr">
        <is>
          <t>Básico</t>
        </is>
      </c>
    </row>
    <row r="429" ht="15" customHeight="1" s="12">
      <c r="A429" s="16" t="inlineStr">
        <is>
          <t>F143-2</t>
        </is>
      </c>
      <c r="B429" s="16" t="inlineStr">
        <is>
          <t>comun</t>
        </is>
      </c>
      <c r="C429" s="16" t="inlineStr">
        <is>
          <t>Precisión jurídica del verbo</t>
        </is>
      </c>
      <c r="D429" s="16" t="inlineStr">
        <is>
          <t>C143</t>
        </is>
      </c>
      <c r="E429" s="16" t="inlineStr">
        <is>
          <t>Caso 041</t>
        </is>
      </c>
      <c r="F429" s="16" t="inlineStr">
        <is>
          <t>Un usuario interpone recurso de reposición contra una decisión de la entidad. El jefe jurídico pregunta con qué verbo debe redactarse la parte resolutiva del acto que resuelve el recurso.</t>
        </is>
      </c>
      <c r="G429" s="16" t="inlineStr">
        <is>
          <t>Si la decisión recurrida creó una situación jurídica particular y la administración quiere dejarla sin efectos por fuera del recurso, debe:</t>
        </is>
      </c>
      <c r="H429" s="16" t="inlineStr">
        <is>
          <t>Anularla mediante acto administrativo debidamente motivado y motivar la decisión por escrito</t>
        </is>
      </c>
      <c r="I429" s="16" t="inlineStr">
        <is>
          <t>Revocarla con el consentimiento expreso y escrito del titular</t>
        </is>
      </c>
      <c r="J429" s="16" t="inlineStr">
        <is>
          <t>Suspenderla mientras la administración estudia de nuevo el caso y motivar la decisión por escrito</t>
        </is>
      </c>
      <c r="K429" s="16" t="inlineStr">
        <is>
          <t>B</t>
        </is>
      </c>
      <c r="L429" s="16" t="inlineStr">
        <is>
          <t>La revocatoria directa de actos de contenido particular y concreto exige el consentimiento previo, expreso y escrito del titular, salvo las excepciones legales.</t>
        </is>
      </c>
      <c r="M429" s="16" t="inlineStr">
        <is>
          <t>«Anularla mediante acto administrativo debidamente…» atribuye a la administración un verbo que corresponde al juez; «Suspenderla mientras la administración estudia…» usa una medida temporal que no extingue el acto ni sustituye la revocatoria.</t>
        </is>
      </c>
      <c r="N429" s="16" t="inlineStr">
        <is>
          <t>Ley 1437 de 2011, arts. 93 y 97</t>
        </is>
      </c>
      <c r="O429" s="16" t="inlineStr">
        <is>
          <t>SI</t>
        </is>
      </c>
      <c r="P429" s="16" t="inlineStr">
        <is>
          <t>Alta</t>
        </is>
      </c>
      <c r="Q429" s="16" t="inlineStr">
        <is>
          <t>v2</t>
        </is>
      </c>
      <c r="R429" s="16" t="inlineStr">
        <is>
          <t>Básico</t>
        </is>
      </c>
    </row>
    <row r="430" ht="15" customHeight="1" s="12">
      <c r="A430" s="16" t="inlineStr">
        <is>
          <t>F143-3</t>
        </is>
      </c>
      <c r="B430" s="16" t="inlineStr">
        <is>
          <t>comun</t>
        </is>
      </c>
      <c r="C430" s="16" t="inlineStr">
        <is>
          <t>Precisión jurídica del verbo</t>
        </is>
      </c>
      <c r="D430" s="16" t="inlineStr">
        <is>
          <t>C143</t>
        </is>
      </c>
      <c r="E430" s="16" t="inlineStr">
        <is>
          <t>Caso 041</t>
        </is>
      </c>
      <c r="F430" s="16" t="inlineStr">
        <is>
          <t>Un usuario interpone recurso de reposición contra una decisión de la entidad. El jefe jurídico pregunta con qué verbo debe redactarse la parte resolutiva del acto que resuelve el recurso.</t>
        </is>
      </c>
      <c r="G430" s="16" t="inlineStr">
        <is>
          <t>El ciudadano quiere que un juez deje sin efectos el acto. El verbo técnicamente correcto en su demanda es:</t>
        </is>
      </c>
      <c r="H430" s="16" t="inlineStr">
        <is>
          <t>Solicitar que la administración revoque directamente el acto</t>
        </is>
      </c>
      <c r="I430" s="16" t="inlineStr">
        <is>
          <t>Solicitar que el superior jerárquico derogue el acto expedido y notificar al interesado</t>
        </is>
      </c>
      <c r="J430" s="16" t="inlineStr">
        <is>
          <t>Solicitar la nulidad del acto y el restablecimiento del derecho</t>
        </is>
      </c>
      <c r="K430" s="16" t="inlineStr">
        <is>
          <t>C</t>
        </is>
      </c>
      <c r="L430" s="16" t="inlineStr">
        <is>
          <t>Ante la jurisdicción se pide la declaratoria de nulidad del acto y el restablecimiento del derecho; la revocatoria es potestad de la administración.</t>
        </is>
      </c>
      <c r="M430" s="16" t="inlineStr">
        <is>
          <t>«Solicitar que la administración revoque…» pide a un juez una actuación administrativa; «Solicitar que el superior jerárquico…» emplea un verbo reservado a las normas, no a los actos administrativos.</t>
        </is>
      </c>
      <c r="N430" s="16" t="inlineStr">
        <is>
          <t>Ley 1437 de 2011, art. 138</t>
        </is>
      </c>
      <c r="O430" s="16" t="inlineStr">
        <is>
          <t>SI</t>
        </is>
      </c>
      <c r="P430" s="16" t="inlineStr">
        <is>
          <t>Alta</t>
        </is>
      </c>
      <c r="Q430" s="16" t="inlineStr">
        <is>
          <t>v2</t>
        </is>
      </c>
      <c r="R430" s="16" t="inlineStr">
        <is>
          <t>Básico</t>
        </is>
      </c>
    </row>
    <row r="431" ht="15" customHeight="1" s="12">
      <c r="A431" s="16" t="inlineStr">
        <is>
          <t>F144-1</t>
        </is>
      </c>
      <c r="B431" s="16" t="inlineStr">
        <is>
          <t>comun</t>
        </is>
      </c>
      <c r="C431" s="16" t="inlineStr">
        <is>
          <t>Precisión jurídica del verbo</t>
        </is>
      </c>
      <c r="D431" s="16" t="inlineStr">
        <is>
          <t>C144</t>
        </is>
      </c>
      <c r="E431" s="16" t="inlineStr">
        <is>
          <t>Caso 042</t>
        </is>
      </c>
      <c r="F431" s="16" t="inlineStr">
        <is>
          <t>En el proceso de selección, el equipo de talento humano redacta comunicaciones sobre los resultados y usa indistintamente los verbos inadmitir, excluir y declarar desierto.</t>
        </is>
      </c>
      <c r="G431" s="16" t="inlineStr">
        <is>
          <t>Al aspirante que no acredita los requisitos mínimos del empleo se le debe:</t>
        </is>
      </c>
      <c r="H431" s="16" t="inlineStr">
        <is>
          <t>Excluirlo, por incurrir en una causal prevista en el acuerdo</t>
        </is>
      </c>
      <c r="I431" s="16" t="inlineStr">
        <is>
          <t>Declararlo desierto, por no proveerse el empleo ofertado</t>
        </is>
      </c>
      <c r="J431" s="16" t="inlineStr">
        <is>
          <t>Inadmitirlo, por no acreditar los requisitos mínimos del empleo</t>
        </is>
      </c>
      <c r="K431" s="16" t="inlineStr">
        <is>
          <t>C</t>
        </is>
      </c>
      <c r="L431" s="16" t="inlineStr">
        <is>
          <t>En la Verificación de Requisitos Mínimos el aspirante que no acredita los requisitos resulta inadmitido y no continúa en el proceso.</t>
        </is>
      </c>
      <c r="M431" s="16" t="inlineStr">
        <is>
          <t>«Excluirlo, por incurrir en una…» corresponde a quien incurre en causales como el fraude o la suplantación; «Declararlo desierto, por no proveerse…» se predica del empleo sin inscritos, no del aspirante.</t>
        </is>
      </c>
      <c r="N431" s="16" t="inlineStr">
        <is>
          <t>Acuerdo CNSC N° 36 de 2026, art. 13; Anexo Técnico E.S.E. 2</t>
        </is>
      </c>
      <c r="O431" s="16" t="inlineStr">
        <is>
          <t>NO</t>
        </is>
      </c>
      <c r="P431" s="16" t="inlineStr">
        <is>
          <t>Alta</t>
        </is>
      </c>
      <c r="Q431" s="16" t="inlineStr">
        <is>
          <t>v2</t>
        </is>
      </c>
      <c r="R431" s="16" t="inlineStr">
        <is>
          <t>Básico</t>
        </is>
      </c>
    </row>
    <row r="432" ht="15" customHeight="1" s="12">
      <c r="A432" s="16" t="inlineStr">
        <is>
          <t>F144-2</t>
        </is>
      </c>
      <c r="B432" s="16" t="inlineStr">
        <is>
          <t>comun</t>
        </is>
      </c>
      <c r="C432" s="16" t="inlineStr">
        <is>
          <t>Precisión jurídica del verbo</t>
        </is>
      </c>
      <c r="D432" s="16" t="inlineStr">
        <is>
          <t>C144</t>
        </is>
      </c>
      <c r="E432" s="16" t="inlineStr">
        <is>
          <t>Caso 042</t>
        </is>
      </c>
      <c r="F432" s="16" t="inlineStr">
        <is>
          <t>En el proceso de selección, el equipo de talento humano redacta comunicaciones sobre los resultados y usa indistintamente los verbos inadmitir, excluir y declarar desierto.</t>
        </is>
      </c>
      <c r="G432" s="16" t="inlineStr">
        <is>
          <t>Al aspirante que aporta un documento falso se le debe:</t>
        </is>
      </c>
      <c r="H432" s="16" t="inlineStr">
        <is>
          <t>Excluirlo en cualquier momento en que se compruebe el hecho</t>
        </is>
      </c>
      <c r="I432" s="16" t="inlineStr">
        <is>
          <t>Inadmitirlo en la verificación de requisitos mínimos del empleo</t>
        </is>
      </c>
      <c r="J432" s="16" t="inlineStr">
        <is>
          <t>Retirarlo de la lista de elegibles una vez esta se conforme</t>
        </is>
      </c>
      <c r="K432" s="16" t="inlineStr">
        <is>
          <t>A</t>
        </is>
      </c>
      <c r="L432" s="16" t="inlineStr">
        <is>
          <t>Aportar documentos falsos o adulterados es causal de exclusión del concurso, aplicable en cualquier etapa en que se compruebe. Ley 909 de 2004, artículo 31; Acuerdos CNSC 80 de 2026 (Invima) y 76 de 2026 (FNE), capítulo de exclusión.</t>
        </is>
      </c>
      <c r="M432" s="16" t="inlineStr">
        <is>
          <t>«Inadmitirlo en la verificación de…» usa el verbo de la VRM para una conducta sancionable; «Retirarlo de la lista de…» limita el efecto a una etapa final cuando la causal opera en cualquier momento.</t>
        </is>
      </c>
      <c r="N432" s="16" t="inlineStr">
        <is>
          <t>Ley 909 de 2004, art. 31; Acuerdos CNSC 80 y 76 de 2026</t>
        </is>
      </c>
      <c r="O432" s="16" t="inlineStr">
        <is>
          <t>SI</t>
        </is>
      </c>
      <c r="P432" s="16" t="inlineStr">
        <is>
          <t>Alta</t>
        </is>
      </c>
      <c r="Q432" s="16" t="inlineStr">
        <is>
          <t>v2</t>
        </is>
      </c>
      <c r="R432" s="16" t="inlineStr">
        <is>
          <t>Básico</t>
        </is>
      </c>
    </row>
    <row r="433" ht="15" customHeight="1" s="12">
      <c r="A433" s="16" t="inlineStr">
        <is>
          <t>F144-3</t>
        </is>
      </c>
      <c r="B433" s="16" t="inlineStr">
        <is>
          <t>comun</t>
        </is>
      </c>
      <c r="C433" s="16" t="inlineStr">
        <is>
          <t>Precisión jurídica del verbo</t>
        </is>
      </c>
      <c r="D433" s="16" t="inlineStr">
        <is>
          <t>C144</t>
        </is>
      </c>
      <c r="E433" s="16" t="inlineStr">
        <is>
          <t>Caso 042</t>
        </is>
      </c>
      <c r="F433" s="16" t="inlineStr">
        <is>
          <t>En el proceso de selección, el equipo de talento humano redacta comunicaciones sobre los resultados y usa indistintamente los verbos inadmitir, excluir y declarar desierto.</t>
        </is>
      </c>
      <c r="G433" s="16" t="inlineStr">
        <is>
          <t>Cuando un empleo ofertado en ascenso no registra inscritos, la CNSC debe:</t>
        </is>
      </c>
      <c r="H433" s="16" t="inlineStr">
        <is>
          <t>Excluir el empleo de la oferta pública de empleos de carrera y dejar el soporte en el expediente</t>
        </is>
      </c>
      <c r="I433" s="16" t="inlineStr">
        <is>
          <t>Declararlo desierto y proveerlo en la modalidad de abierto</t>
        </is>
      </c>
      <c r="J433" s="16" t="inlineStr">
        <is>
          <t>Inadmitir el empleo y trasladarlo al siguiente proceso</t>
        </is>
      </c>
      <c r="K433" s="16" t="inlineStr">
        <is>
          <t>B</t>
        </is>
      </c>
      <c r="L433" s="16" t="inlineStr">
        <is>
          <t>Las vacantes ofertadas en la modalidad de ascenso que no registran inscritos se declaran desiertas y se proveen en la modalidad abierta, dentro del mismo proceso. Ley 1960 de 2019, artículo 2; Acuerdos CNSC 80 y 76 de 2026.</t>
        </is>
      </c>
      <c r="M433" s="16" t="inlineStr">
        <is>
          <t>«Excluir el empleo de la…» y «Inadmitir el empleo y trasladarlo…» aplican a aspirantes, no a vacantes: el verbo cambia según recaiga sobre la persona o sobre el empleo.</t>
        </is>
      </c>
      <c r="N433" s="16" t="inlineStr">
        <is>
          <t>Ley 1960 de 2019, art. 2; Acuerdos CNSC 80 y 76 de 2026</t>
        </is>
      </c>
      <c r="O433" s="16" t="inlineStr">
        <is>
          <t>SI</t>
        </is>
      </c>
      <c r="P433" s="16" t="inlineStr">
        <is>
          <t>Alta</t>
        </is>
      </c>
      <c r="Q433" s="16" t="inlineStr">
        <is>
          <t>v2</t>
        </is>
      </c>
      <c r="R433" s="16" t="inlineStr">
        <is>
          <t>Básico</t>
        </is>
      </c>
    </row>
    <row r="434" ht="15" customHeight="1" s="12">
      <c r="A434" s="16" t="inlineStr">
        <is>
          <t>F145-1</t>
        </is>
      </c>
      <c r="B434" s="16" t="inlineStr">
        <is>
          <t>comun</t>
        </is>
      </c>
      <c r="C434" s="16" t="inlineStr">
        <is>
          <t>Precisión jurídica del verbo</t>
        </is>
      </c>
      <c r="D434" s="16" t="inlineStr">
        <is>
          <t>C145</t>
        </is>
      </c>
      <c r="E434" s="16" t="inlineStr">
        <is>
          <t>Caso 043</t>
        </is>
      </c>
      <c r="F434" s="16" t="inlineStr">
        <is>
          <t>La oficina de calidad prepara un comunicado sobre el nuevo servicio y debe elegir entre habilitar, acreditar, certificar y autorizar.</t>
        </is>
      </c>
      <c r="G434" s="16" t="inlineStr">
        <is>
          <t>Frente al cumplimiento de las condiciones mínimas obligatorias para prestar el servicio, la entidad debe:</t>
        </is>
      </c>
      <c r="H434" s="16" t="inlineStr">
        <is>
          <t>Acreditar el servicio ante la entidad acreditadora y dejar el soporte en el expediente</t>
        </is>
      </c>
      <c r="I434" s="16" t="inlineStr">
        <is>
          <t>Habilitar el servicio, previa autoevaluación y declaración en el REPS</t>
        </is>
      </c>
      <c r="J434" s="16" t="inlineStr">
        <is>
          <t>Certificar el servicio ante la Superintendencia Nacional de Salud y citar la norma que la respalda</t>
        </is>
      </c>
      <c r="K434" s="16" t="inlineStr">
        <is>
          <t>B</t>
        </is>
      </c>
      <c r="L434" s="16" t="inlineStr">
        <is>
          <t>Las condiciones mínimas obligatorias se cumplen mediante la habilitación, que se soporta en la autoevaluación y declaración del prestador en el REPS.</t>
        </is>
      </c>
      <c r="M434" s="16" t="inlineStr">
        <is>
          <t>«Acreditar el servicio ante la…» corresponde al proceso voluntario de altos estándares; «Certificar el servicio ante la…» usa un verbo que no describe el trámite ante la autoridad de inspección y vigilancia.</t>
        </is>
      </c>
      <c r="N434" s="16" t="inlineStr">
        <is>
          <t>Resolución 3100 de 2019</t>
        </is>
      </c>
      <c r="O434" s="16" t="inlineStr">
        <is>
          <t>NO</t>
        </is>
      </c>
      <c r="P434" s="16" t="inlineStr">
        <is>
          <t>Alta</t>
        </is>
      </c>
      <c r="Q434" s="16" t="inlineStr">
        <is>
          <t>v2</t>
        </is>
      </c>
      <c r="R434" s="16" t="inlineStr">
        <is>
          <t>Básico</t>
        </is>
      </c>
    </row>
    <row r="435" ht="15" customHeight="1" s="12">
      <c r="A435" s="16" t="inlineStr">
        <is>
          <t>F145-2</t>
        </is>
      </c>
      <c r="B435" s="16" t="inlineStr">
        <is>
          <t>comun</t>
        </is>
      </c>
      <c r="C435" s="16" t="inlineStr">
        <is>
          <t>Precisión jurídica del verbo</t>
        </is>
      </c>
      <c r="D435" s="16" t="inlineStr">
        <is>
          <t>C145</t>
        </is>
      </c>
      <c r="E435" s="16" t="inlineStr">
        <is>
          <t>Caso 043</t>
        </is>
      </c>
      <c r="F435" s="16" t="inlineStr">
        <is>
          <t>La oficina de calidad prepara un comunicado sobre el nuevo servicio y debe elegir entre habilitar, acreditar, certificar y autorizar.</t>
        </is>
      </c>
      <c r="G435" s="16" t="inlineStr">
        <is>
          <t>Si la entidad quiere reconocimiento por superioridad en calidad, debe:</t>
        </is>
      </c>
      <c r="H435" s="16" t="inlineStr">
        <is>
          <t>Acreditarse mediante el proceso voluntario ante el acreditador</t>
        </is>
      </c>
      <c r="I435" s="16" t="inlineStr">
        <is>
          <t>Habilitarse de nuevo ante la entidad departamental de salud</t>
        </is>
      </c>
      <c r="J435" s="16" t="inlineStr">
        <is>
          <t>Certificarse ante un organismo externo de normalización técnica</t>
        </is>
      </c>
      <c r="K435" s="16" t="inlineStr">
        <is>
          <t>A</t>
        </is>
      </c>
      <c r="L435" s="16" t="inlineStr">
        <is>
          <t>La acreditación es un proceso voluntario y periódico dirigido a demostrar el cumplimiento de estándares superiores de calidad.</t>
        </is>
      </c>
      <c r="M435" s="16" t="inlineStr">
        <is>
          <t>«Habilitarse de nuevo ante la…» repite un trámite obligatorio ya cumplido; «Certificarse ante un organismo externo…» describe el registro del prestador, previo y distinto.</t>
        </is>
      </c>
      <c r="N435" s="16" t="inlineStr">
        <is>
          <t>Decreto 780 de 2016, SOGCS</t>
        </is>
      </c>
      <c r="O435" s="16" t="inlineStr">
        <is>
          <t>NO</t>
        </is>
      </c>
      <c r="P435" s="16" t="inlineStr">
        <is>
          <t>Alta</t>
        </is>
      </c>
      <c r="Q435" s="16" t="inlineStr">
        <is>
          <t>v2</t>
        </is>
      </c>
      <c r="R435" s="16" t="inlineStr">
        <is>
          <t>Básico</t>
        </is>
      </c>
    </row>
    <row r="436" ht="15" customHeight="1" s="12">
      <c r="A436" s="16" t="inlineStr">
        <is>
          <t>F145-3</t>
        </is>
      </c>
      <c r="B436" s="16" t="inlineStr">
        <is>
          <t>comun</t>
        </is>
      </c>
      <c r="C436" s="16" t="inlineStr">
        <is>
          <t>Precisión jurídica del verbo</t>
        </is>
      </c>
      <c r="D436" s="16" t="inlineStr">
        <is>
          <t>C145</t>
        </is>
      </c>
      <c r="E436" s="16" t="inlineStr">
        <is>
          <t>Caso 043</t>
        </is>
      </c>
      <c r="F436" s="16" t="inlineStr">
        <is>
          <t>La oficina de calidad prepara un comunicado sobre el nuevo servicio y debe elegir entre habilitar, acreditar, certificar y autorizar.</t>
        </is>
      </c>
      <c r="G436" s="16" t="inlineStr">
        <is>
          <t>Cuando cambia la capacidad instalada declarada, el verbo que describe la obligación del prestador es:</t>
        </is>
      </c>
      <c r="H436" s="16" t="inlineStr">
        <is>
          <t>Solicitar autorización previa a la autoridad competente</t>
        </is>
      </c>
      <c r="I436" s="16" t="inlineStr">
        <is>
          <t>Certificar el cambio ante la entidad responsable de pago</t>
        </is>
      </c>
      <c r="J436" s="16" t="inlineStr">
        <is>
          <t>Reportar la novedad en el REPS dentro de los términos previstos</t>
        </is>
      </c>
      <c r="K436" s="16" t="inlineStr">
        <is>
          <t>C</t>
        </is>
      </c>
      <c r="L436" s="16" t="inlineStr">
        <is>
          <t>Las modificaciones de la información declarada se reportan como novedad en el REPS; no dependen de una autorización previa.</t>
        </is>
      </c>
      <c r="M436" s="16" t="inlineStr">
        <is>
          <t>«Solicitar autorización previa a la…» supone un permiso que la norma no exige; «Certificar el cambio ante la…» dirige la actuación a un actor contractual y no al registro público.</t>
        </is>
      </c>
      <c r="N436" s="16" t="inlineStr">
        <is>
          <t>Resolución 3100 de 2019</t>
        </is>
      </c>
      <c r="O436" s="16" t="inlineStr">
        <is>
          <t>NO</t>
        </is>
      </c>
      <c r="P436" s="16" t="inlineStr">
        <is>
          <t>Alta</t>
        </is>
      </c>
      <c r="Q436" s="16" t="inlineStr">
        <is>
          <t>v2</t>
        </is>
      </c>
      <c r="R436" s="16" t="inlineStr">
        <is>
          <t>Básico</t>
        </is>
      </c>
    </row>
    <row r="437" ht="15" customHeight="1" s="12">
      <c r="A437" s="16" t="inlineStr">
        <is>
          <t>F146-1</t>
        </is>
      </c>
      <c r="B437" s="16" t="inlineStr">
        <is>
          <t>comun</t>
        </is>
      </c>
      <c r="C437" s="16" t="inlineStr">
        <is>
          <t>Precisión jurídica del verbo</t>
        </is>
      </c>
      <c r="D437" s="16" t="inlineStr">
        <is>
          <t>C146</t>
        </is>
      </c>
      <c r="E437" s="16" t="inlineStr">
        <is>
          <t>Caso 044</t>
        </is>
      </c>
      <c r="F437" s="16" t="inlineStr">
        <is>
          <t>En la oficina de referencia, un profesional debe describir con precisión tres actuaciones distintas del mismo usuario.</t>
        </is>
      </c>
      <c r="G437" s="16" t="inlineStr">
        <is>
          <t>El envío del usuario a una institución de mayor capacidad resolutiva se denomina:</t>
        </is>
      </c>
      <c r="H437" s="16" t="inlineStr">
        <is>
          <t>Referir</t>
        </is>
      </c>
      <c r="I437" s="16" t="inlineStr">
        <is>
          <t>Contrarreferir</t>
        </is>
      </c>
      <c r="J437" s="16" t="inlineStr">
        <is>
          <t>Trasladar</t>
        </is>
      </c>
      <c r="K437" s="16" t="inlineStr">
        <is>
          <t>A</t>
        </is>
      </c>
      <c r="L437" s="16" t="inlineStr">
        <is>
          <t>Referir es enviar al usuario o elementos de ayuda diagnóstica a otro prestador con mayor capacidad resolutiva.</t>
        </is>
      </c>
      <c r="M437" s="16" t="inlineStr">
        <is>
          <t>«Contrarreferir» nombra la respuesta del receptor al remitente; «Trasladar» describe el movimiento físico del usuario, que es un medio y no la actuación técnica.</t>
        </is>
      </c>
      <c r="N437" s="16" t="inlineStr">
        <is>
          <t>Decreto 780 de 2016; Resolución 3047 de 2008</t>
        </is>
      </c>
      <c r="O437" s="16" t="inlineStr">
        <is>
          <t>NO</t>
        </is>
      </c>
      <c r="P437" s="16" t="inlineStr">
        <is>
          <t>Alta</t>
        </is>
      </c>
      <c r="Q437" s="16" t="inlineStr">
        <is>
          <t>v2</t>
        </is>
      </c>
      <c r="R437" s="16" t="inlineStr">
        <is>
          <t>Básico</t>
        </is>
      </c>
    </row>
    <row r="438" ht="15" customHeight="1" s="12">
      <c r="A438" s="16" t="inlineStr">
        <is>
          <t>F146-2</t>
        </is>
      </c>
      <c r="B438" s="16" t="inlineStr">
        <is>
          <t>comun</t>
        </is>
      </c>
      <c r="C438" s="16" t="inlineStr">
        <is>
          <t>Precisión jurídica del verbo</t>
        </is>
      </c>
      <c r="D438" s="16" t="inlineStr">
        <is>
          <t>C146</t>
        </is>
      </c>
      <c r="E438" s="16" t="inlineStr">
        <is>
          <t>Caso 044</t>
        </is>
      </c>
      <c r="F438" s="16" t="inlineStr">
        <is>
          <t>En la oficina de referencia, un profesional debe describir con precisión tres actuaciones distintas del mismo usuario.</t>
        </is>
      </c>
      <c r="G438" s="16" t="inlineStr">
        <is>
          <t>La respuesta de la entidad a la entidad de origen, con hallazgos y recomendaciones de seguimiento, se denomina:</t>
        </is>
      </c>
      <c r="H438" s="16" t="inlineStr">
        <is>
          <t>Referir</t>
        </is>
      </c>
      <c r="I438" s="16" t="inlineStr">
        <is>
          <t>Dar de alta</t>
        </is>
      </c>
      <c r="J438" s="16" t="inlineStr">
        <is>
          <t>Contrarreferir</t>
        </is>
      </c>
      <c r="K438" s="16" t="inlineStr">
        <is>
          <t>C</t>
        </is>
      </c>
      <c r="L438" s="16" t="inlineStr">
        <is>
          <t>La contrarreferencia es la respuesta del prestador receptor al remitente, con la información necesaria para la continuidad del cuidado.</t>
        </is>
      </c>
      <c r="M438" s="16" t="inlineStr">
        <is>
          <t>«Referir» invierte el sentido del flujo; «Dar de alta» describe el egreso del usuario, que no implica informar al prestador de origen.</t>
        </is>
      </c>
      <c r="N438" s="16" t="inlineStr">
        <is>
          <t>Resolución 3047 de 2008</t>
        </is>
      </c>
      <c r="O438" s="16" t="inlineStr">
        <is>
          <t>NO</t>
        </is>
      </c>
      <c r="P438" s="16" t="inlineStr">
        <is>
          <t>Alta</t>
        </is>
      </c>
      <c r="Q438" s="16" t="inlineStr">
        <is>
          <t>v2</t>
        </is>
      </c>
      <c r="R438" s="16" t="inlineStr">
        <is>
          <t>Básico</t>
        </is>
      </c>
    </row>
    <row r="439" ht="15" customHeight="1" s="12">
      <c r="A439" s="16" t="inlineStr">
        <is>
          <t>F146-3</t>
        </is>
      </c>
      <c r="B439" s="16" t="inlineStr">
        <is>
          <t>comun</t>
        </is>
      </c>
      <c r="C439" s="16" t="inlineStr">
        <is>
          <t>Precisión jurídica del verbo</t>
        </is>
      </c>
      <c r="D439" s="16" t="inlineStr">
        <is>
          <t>C146</t>
        </is>
      </c>
      <c r="E439" s="16" t="inlineStr">
        <is>
          <t>Caso 044</t>
        </is>
      </c>
      <c r="F439" s="16" t="inlineStr">
        <is>
          <t>En la oficina de referencia, un profesional debe describir con precisión tres actuaciones distintas del mismo usuario.</t>
        </is>
      </c>
      <c r="G439" s="16" t="inlineStr">
        <is>
          <t>El movimiento del usuario en ambulancia medicalizada entre las dos instituciones se denomina:</t>
        </is>
      </c>
      <c r="H439" s="16" t="inlineStr">
        <is>
          <t>Contrarreferirlo al prestador que solicitó la remisión</t>
        </is>
      </c>
      <c r="I439" s="16" t="inlineStr">
        <is>
          <t>Trasladarlo en la modalidad asistencial que su estado exija</t>
        </is>
      </c>
      <c r="J439" s="16" t="inlineStr">
        <is>
          <t>Remitir el resumen de el expediente al receptor</t>
        </is>
      </c>
      <c r="K439" s="16" t="inlineStr">
        <is>
          <t>B</t>
        </is>
      </c>
      <c r="L439" s="16" t="inlineStr">
        <is>
          <t>El traslado es el desplazamiento físico del usuario y debe realizarse en la modalidad de transporte asistencial acorde con su condición.</t>
        </is>
      </c>
      <c r="M439" s="16" t="inlineStr">
        <is>
          <t>«Contrarreferirlo al prestador que solicitó…» nombra un flujo de información en sentido contrario; «Remitir el resumen de la…» describe el envío de un documento, no del usuario.</t>
        </is>
      </c>
      <c r="N439" s="16" t="inlineStr">
        <is>
          <t>Decreto 780 de 2016</t>
        </is>
      </c>
      <c r="O439" s="16" t="inlineStr">
        <is>
          <t>NO</t>
        </is>
      </c>
      <c r="P439" s="16" t="inlineStr">
        <is>
          <t>Alta</t>
        </is>
      </c>
      <c r="Q439" s="16" t="inlineStr">
        <is>
          <t>v2</t>
        </is>
      </c>
      <c r="R439" s="16" t="inlineStr">
        <is>
          <t>Básico</t>
        </is>
      </c>
    </row>
    <row r="440" ht="15" customHeight="1" s="12">
      <c r="A440" s="16" t="inlineStr">
        <is>
          <t>F147-1</t>
        </is>
      </c>
      <c r="B440" s="16" t="inlineStr">
        <is>
          <t>comun</t>
        </is>
      </c>
      <c r="C440" s="16" t="inlineStr">
        <is>
          <t>Precisión jurídica del verbo</t>
        </is>
      </c>
      <c r="D440" s="16" t="inlineStr">
        <is>
          <t>C147</t>
        </is>
      </c>
      <c r="E440" s="16" t="inlineStr">
        <is>
          <t>Caso 045</t>
        </is>
      </c>
      <c r="F440" s="16" t="inlineStr">
        <is>
          <t>Un profesional del grupo debe usar el verbo exacto para tres obligaciones de información distintas, porque cada una tiene su propio destinatario y su propio plazo.</t>
        </is>
      </c>
      <c r="G440" s="16" t="inlineStr">
        <is>
          <t>Un caso probable de evento de interés en salud pública se debe:</t>
        </is>
      </c>
      <c r="H440" s="16" t="inlineStr">
        <is>
          <t>Reportarlo al programa de tecnovigilancia de la entidad</t>
        </is>
      </c>
      <c r="I440" s="16" t="inlineStr">
        <is>
          <t>Notificarlo al sistema de vigilancia en salud pública</t>
        </is>
      </c>
      <c r="J440" s="16" t="inlineStr">
        <is>
          <t>Comunicarlo a la entidad responsable de pago del usuario</t>
        </is>
      </c>
      <c r="K440" s="16" t="inlineStr">
        <is>
          <t>B</t>
        </is>
      </c>
      <c r="L440" s="16" t="inlineStr">
        <is>
          <t>Los eventos de interés en salud pública se notifican al Sivigila dentro de los términos del protocolo correspondiente.</t>
        </is>
      </c>
      <c r="M440" s="16" t="inlineStr">
        <is>
          <t>«Reportarlo al programa de tecnovigilancia…» corresponde a dispositivos médicos; «Comunicarlo a la entidad responsable…» describe una gestión administrativa que no sustituye la notificación obligatoria.</t>
        </is>
      </c>
      <c r="N440" s="16" t="inlineStr">
        <is>
          <t>Decreto 780 de 2016; protocolos del INS</t>
        </is>
      </c>
      <c r="O440" s="16" t="inlineStr">
        <is>
          <t>NO</t>
        </is>
      </c>
      <c r="P440" s="16" t="inlineStr">
        <is>
          <t>Alta</t>
        </is>
      </c>
      <c r="Q440" s="16" t="inlineStr">
        <is>
          <t>v2</t>
        </is>
      </c>
      <c r="R440" s="16" t="inlineStr">
        <is>
          <t>Básico</t>
        </is>
      </c>
    </row>
    <row r="441" ht="15" customHeight="1" s="12">
      <c r="A441" s="16" t="inlineStr">
        <is>
          <t>F147-2</t>
        </is>
      </c>
      <c r="B441" s="16" t="inlineStr">
        <is>
          <t>comun</t>
        </is>
      </c>
      <c r="C441" s="16" t="inlineStr">
        <is>
          <t>Precisión jurídica del verbo</t>
        </is>
      </c>
      <c r="D441" s="16" t="inlineStr">
        <is>
          <t>C147</t>
        </is>
      </c>
      <c r="E441" s="16" t="inlineStr">
        <is>
          <t>Caso 045</t>
        </is>
      </c>
      <c r="F441" s="16" t="inlineStr">
        <is>
          <t>Un profesional del grupo debe usar el verbo exacto para tres obligaciones de información distintas, porque cada una tiene su propio destinatario y su propio plazo.</t>
        </is>
      </c>
      <c r="G441" s="16" t="inlineStr">
        <is>
          <t>Un incidente adverso asociado a un dispositivo médico se debe:</t>
        </is>
      </c>
      <c r="H441" s="16" t="inlineStr">
        <is>
          <t>Notificarlo al sistema de vigilancia en salud pública</t>
        </is>
      </c>
      <c r="I441" s="16" t="inlineStr">
        <is>
          <t>Registrarlo solo en el expediente del usuario</t>
        </is>
      </c>
      <c r="J441" s="16" t="inlineStr">
        <is>
          <t>Publicarlo en la cartelera del área asistencial</t>
        </is>
      </c>
      <c r="K441" s="16" t="inlineStr">
        <is>
          <t>A</t>
        </is>
      </c>
      <c r="L441" s="16" t="inlineStr">
        <is>
          <t>El incidente adverso serio con un dispositivo médico se reporta al Programa Nacional de Tecnovigilancia dentro de las setenta y dos (72) horas. Resolución 4816 de 2008, artículos 13 y 15.</t>
        </is>
      </c>
      <c r="M441" s="16" t="inlineStr">
        <is>
          <t>«Notificarlo al sistema de vigilancia…» usa el canal de los eventos de salud pública; «Registrarlo únicamente en el expediente…» deja el hecho sin reporte al sistema de vigilancia sanitaria.</t>
        </is>
      </c>
      <c r="N441" s="16" t="inlineStr">
        <is>
          <t>Resolución 4816 de 2008, arts. 13 y 15</t>
        </is>
      </c>
      <c r="O441" s="16" t="inlineStr">
        <is>
          <t>SI</t>
        </is>
      </c>
      <c r="P441" s="16" t="inlineStr">
        <is>
          <t>Alta</t>
        </is>
      </c>
      <c r="Q441" s="16" t="inlineStr">
        <is>
          <t>v2</t>
        </is>
      </c>
      <c r="R441" s="16" t="inlineStr">
        <is>
          <t>Básico</t>
        </is>
      </c>
    </row>
    <row r="442" ht="15" customHeight="1" s="12">
      <c r="A442" s="16" t="inlineStr">
        <is>
          <t>F147-3</t>
        </is>
      </c>
      <c r="B442" s="16" t="inlineStr">
        <is>
          <t>comun</t>
        </is>
      </c>
      <c r="C442" s="16" t="inlineStr">
        <is>
          <t>Precisión jurídica del verbo</t>
        </is>
      </c>
      <c r="D442" s="16" t="inlineStr">
        <is>
          <t>C147</t>
        </is>
      </c>
      <c r="E442" s="16" t="inlineStr">
        <is>
          <t>Caso 045</t>
        </is>
      </c>
      <c r="F442" s="16" t="inlineStr">
        <is>
          <t>Un profesional del grupo debe usar el verbo exacto para tres obligaciones de información distintas, porque cada una tiene su propio destinatario y su propio plazo.</t>
        </is>
      </c>
      <c r="G442" s="16" t="inlineStr">
        <is>
          <t>El hallazgo clínico relevante para la continuidad del cuidado del usuario se debe:</t>
        </is>
      </c>
      <c r="H442" s="16" t="inlineStr">
        <is>
          <t>Notificarlo a la Superintendencia Nacional de Salud</t>
        </is>
      </c>
      <c r="I442" s="16" t="inlineStr">
        <is>
          <t>Publicarlo en la cartelera del servicio de hospitalización y archivar copia de la actuación</t>
        </is>
      </c>
      <c r="J442" s="16" t="inlineStr">
        <is>
          <t>Registrarlo en el expediente e informarlo al usuario</t>
        </is>
      </c>
      <c r="K442" s="16" t="inlineStr">
        <is>
          <t>C</t>
        </is>
      </c>
      <c r="L442" s="16" t="inlineStr">
        <is>
          <t>La información establecimiento se registra en el expediente y se informa al usuario y al equipo tratante.</t>
        </is>
      </c>
      <c r="M442" s="16" t="inlineStr">
        <is>
          <t>«Notificarlo a la Superintendencia Nacional…» activa un canal de inspección y vigilancia sin fundamento; «Publicarlo en la cartelera del…» vulnera la reserva de la información de salud.</t>
        </is>
      </c>
      <c r="N442" s="16" t="inlineStr">
        <is>
          <t>Resolución 1995 de 1999; Ley 1751 de 2015, art. 10</t>
        </is>
      </c>
      <c r="O442" s="16" t="inlineStr">
        <is>
          <t>NO</t>
        </is>
      </c>
      <c r="P442" s="16" t="inlineStr">
        <is>
          <t>Alta</t>
        </is>
      </c>
      <c r="Q442" s="16" t="inlineStr">
        <is>
          <t>v2</t>
        </is>
      </c>
      <c r="R442" s="16" t="inlineStr">
        <is>
          <t>Básico</t>
        </is>
      </c>
    </row>
    <row r="443" ht="15" customHeight="1" s="12">
      <c r="A443" s="16" t="inlineStr">
        <is>
          <t>F148-1</t>
        </is>
      </c>
      <c r="B443" s="16" t="inlineStr">
        <is>
          <t>comun</t>
        </is>
      </c>
      <c r="C443" s="16" t="inlineStr">
        <is>
          <t>Precisión jurídica del verbo</t>
        </is>
      </c>
      <c r="D443" s="16" t="inlineStr">
        <is>
          <t>C148</t>
        </is>
      </c>
      <c r="E443" s="16" t="inlineStr">
        <is>
          <t>Caso 046</t>
        </is>
      </c>
      <c r="F443" s="16" t="inlineStr">
        <is>
          <t>Al preparar la defensa de un proceso, el abogado debe distinguir entre caducidad y prescripción.</t>
        </is>
      </c>
      <c r="G443" s="16" t="inlineStr">
        <is>
          <t>El término de cuatro (4) meses para demandar la nulidad y el restablecimiento del derecho corresponde a:</t>
        </is>
      </c>
      <c r="H443" s="16" t="inlineStr">
        <is>
          <t>La prescripción de la acción</t>
        </is>
      </c>
      <c r="I443" s="16" t="inlineStr">
        <is>
          <t>La preclusión de la etapa</t>
        </is>
      </c>
      <c r="J443" s="16" t="inlineStr">
        <is>
          <t>La caducidad del medio de control</t>
        </is>
      </c>
      <c r="K443" s="16" t="inlineStr">
        <is>
          <t>C</t>
        </is>
      </c>
      <c r="L443" s="16" t="inlineStr">
        <is>
          <t>Cuatro (4) meses de caducidad para el medio de control de nulidad y restablecimiento del derecho. Ley 1437 de 2011, artículo 164, literal d.</t>
        </is>
      </c>
      <c r="M443" s="16" t="inlineStr">
        <is>
          <t>«La prescripción de la acción» usa una figura del derecho sustancial ajena al plazo para acudir a la jurisdicción; «La preclusión de la etapa» nombra el agotamiento de una etapa procesal.</t>
        </is>
      </c>
      <c r="N443" s="16" t="inlineStr">
        <is>
          <t>Ley 1437 de 2011, art. 164, lit. d</t>
        </is>
      </c>
      <c r="O443" s="16" t="inlineStr">
        <is>
          <t>SI</t>
        </is>
      </c>
      <c r="P443" s="16" t="inlineStr">
        <is>
          <t>Alta</t>
        </is>
      </c>
      <c r="Q443" s="16" t="inlineStr">
        <is>
          <t>v2</t>
        </is>
      </c>
      <c r="R443" s="16" t="inlineStr">
        <is>
          <t>Básico</t>
        </is>
      </c>
    </row>
    <row r="444" ht="15" customHeight="1" s="12">
      <c r="A444" s="16" t="inlineStr">
        <is>
          <t>F148-2</t>
        </is>
      </c>
      <c r="B444" s="16" t="inlineStr">
        <is>
          <t>comun</t>
        </is>
      </c>
      <c r="C444" s="16" t="inlineStr">
        <is>
          <t>Precisión jurídica del verbo</t>
        </is>
      </c>
      <c r="D444" s="16" t="inlineStr">
        <is>
          <t>C148</t>
        </is>
      </c>
      <c r="E444" s="16" t="inlineStr">
        <is>
          <t>Caso 046</t>
        </is>
      </c>
      <c r="F444" s="16" t="inlineStr">
        <is>
          <t>Al preparar la defensa de un proceso, el abogado debe distinguir entre caducidad y prescripción.</t>
        </is>
      </c>
      <c r="G444" s="16" t="inlineStr">
        <is>
          <t>Que la autoridad disciplinaria pierda la posibilidad de iniciar la actuación por el paso del tiempo desde la ocurrencia de la falta corresponde a:</t>
        </is>
      </c>
      <c r="H444" s="16" t="inlineStr">
        <is>
          <t>La prescripción de la sanción</t>
        </is>
      </c>
      <c r="I444" s="16" t="inlineStr">
        <is>
          <t>La caducidad de la acción disciplinaria</t>
        </is>
      </c>
      <c r="J444" s="16" t="inlineStr">
        <is>
          <t>La revocatoria del auto de apertura</t>
        </is>
      </c>
      <c r="K444" s="16" t="inlineStr">
        <is>
          <t>B</t>
        </is>
      </c>
      <c r="L444" s="16" t="inlineStr">
        <is>
          <t>La caducidad opera por el transcurso del término legal desde la ocurrencia de la falta sin que se haya iniciado la actuación.</t>
        </is>
      </c>
      <c r="M444" s="16" t="inlineStr">
        <is>
          <t>«La prescripción de la sanción» se refiere a la sanción ya impuesta y no ejecutada; «La revocatoria del auto de…» describe una decisión de la autoridad, no un efecto del tiempo.</t>
        </is>
      </c>
      <c r="N444" s="16" t="inlineStr">
        <is>
          <t>Ley 1952 de 2019, art. 33</t>
        </is>
      </c>
      <c r="O444" s="16" t="inlineStr">
        <is>
          <t>SI</t>
        </is>
      </c>
      <c r="P444" s="16" t="inlineStr">
        <is>
          <t>Alta</t>
        </is>
      </c>
      <c r="Q444" s="16" t="inlineStr">
        <is>
          <t>v2</t>
        </is>
      </c>
      <c r="R444" s="16" t="inlineStr">
        <is>
          <t>Básico</t>
        </is>
      </c>
    </row>
    <row r="445" ht="15" customHeight="1" s="12">
      <c r="A445" s="16" t="inlineStr">
        <is>
          <t>F148-3</t>
        </is>
      </c>
      <c r="B445" s="16" t="inlineStr">
        <is>
          <t>comun</t>
        </is>
      </c>
      <c r="C445" s="16" t="inlineStr">
        <is>
          <t>Precisión jurídica del verbo</t>
        </is>
      </c>
      <c r="D445" s="16" t="inlineStr">
        <is>
          <t>C148</t>
        </is>
      </c>
      <c r="E445" s="16" t="inlineStr">
        <is>
          <t>Caso 046</t>
        </is>
      </c>
      <c r="F445" s="16" t="inlineStr">
        <is>
          <t>Al preparar la defensa de un proceso, el abogado debe distinguir entre caducidad y prescripción.</t>
        </is>
      </c>
      <c r="G445" s="16" t="inlineStr">
        <is>
          <t>La extinción del poder sancionatorio respecto de una actuación ya iniciada, por el transcurso del término legal, corresponde a:</t>
        </is>
      </c>
      <c r="H445" s="16" t="inlineStr">
        <is>
          <t>La prescripción</t>
        </is>
      </c>
      <c r="I445" s="16" t="inlineStr">
        <is>
          <t>La caducidad</t>
        </is>
      </c>
      <c r="J445" s="16" t="inlineStr">
        <is>
          <t>El desistimiento</t>
        </is>
      </c>
      <c r="K445" s="16" t="inlineStr">
        <is>
          <t>A</t>
        </is>
      </c>
      <c r="L445" s="16" t="inlineStr">
        <is>
          <t>La prescripción extingue la acción ya iniciada por el transcurso del término previsto en la ley.</t>
        </is>
      </c>
      <c r="M445" s="16" t="inlineStr">
        <is>
          <t>«La caducidad» opera antes del inicio de la actuación; «El desistimiento» supone una manifestación de voluntad de la parte.</t>
        </is>
      </c>
      <c r="N445" s="16" t="inlineStr">
        <is>
          <t>Ley 1952 de 2019, art. 33</t>
        </is>
      </c>
      <c r="O445" s="16" t="inlineStr">
        <is>
          <t>SI</t>
        </is>
      </c>
      <c r="P445" s="16" t="inlineStr">
        <is>
          <t>Alta</t>
        </is>
      </c>
      <c r="Q445" s="16" t="inlineStr">
        <is>
          <t>v2</t>
        </is>
      </c>
      <c r="R445" s="16" t="inlineStr">
        <is>
          <t>Básico</t>
        </is>
      </c>
    </row>
    <row r="446" ht="15" customHeight="1" s="12">
      <c r="A446" s="16" t="inlineStr">
        <is>
          <t>F149-1</t>
        </is>
      </c>
      <c r="B446" s="16" t="inlineStr">
        <is>
          <t>comun</t>
        </is>
      </c>
      <c r="C446" s="16" t="inlineStr">
        <is>
          <t>Precisión jurídica del verbo</t>
        </is>
      </c>
      <c r="D446" s="16" t="inlineStr">
        <is>
          <t>C149</t>
        </is>
      </c>
      <c r="E446" s="16" t="inlineStr">
        <is>
          <t>Caso 047</t>
        </is>
      </c>
      <c r="F446" s="16" t="inlineStr">
        <is>
          <t>Al citar normas en un concepto jurídico, la asesora debe usar correctamente los verbos de la técnica normativa.</t>
        </is>
      </c>
      <c r="G446" s="16" t="inlineStr">
        <is>
          <t>El Congreso aprueba una ley y el Presidente la firma. El verbo que describe la actuación presidencial es:</t>
        </is>
      </c>
      <c r="H446" s="16" t="inlineStr">
        <is>
          <t>Sancionar la ley</t>
        </is>
      </c>
      <c r="I446" s="16" t="inlineStr">
        <is>
          <t>Expedir la ley</t>
        </is>
      </c>
      <c r="J446" s="16" t="inlineStr">
        <is>
          <t>Promulgar la ley</t>
        </is>
      </c>
      <c r="K446" s="16" t="inlineStr">
        <is>
          <t>A</t>
        </is>
      </c>
      <c r="L446" s="16" t="inlineStr">
        <is>
          <t>La sanción presidencial es el acto por el cual el Presidente aprueba y firma el proyecto de ley; la promulgación es su publicación oficial posterior.</t>
        </is>
      </c>
      <c r="M446" s="16" t="inlineStr">
        <is>
          <t>«Expedir la ley» corresponde al Congreso, que expide las leyes; «Promulgar la ley» nombra la publicación, que es un momento distinto y posterior.</t>
        </is>
      </c>
      <c r="N446" s="16" t="inlineStr">
        <is>
          <t>C.P. arts. 157 y 165</t>
        </is>
      </c>
      <c r="O446" s="16" t="inlineStr">
        <is>
          <t>SI</t>
        </is>
      </c>
      <c r="P446" s="16" t="inlineStr">
        <is>
          <t>Alta</t>
        </is>
      </c>
      <c r="Q446" s="16" t="inlineStr">
        <is>
          <t>v2</t>
        </is>
      </c>
      <c r="R446" s="16" t="inlineStr">
        <is>
          <t>Básico</t>
        </is>
      </c>
    </row>
    <row r="447" ht="15" customHeight="1" s="12">
      <c r="A447" s="16" t="inlineStr">
        <is>
          <t>F149-2</t>
        </is>
      </c>
      <c r="B447" s="16" t="inlineStr">
        <is>
          <t>comun</t>
        </is>
      </c>
      <c r="C447" s="16" t="inlineStr">
        <is>
          <t>Precisión jurídica del verbo</t>
        </is>
      </c>
      <c r="D447" s="16" t="inlineStr">
        <is>
          <t>C149</t>
        </is>
      </c>
      <c r="E447" s="16" t="inlineStr">
        <is>
          <t>Caso 047</t>
        </is>
      </c>
      <c r="F447" s="16" t="inlineStr">
        <is>
          <t>Al citar normas en un concepto jurídico, la asesora debe usar correctamente los verbos de la técnica normativa.</t>
        </is>
      </c>
      <c r="G447" s="16" t="inlineStr">
        <is>
          <t>La CNSC produce el acuerdo de convocatoria. El verbo correcto es:</t>
        </is>
      </c>
      <c r="H447" s="16" t="inlineStr">
        <is>
          <t>Promulgar el acuerdo</t>
        </is>
      </c>
      <c r="I447" s="16" t="inlineStr">
        <is>
          <t>Sancionar el acuerdo</t>
        </is>
      </c>
      <c r="J447" s="16" t="inlineStr">
        <is>
          <t>Expedir el acuerdo</t>
        </is>
      </c>
      <c r="K447" s="16" t="inlineStr">
        <is>
          <t>C</t>
        </is>
      </c>
      <c r="L447" s="16" t="inlineStr">
        <is>
          <t>Las autoridades administrativas expiden los actos administrativos que son de su competencia.</t>
        </is>
      </c>
      <c r="M447" s="16" t="inlineStr">
        <is>
          <t>«Promulgar el acuerdo» se reserva a la publicación oficial de las leyes; «Sancionar el acuerdo» describe una actuación presidencial en el trámite legislativo.</t>
        </is>
      </c>
      <c r="N447" s="16" t="inlineStr">
        <is>
          <t>Ley 909 de 2004, art. 11; Ley 1437 de 2011</t>
        </is>
      </c>
      <c r="O447" s="16" t="inlineStr">
        <is>
          <t>SI</t>
        </is>
      </c>
      <c r="P447" s="16" t="inlineStr">
        <is>
          <t>Alta</t>
        </is>
      </c>
      <c r="Q447" s="16" t="inlineStr">
        <is>
          <t>v2</t>
        </is>
      </c>
      <c r="R447" s="16" t="inlineStr">
        <is>
          <t>Básico</t>
        </is>
      </c>
    </row>
    <row r="448" ht="15" customHeight="1" s="12">
      <c r="A448" s="16" t="inlineStr">
        <is>
          <t>F149-3</t>
        </is>
      </c>
      <c r="B448" s="16" t="inlineStr">
        <is>
          <t>comun</t>
        </is>
      </c>
      <c r="C448" s="16" t="inlineStr">
        <is>
          <t>Precisión jurídica del verbo</t>
        </is>
      </c>
      <c r="D448" s="16" t="inlineStr">
        <is>
          <t>C149</t>
        </is>
      </c>
      <c r="E448" s="16" t="inlineStr">
        <is>
          <t>Caso 047</t>
        </is>
      </c>
      <c r="F448" s="16" t="inlineStr">
        <is>
          <t>Al citar normas en un concepto jurídico, la asesora debe usar correctamente los verbos de la técnica normativa.</t>
        </is>
      </c>
      <c r="G448" s="16" t="inlineStr">
        <is>
          <t>El juez produce la providencia que decide el caso. El verbo correcto es:</t>
        </is>
      </c>
      <c r="H448" s="16" t="inlineStr">
        <is>
          <t>Expedir la sentencia</t>
        </is>
      </c>
      <c r="I448" s="16" t="inlineStr">
        <is>
          <t>Proferir la sentencia</t>
        </is>
      </c>
      <c r="J448" s="16" t="inlineStr">
        <is>
          <t>Adoptar la sentencia</t>
        </is>
      </c>
      <c r="K448" s="16" t="inlineStr">
        <is>
          <t>B</t>
        </is>
      </c>
      <c r="L448" s="16" t="inlineStr">
        <is>
          <t>Proferir es dictar la providencia que decide el caso. Ley 1564 de 2012, artículos 278 y 279.</t>
        </is>
      </c>
      <c r="M448" s="16" t="inlineStr">
        <is>
          <t>«Expedir la sentencia» y «Adoptar la sentencia» usan verbos correctos en el ámbito administrativo pero impropios de la función judicial.</t>
        </is>
      </c>
      <c r="N448" s="16" t="inlineStr">
        <is>
          <t>Ley 1564 de 2012, arts. 278 y 279</t>
        </is>
      </c>
      <c r="O448" s="16" t="inlineStr">
        <is>
          <t>SI</t>
        </is>
      </c>
      <c r="P448" s="16" t="inlineStr">
        <is>
          <t>Alta</t>
        </is>
      </c>
      <c r="Q448" s="16" t="inlineStr">
        <is>
          <t>v2</t>
        </is>
      </c>
      <c r="R448" s="16" t="inlineStr">
        <is>
          <t>Básico</t>
        </is>
      </c>
    </row>
    <row r="449" ht="15" customHeight="1" s="12">
      <c r="A449" s="16" t="inlineStr">
        <is>
          <t>F150-1</t>
        </is>
      </c>
      <c r="B449" s="16" t="inlineStr">
        <is>
          <t>comun</t>
        </is>
      </c>
      <c r="C449" s="16" t="inlineStr">
        <is>
          <t>Precisión jurídica del verbo</t>
        </is>
      </c>
      <c r="D449" s="16" t="inlineStr">
        <is>
          <t>C150</t>
        </is>
      </c>
      <c r="E449" s="16" t="inlineStr">
        <is>
          <t>Caso 048</t>
        </is>
      </c>
      <c r="F449" s="16" t="inlineStr">
        <is>
          <t>Una resolución que servía de fundamento a un acto administrativo de la entidad fue declarada nula. El acto no ha sido ejecutado.</t>
        </is>
      </c>
      <c r="G449" s="16" t="inlineStr">
        <is>
          <t>El efecto sobre el acto administrativo de la entidad se denomina:</t>
        </is>
      </c>
      <c r="H449" s="16" t="inlineStr">
        <is>
          <t>Revocatoria directa por razones de mérito o conveniencia</t>
        </is>
      </c>
      <c r="I449" s="16" t="inlineStr">
        <is>
          <t>Nulidad de pleno derecho declarada por la administración</t>
        </is>
      </c>
      <c r="J449" s="16" t="inlineStr">
        <is>
          <t>Pérdida de fuerza ejecutoria por decaimiento del acto</t>
        </is>
      </c>
      <c r="K449" s="16" t="inlineStr">
        <is>
          <t>C</t>
        </is>
      </c>
      <c r="L449" s="16" t="inlineStr">
        <is>
          <t>El artículo 91 del CPACA prevé que el acto pierde fuerza ejecutoria, entre otras causales, cuando desaparecen sus fundamentos de hecho o de derecho.</t>
        </is>
      </c>
      <c r="M449" s="16" t="inlineStr">
        <is>
          <t>«Revocatoria directa por razones de…» exige una decisión de la propia administración que aquí no se ha producido; «Nulidad de pleno derecho declarada…» supone una declaración judicial sobre entidad acto, que no existe.</t>
        </is>
      </c>
      <c r="N449" s="16" t="inlineStr">
        <is>
          <t>Ley 1437 de 2011, art. 91</t>
        </is>
      </c>
      <c r="O449" s="16" t="inlineStr">
        <is>
          <t>SI</t>
        </is>
      </c>
      <c r="P449" s="16" t="inlineStr">
        <is>
          <t>Alta</t>
        </is>
      </c>
      <c r="Q449" s="16" t="inlineStr">
        <is>
          <t>v2</t>
        </is>
      </c>
      <c r="R449" s="16" t="inlineStr">
        <is>
          <t>Básico</t>
        </is>
      </c>
    </row>
    <row r="450" ht="15" customHeight="1" s="12">
      <c r="A450" s="16" t="inlineStr">
        <is>
          <t>F150-2</t>
        </is>
      </c>
      <c r="B450" s="16" t="inlineStr">
        <is>
          <t>comun</t>
        </is>
      </c>
      <c r="C450" s="16" t="inlineStr">
        <is>
          <t>Precisión jurídica del verbo</t>
        </is>
      </c>
      <c r="D450" s="16" t="inlineStr">
        <is>
          <t>C150</t>
        </is>
      </c>
      <c r="E450" s="16" t="inlineStr">
        <is>
          <t>Caso 048</t>
        </is>
      </c>
      <c r="F450" s="16" t="inlineStr">
        <is>
          <t>Una resolución que servía de fundamento a un acto administrativo de la entidad fue declarada nula. El acto no ha sido ejecutado.</t>
        </is>
      </c>
      <c r="G450" s="16" t="inlineStr">
        <is>
          <t>Si una resolución posterior de igual jerarquía deja sin efectos hacia el futuro a otra, el verbo correcto es:</t>
        </is>
      </c>
      <c r="H450" s="16" t="inlineStr">
        <is>
          <t>Anular</t>
        </is>
      </c>
      <c r="I450" s="16" t="inlineStr">
        <is>
          <t>Derogar</t>
        </is>
      </c>
      <c r="J450" s="16" t="inlineStr">
        <is>
          <t>Revocar</t>
        </is>
      </c>
      <c r="K450" s="16" t="inlineStr">
        <is>
          <t>B</t>
        </is>
      </c>
      <c r="L450" s="16" t="inlineStr">
        <is>
          <t>Derogar es dejar sin efecto una norma por otra posterior de igual o superior jerarquía. Ley 153 de 1887, artículos 71 y 72.</t>
        </is>
      </c>
      <c r="M450" s="16" t="inlineStr">
        <is>
          <t>«Anular» corresponde al juez y recae sobre la validez; «Revocar» se predica de actos administrativos, no de normas generales.</t>
        </is>
      </c>
      <c r="N450" s="16" t="inlineStr">
        <is>
          <t>Ley 153 de 1887, arts. 71 y 72</t>
        </is>
      </c>
      <c r="O450" s="16" t="inlineStr">
        <is>
          <t>SI</t>
        </is>
      </c>
      <c r="P450" s="16" t="inlineStr">
        <is>
          <t>Alta</t>
        </is>
      </c>
      <c r="Q450" s="16" t="inlineStr">
        <is>
          <t>v2</t>
        </is>
      </c>
      <c r="R450" s="16" t="inlineStr">
        <is>
          <t>Básico</t>
        </is>
      </c>
    </row>
    <row r="451" ht="15" customHeight="1" s="12">
      <c r="A451" s="16" t="inlineStr">
        <is>
          <t>F150-3</t>
        </is>
      </c>
      <c r="B451" s="16" t="inlineStr">
        <is>
          <t>comun</t>
        </is>
      </c>
      <c r="C451" s="16" t="inlineStr">
        <is>
          <t>Precisión jurídica del verbo</t>
        </is>
      </c>
      <c r="D451" s="16" t="inlineStr">
        <is>
          <t>C150</t>
        </is>
      </c>
      <c r="E451" s="16" t="inlineStr">
        <is>
          <t>Caso 048</t>
        </is>
      </c>
      <c r="F451" s="16" t="inlineStr">
        <is>
          <t>Una resolución que servía de fundamento a un acto administrativo de la entidad fue declarada nula. El acto no ha sido ejecutado.</t>
        </is>
      </c>
      <c r="G451" s="16" t="inlineStr">
        <is>
          <t>Cuando una norma nueva reemplaza íntegramente el texto de la anterior, el verbo preciso es:</t>
        </is>
      </c>
      <c r="H451" s="16" t="inlineStr">
        <is>
          <t>Subrogar</t>
        </is>
      </c>
      <c r="I451" s="16" t="inlineStr">
        <is>
          <t>Modificar</t>
        </is>
      </c>
      <c r="J451" s="16" t="inlineStr">
        <is>
          <t>Adicionar</t>
        </is>
      </c>
      <c r="K451" s="16" t="inlineStr">
        <is>
          <t>A</t>
        </is>
      </c>
      <c r="L451" s="16" t="inlineStr">
        <is>
          <t>Subrogar es reemplazar íntegramente el texto de la norma anterior. Ley 153 de 1887, artículos 71 y 72.</t>
        </is>
      </c>
      <c r="M451" s="16" t="inlineStr">
        <is>
          <t>«Modificar» implica cambiar solo una parte del texto; «Adicionar» implica agregar contenido sin sustituir el existente.</t>
        </is>
      </c>
      <c r="N451" s="16" t="inlineStr">
        <is>
          <t>Ley 153 de 1887, arts. 71 y 72</t>
        </is>
      </c>
      <c r="O451" s="16" t="inlineStr">
        <is>
          <t>SI</t>
        </is>
      </c>
      <c r="P451" s="16" t="inlineStr">
        <is>
          <t>Alta</t>
        </is>
      </c>
      <c r="Q451" s="16" t="inlineStr">
        <is>
          <t>v2</t>
        </is>
      </c>
      <c r="R451" s="16" t="inlineStr">
        <is>
          <t>Básico</t>
        </is>
      </c>
    </row>
    <row r="452" ht="15" customHeight="1" s="12">
      <c r="A452" s="16" t="inlineStr">
        <is>
          <t>F151-1</t>
        </is>
      </c>
      <c r="B452" s="16" t="inlineStr">
        <is>
          <t>comun</t>
        </is>
      </c>
      <c r="C452" s="16" t="inlineStr">
        <is>
          <t>Precisión jurídica del verbo</t>
        </is>
      </c>
      <c r="D452" s="16" t="inlineStr">
        <is>
          <t>C151</t>
        </is>
      </c>
      <c r="E452" s="16" t="inlineStr">
        <is>
          <t>Caso 049</t>
        </is>
      </c>
      <c r="F452" s="16" t="inlineStr">
        <is>
          <t>La secretaría del comité de gerencia técnica prepara los documentos de una sesión y los de una diligencia administrativa, y debe usar el verbo exacto en cada uno.</t>
        </is>
      </c>
      <c r="G452" s="16" t="inlineStr">
        <is>
          <t>Para reunir a los miembros del comité en sesión ordinaria, el verbo correcto es:</t>
        </is>
      </c>
      <c r="H452" s="16" t="inlineStr">
        <is>
          <t>Convocar a los miembros del comité</t>
        </is>
      </c>
      <c r="I452" s="16" t="inlineStr">
        <is>
          <t>Citar a los miembros de la junta</t>
        </is>
      </c>
      <c r="J452" s="16" t="inlineStr">
        <is>
          <t>Emplazar a los miembros de la junta</t>
        </is>
      </c>
      <c r="K452" s="16" t="inlineStr">
        <is>
          <t>A</t>
        </is>
      </c>
      <c r="L452" s="16" t="inlineStr">
        <is>
          <t>Convocar es llamar a sesionar a un cuerpo colegiado, según su reglamento. Ley 1437 de 2011, artículo 65; Decreto 2078 de 2012, artículos 26 a 28.</t>
        </is>
      </c>
      <c r="M452" s="16" t="inlineStr">
        <is>
          <t>«Citar a los miembros de…» se usa para llamar a una persona determinada a una diligencia concreta; «Emplazar a los miembros de…» es un llamado público a quien se desconoce o no comparece.</t>
        </is>
      </c>
      <c r="N452" s="16" t="inlineStr">
        <is>
          <t>Ley 1437 de 2011, art. 65; Decreto 2078 de 2012, arts. 26 a 28</t>
        </is>
      </c>
      <c r="O452" s="16" t="inlineStr">
        <is>
          <t>SI</t>
        </is>
      </c>
      <c r="P452" s="16" t="inlineStr">
        <is>
          <t>Alta</t>
        </is>
      </c>
      <c r="Q452" s="16" t="inlineStr">
        <is>
          <t>v2</t>
        </is>
      </c>
      <c r="R452" s="16" t="inlineStr">
        <is>
          <t>Básico</t>
        </is>
      </c>
    </row>
    <row r="453" ht="15" customHeight="1" s="12">
      <c r="A453" s="16" t="inlineStr">
        <is>
          <t>F151-2</t>
        </is>
      </c>
      <c r="B453" s="16" t="inlineStr">
        <is>
          <t>comun</t>
        </is>
      </c>
      <c r="C453" s="16" t="inlineStr">
        <is>
          <t>Precisión jurídica del verbo</t>
        </is>
      </c>
      <c r="D453" s="16" t="inlineStr">
        <is>
          <t>C151</t>
        </is>
      </c>
      <c r="E453" s="16" t="inlineStr">
        <is>
          <t>Caso 049</t>
        </is>
      </c>
      <c r="F453" s="16" t="inlineStr">
        <is>
          <t>La secretaría del comité de gerencia técnica prepara los documentos de una sesión y los de una diligencia administrativa, y debe usar el verbo exacto en cada uno.</t>
        </is>
      </c>
      <c r="G453" s="16" t="inlineStr">
        <is>
          <t>Para llamar a un servidor a rendir versión libre en una actuación disciplinaria, el verbo correcto es:</t>
        </is>
      </c>
      <c r="H453" s="16" t="inlineStr">
        <is>
          <t>Convocarlo mediante comunicación dirigida al servicio</t>
        </is>
      </c>
      <c r="I453" s="16" t="inlineStr">
        <is>
          <t>Emplazarlo mediante aviso publicado por la entidad</t>
        </is>
      </c>
      <c r="J453" s="16" t="inlineStr">
        <is>
          <t>Citarlo a la diligencia mediante comunicación personal</t>
        </is>
      </c>
      <c r="K453" s="16" t="inlineStr">
        <is>
          <t>C</t>
        </is>
      </c>
      <c r="L453" s="16" t="inlineStr">
        <is>
          <t>Citar es llamar a una persona a comparecer a una diligencia. Ley 1952 de 2019, artículo 220; Ley 1437 de 2011, artículo 68.</t>
        </is>
      </c>
      <c r="M453" s="16" t="inlineStr">
        <is>
          <t>«Convocarlo mediante comunicación dirigida al…» se usa para colegiados o convocatorias generales; «Emplazarlo mediante aviso publicado por…» procede cuando no se logra la comparecencia o se desconoce el paradero.</t>
        </is>
      </c>
      <c r="N453" s="16" t="inlineStr">
        <is>
          <t>Ley 1952 de 2019, art. 220; Ley 1437 de 2011, art. 68</t>
        </is>
      </c>
      <c r="O453" s="16" t="inlineStr">
        <is>
          <t>SI</t>
        </is>
      </c>
      <c r="P453" s="16" t="inlineStr">
        <is>
          <t>Alta</t>
        </is>
      </c>
      <c r="Q453" s="16" t="inlineStr">
        <is>
          <t>v2</t>
        </is>
      </c>
      <c r="R453" s="16" t="inlineStr">
        <is>
          <t>Básico</t>
        </is>
      </c>
    </row>
    <row r="454" ht="15" customHeight="1" s="12">
      <c r="A454" s="16" t="inlineStr">
        <is>
          <t>F151-3</t>
        </is>
      </c>
      <c r="B454" s="16" t="inlineStr">
        <is>
          <t>comun</t>
        </is>
      </c>
      <c r="C454" s="16" t="inlineStr">
        <is>
          <t>Precisión jurídica del verbo</t>
        </is>
      </c>
      <c r="D454" s="16" t="inlineStr">
        <is>
          <t>C151</t>
        </is>
      </c>
      <c r="E454" s="16" t="inlineStr">
        <is>
          <t>Caso 049</t>
        </is>
      </c>
      <c r="F454" s="16" t="inlineStr">
        <is>
          <t>La secretaría del comité de gerencia técnica prepara los documentos de una sesión y los de una diligencia administrativa, y debe usar el verbo exacto en cada uno.</t>
        </is>
      </c>
      <c r="G454" s="16" t="inlineStr">
        <is>
          <t>Para exigir a un peticionario que complete la información faltante de su solicitud, el verbo correcto es:</t>
        </is>
      </c>
      <c r="H454" s="16" t="inlineStr">
        <is>
          <t>Emplazarlo, con curador designado si no comparece</t>
        </is>
      </c>
      <c r="I454" s="16" t="inlineStr">
        <is>
          <t>Requerirlo, con desistimiento tácito si no responde</t>
        </is>
      </c>
      <c r="J454" s="16" t="inlineStr">
        <is>
          <t>Notificarlo, con términos que corren desde entidad acto</t>
        </is>
      </c>
      <c r="K454" s="16" t="inlineStr">
        <is>
          <t>B</t>
        </is>
      </c>
      <c r="L454" s="16" t="inlineStr">
        <is>
          <t>Requerir es exigir al peticionario que complete la información faltante. Ley 1755 de 2015, artículo 17.</t>
        </is>
      </c>
      <c r="M454" s="16" t="inlineStr">
        <is>
          <t>«Emplazarlo, con curador designado si…» es un llamado público impropio de este trámite; «Notificarlo, con términos que corren…» nombra el acto de dar a conocer una decisión, no de pedir información.</t>
        </is>
      </c>
      <c r="N454" s="16" t="inlineStr">
        <is>
          <t>Ley 1755 de 2015, art. 17</t>
        </is>
      </c>
      <c r="O454" s="16" t="inlineStr">
        <is>
          <t>SI</t>
        </is>
      </c>
      <c r="P454" s="16" t="inlineStr">
        <is>
          <t>Alta</t>
        </is>
      </c>
      <c r="Q454" s="16" t="inlineStr">
        <is>
          <t>v2</t>
        </is>
      </c>
      <c r="R454" s="16" t="inlineStr">
        <is>
          <t>Básico</t>
        </is>
      </c>
    </row>
    <row r="455" ht="15" customHeight="1" s="12">
      <c r="A455" s="16" t="inlineStr">
        <is>
          <t>F152-1</t>
        </is>
      </c>
      <c r="B455" s="16" t="inlineStr">
        <is>
          <t>comun</t>
        </is>
      </c>
      <c r="C455" s="16" t="inlineStr">
        <is>
          <t>Precisión jurídica del verbo</t>
        </is>
      </c>
      <c r="D455" s="16" t="inlineStr">
        <is>
          <t>C152</t>
        </is>
      </c>
      <c r="E455" s="16" t="inlineStr">
        <is>
          <t>Caso 050</t>
        </is>
      </c>
      <c r="F455" s="16" t="inlineStr">
        <is>
          <t>La entidad. tramita su programa de saneamiento fiscal y financiero y el equipo discute qué hace cada actor.</t>
        </is>
      </c>
      <c r="G455" s="16" t="inlineStr">
        <is>
          <t>La comité directivo de la entidad. frente al programa debe:</t>
        </is>
      </c>
      <c r="H455" s="16" t="inlineStr">
        <is>
          <t>Viabilizarlo</t>
        </is>
      </c>
      <c r="I455" s="16" t="inlineStr">
        <is>
          <t>Adoptarlo mediante acuerdo</t>
        </is>
      </c>
      <c r="J455" s="16" t="inlineStr">
        <is>
          <t>Autorizarlo con efectos vinculantes para el Ministerio</t>
        </is>
      </c>
      <c r="K455" s="16" t="inlineStr">
        <is>
          <t>B</t>
        </is>
      </c>
      <c r="L455" s="16" t="inlineStr">
        <is>
          <t>La comité directivo adopta el programa de saneamiento fiscal y financiero de la entidad.</t>
        </is>
      </c>
      <c r="M455" s="16" t="inlineStr">
        <is>
          <t>«Viabilizarlo» corresponde al Ministerio de Hacienda; «Autorizarlo con efectos vinculantes para…» atribuye a la junta un efecto sobre el nivel nacional que no tiene.</t>
        </is>
      </c>
      <c r="N455" s="16" t="inlineStr">
        <is>
          <t>Ley 1438 de 2011, art. 80; Ley 1608 de 2013</t>
        </is>
      </c>
      <c r="O455" s="16" t="inlineStr">
        <is>
          <t>NO</t>
        </is>
      </c>
      <c r="P455" s="16" t="inlineStr">
        <is>
          <t>Alta</t>
        </is>
      </c>
      <c r="Q455" s="16" t="inlineStr">
        <is>
          <t>v2</t>
        </is>
      </c>
      <c r="R455" s="16" t="inlineStr">
        <is>
          <t>Básico</t>
        </is>
      </c>
    </row>
    <row r="456" ht="15" customHeight="1" s="12">
      <c r="A456" s="16" t="inlineStr">
        <is>
          <t>F152-2</t>
        </is>
      </c>
      <c r="B456" s="16" t="inlineStr">
        <is>
          <t>comun</t>
        </is>
      </c>
      <c r="C456" s="16" t="inlineStr">
        <is>
          <t>Precisión jurídica del verbo</t>
        </is>
      </c>
      <c r="D456" s="16" t="inlineStr">
        <is>
          <t>C152</t>
        </is>
      </c>
      <c r="E456" s="16" t="inlineStr">
        <is>
          <t>Caso 050</t>
        </is>
      </c>
      <c r="F456" s="16" t="inlineStr">
        <is>
          <t>La entidad. tramita su programa de saneamiento fiscal y financiero y el equipo discute qué hace cada actor.</t>
        </is>
      </c>
      <c r="G456" s="16" t="inlineStr">
        <is>
          <t>El Ministerio de Hacienda y Crédito Público frente al mismo programa debe:</t>
        </is>
      </c>
      <c r="H456" s="16" t="inlineStr">
        <is>
          <t>Adoptarlo mediante acuerdo de su comité directivo y motivar la decisión por escrito</t>
        </is>
      </c>
      <c r="I456" s="16" t="inlineStr">
        <is>
          <t>Sancionarlo y ordenar su ejecución inmediata</t>
        </is>
      </c>
      <c r="J456" s="16" t="inlineStr">
        <is>
          <t>Viabilizarlo y seguir su cumplimiento en el tiempo</t>
        </is>
      </c>
      <c r="K456" s="16" t="inlineStr">
        <is>
          <t>C</t>
        </is>
      </c>
      <c r="L456" s="16" t="inlineStr">
        <is>
          <t>La viabilización del programa y el seguimiento a su cumplimiento corresponden al Ministerio de Hacienda y Crédito Público.</t>
        </is>
      </c>
      <c r="M456" s="16" t="inlineStr">
        <is>
          <t>«Adoptarlo mediante acuerdo de su…» corresponde a la comité directivo de la entidad.; «Sancionarlo y ordenar su ejecución…» usa un verbo del trámite legislativo o del régimen sancionatorio.</t>
        </is>
      </c>
      <c r="N456" s="16" t="inlineStr">
        <is>
          <t>Ley 1608 de 2013</t>
        </is>
      </c>
      <c r="O456" s="16" t="inlineStr">
        <is>
          <t>NO</t>
        </is>
      </c>
      <c r="P456" s="16" t="inlineStr">
        <is>
          <t>Alta</t>
        </is>
      </c>
      <c r="Q456" s="16" t="inlineStr">
        <is>
          <t>v2</t>
        </is>
      </c>
      <c r="R456" s="16" t="inlineStr">
        <is>
          <t>Básico</t>
        </is>
      </c>
    </row>
    <row r="457" ht="15" customHeight="1" s="12">
      <c r="A457" s="16" t="inlineStr">
        <is>
          <t>F152-3</t>
        </is>
      </c>
      <c r="B457" s="16" t="inlineStr">
        <is>
          <t>comun</t>
        </is>
      </c>
      <c r="C457" s="16" t="inlineStr">
        <is>
          <t>Precisión jurídica del verbo</t>
        </is>
      </c>
      <c r="D457" s="16" t="inlineStr">
        <is>
          <t>C152</t>
        </is>
      </c>
      <c r="E457" s="16" t="inlineStr">
        <is>
          <t>Caso 050</t>
        </is>
      </c>
      <c r="F457" s="16" t="inlineStr">
        <is>
          <t>La entidad. tramita su programa de saneamiento fiscal y financiero y el equipo discute qué hace cada actor.</t>
        </is>
      </c>
      <c r="G457" s="16" t="inlineStr">
        <is>
          <t>La Superintendencia Nacional de Salud, frente al incumplimiento del programa, puede:</t>
        </is>
      </c>
      <c r="H457" s="16" t="inlineStr">
        <is>
          <t>Adoptar las medidas especiales previstas en la ley</t>
        </is>
      </c>
      <c r="I457" s="16" t="inlineStr">
        <is>
          <t>Derogar el acuerdo que adoptó el programa de saneamiento</t>
        </is>
      </c>
      <c r="J457" s="16" t="inlineStr">
        <is>
          <t>Revocar la habilitación de los servicios de la entidad</t>
        </is>
      </c>
      <c r="K457" s="16" t="inlineStr">
        <is>
          <t>A</t>
        </is>
      </c>
      <c r="L457" s="16" t="inlineStr">
        <is>
          <t>Ante el incumplimiento, la Superintendencia puede adoptar las medidas especiales previstas en la normativa de inspección, vigilancia y control.</t>
        </is>
      </c>
      <c r="M457" s="16" t="inlineStr">
        <is>
          <t>«Derogar el acuerdo que adoptó…» usa un verbo normativo sobre un acto de otra entidad; «Revocar la habilitación de los…» confunde la habilitación, que depende de la entidad territorial y del cumplimiento de estándares.</t>
        </is>
      </c>
      <c r="N457" s="16" t="inlineStr">
        <is>
          <t>Ley 1438 de 2011; Decreto 780 de 2016</t>
        </is>
      </c>
      <c r="O457" s="16" t="inlineStr">
        <is>
          <t>NO</t>
        </is>
      </c>
      <c r="P457" s="16" t="inlineStr">
        <is>
          <t>Alta</t>
        </is>
      </c>
      <c r="Q457" s="16" t="inlineStr">
        <is>
          <t>v2</t>
        </is>
      </c>
      <c r="R457" s="16" t="inlineStr">
        <is>
          <t>Básico</t>
        </is>
      </c>
    </row>
    <row r="458" ht="15" customHeight="1" s="12">
      <c r="A458" s="16" t="inlineStr">
        <is>
          <t>F153-1</t>
        </is>
      </c>
      <c r="B458" s="16" t="inlineStr">
        <is>
          <t>comun</t>
        </is>
      </c>
      <c r="C458" s="16" t="inlineStr">
        <is>
          <t>Precisión jurídica del verbo</t>
        </is>
      </c>
      <c r="D458" s="16" t="inlineStr">
        <is>
          <t>C153</t>
        </is>
      </c>
      <c r="E458" s="16" t="inlineStr">
        <is>
          <t>Caso 051</t>
        </is>
      </c>
      <c r="F458" s="16" t="inlineStr">
        <is>
          <t>El director quiere que un subgerente firme determinados actos y, además, que un funcionario asuma temporalmente un empleo vacante.</t>
        </is>
      </c>
      <c r="G458" s="16" t="inlineStr">
        <is>
          <t>Para que el subgerente ejerza en nombre propio funciones del director, corresponde:</t>
        </is>
      </c>
      <c r="H458" s="16" t="inlineStr">
        <is>
          <t>Desconcentrar las funciones mediante norma de carácter general</t>
        </is>
      </c>
      <c r="I458" s="16" t="inlineStr">
        <is>
          <t>Delegar mediante acto que precise funciones y delegatario</t>
        </is>
      </c>
      <c r="J458" s="16" t="inlineStr">
        <is>
          <t>Encargar al subgerente mientras dure la ausencia del titular</t>
        </is>
      </c>
      <c r="K458" s="16" t="inlineStr">
        <is>
          <t>B</t>
        </is>
      </c>
      <c r="L458" s="16" t="inlineStr">
        <is>
          <t>La delegación transfiere el ejercicio de funciones a un servidor del nivel directivo mediante acto administrativo que precisa las funciones y el delegatario.</t>
        </is>
      </c>
      <c r="M458" s="16" t="inlineStr">
        <is>
          <t>«Desconcentrar las funciones mediante norma…» es un traslado de competencias por norma y no por decisión particular; «Encargar al subgerente mientras dure…» describe la provisión temporal de un empleo distinto.</t>
        </is>
      </c>
      <c r="N458" s="16" t="inlineStr">
        <is>
          <t>Ley 489 de 1998, art. 9</t>
        </is>
      </c>
      <c r="O458" s="16" t="inlineStr">
        <is>
          <t>SI</t>
        </is>
      </c>
      <c r="P458" s="16" t="inlineStr">
        <is>
          <t>Alta</t>
        </is>
      </c>
      <c r="Q458" s="16" t="inlineStr">
        <is>
          <t>v2</t>
        </is>
      </c>
      <c r="R458" s="16" t="inlineStr">
        <is>
          <t>Básico</t>
        </is>
      </c>
    </row>
    <row r="459" ht="15" customHeight="1" s="12">
      <c r="A459" s="16" t="inlineStr">
        <is>
          <t>F153-2</t>
        </is>
      </c>
      <c r="B459" s="16" t="inlineStr">
        <is>
          <t>comun</t>
        </is>
      </c>
      <c r="C459" s="16" t="inlineStr">
        <is>
          <t>Precisión jurídica del verbo</t>
        </is>
      </c>
      <c r="D459" s="16" t="inlineStr">
        <is>
          <t>C153</t>
        </is>
      </c>
      <c r="E459" s="16" t="inlineStr">
        <is>
          <t>Caso 051</t>
        </is>
      </c>
      <c r="F459" s="16" t="inlineStr">
        <is>
          <t>El director quiere que un subgerente firme determinados actos y, además, que un funcionario asuma temporalmente un empleo vacante.</t>
        </is>
      </c>
      <c r="G459" s="16" t="inlineStr">
        <is>
          <t>Para que un empleado de carrera asuma temporalmente las funciones de un empleo vacante de superior jerarquía, corresponde:</t>
        </is>
      </c>
      <c r="H459" s="16" t="inlineStr">
        <is>
          <t>Encargarlo del empleo conforme a la provisión transitoria</t>
        </is>
      </c>
      <c r="I459" s="16" t="inlineStr">
        <is>
          <t>Delegarle las funciones mediante acto administrativo motivado</t>
        </is>
      </c>
      <c r="J459" s="16" t="inlineStr">
        <is>
          <t>Comisionarlo para cumplir una misión especial del servicio</t>
        </is>
      </c>
      <c r="K459" s="16" t="inlineStr">
        <is>
          <t>A</t>
        </is>
      </c>
      <c r="L459" s="16" t="inlineStr">
        <is>
          <t>El encargo es una forma de provisión transitoria por la cual el empleado asume total o parcialmente las funciones de otro empleo vacante.</t>
        </is>
      </c>
      <c r="M459" s="16" t="inlineStr">
        <is>
          <t>«Delegarle las funciones mediante acto…» recae sobre funciones del delegante sin cambiar la situación administrativa; «Comisionarlo para cumplir una misión…» nombra otra situación administrativa con finalidad distinta.</t>
        </is>
      </c>
      <c r="N459" s="16" t="inlineStr">
        <is>
          <t>Ley 909 de 2004, art. 24</t>
        </is>
      </c>
      <c r="O459" s="16" t="inlineStr">
        <is>
          <t>SI</t>
        </is>
      </c>
      <c r="P459" s="16" t="inlineStr">
        <is>
          <t>Alta</t>
        </is>
      </c>
      <c r="Q459" s="16" t="inlineStr">
        <is>
          <t>v2</t>
        </is>
      </c>
      <c r="R459" s="16" t="inlineStr">
        <is>
          <t>Básico</t>
        </is>
      </c>
    </row>
    <row r="460" ht="15" customHeight="1" s="12">
      <c r="A460" s="16" t="inlineStr">
        <is>
          <t>F153-3</t>
        </is>
      </c>
      <c r="B460" s="16" t="inlineStr">
        <is>
          <t>comun</t>
        </is>
      </c>
      <c r="C460" s="16" t="inlineStr">
        <is>
          <t>Precisión jurídica del verbo</t>
        </is>
      </c>
      <c r="D460" s="16" t="inlineStr">
        <is>
          <t>C153</t>
        </is>
      </c>
      <c r="E460" s="16" t="inlineStr">
        <is>
          <t>Caso 051</t>
        </is>
      </c>
      <c r="F460" s="16" t="inlineStr">
        <is>
          <t>El director quiere que un subgerente firme determinados actos y, además, que un funcionario asuma temporalmente un empleo vacante.</t>
        </is>
      </c>
      <c r="G460" s="16" t="inlineStr">
        <is>
          <t>Frente a la responsabilidad, la delegación implica que:</t>
        </is>
      </c>
      <c r="H460" s="16" t="inlineStr">
        <is>
          <t>El delegante queda exonerado de toda responsabilidad</t>
        </is>
      </c>
      <c r="I460" s="16" t="inlineStr">
        <is>
          <t>Ambos responden de manera solidaria en todos los casos y dejar el soporte en el expediente</t>
        </is>
      </c>
      <c r="J460" s="16" t="inlineStr">
        <is>
          <t>El delegatario responde y el delegante mantiene su dirección</t>
        </is>
      </c>
      <c r="K460" s="16" t="inlineStr">
        <is>
          <t>C</t>
        </is>
      </c>
      <c r="L460" s="16" t="inlineStr">
        <is>
          <t>La delegación traslada la responsabilidad por las decisiones al delegatario, conservando el delegante sus deberes de dirección, orientación, instrucción y seguimiento.</t>
        </is>
      </c>
      <c r="M460" s="16" t="inlineStr">
        <is>
          <t>«El delegante queda exonerado de…» desconoce los deberes que conserva el delegante; «Ambos responden de manera solidaria…» generaliza una solidaridad que la ley no establece de manera automática.</t>
        </is>
      </c>
      <c r="N460" s="16" t="inlineStr">
        <is>
          <t>Ley 489 de 1998, arts. 10 y 12</t>
        </is>
      </c>
      <c r="O460" s="16" t="inlineStr">
        <is>
          <t>SI</t>
        </is>
      </c>
      <c r="P460" s="16" t="inlineStr">
        <is>
          <t>Alta</t>
        </is>
      </c>
      <c r="Q460" s="16" t="inlineStr">
        <is>
          <t>v2</t>
        </is>
      </c>
      <c r="R460" s="16" t="inlineStr">
        <is>
          <t>Básico</t>
        </is>
      </c>
    </row>
    <row r="461" ht="15" customHeight="1" s="12">
      <c r="A461" s="16" t="inlineStr">
        <is>
          <t>F154-1</t>
        </is>
      </c>
      <c r="B461" s="16" t="inlineStr">
        <is>
          <t>comun</t>
        </is>
      </c>
      <c r="C461" s="16" t="inlineStr">
        <is>
          <t>Precisión jurídica del verbo</t>
        </is>
      </c>
      <c r="D461" s="16" t="inlineStr">
        <is>
          <t>C154</t>
        </is>
      </c>
      <c r="E461" s="16" t="inlineStr">
        <is>
          <t>Caso 052</t>
        </is>
      </c>
      <c r="F461" s="16" t="inlineStr">
        <is>
          <t>Un auditor sanitario visita la entidad y debe describir correctamente las medidas que puede adoptar la autoridad.</t>
        </is>
      </c>
      <c r="G461" s="16" t="inlineStr">
        <is>
          <t>La medida que impide temporalmente la prestación de un servicio por riesgo sanitario se denomina:</t>
        </is>
      </c>
      <c r="H461" s="16" t="inlineStr">
        <is>
          <t>Suspender total o parcialmente los trabajos o servicios</t>
        </is>
      </c>
      <c r="I461" s="16" t="inlineStr">
        <is>
          <t>Cancelar la inscripción del prestador en el registro</t>
        </is>
      </c>
      <c r="J461" s="16" t="inlineStr">
        <is>
          <t>Revocar la acreditación otorgada al prestador de salud</t>
        </is>
      </c>
      <c r="K461" s="16" t="inlineStr">
        <is>
          <t>A</t>
        </is>
      </c>
      <c r="L461" s="16" t="inlineStr">
        <is>
          <t>Entre las medidas sanitarias de seguridad está la suspensión total o parcial de trabajos o servicios, de aplicación inmediata y carácter transitorio.</t>
        </is>
      </c>
      <c r="M461" s="16" t="inlineStr">
        <is>
          <t>«Cancelar la inscripción del prestador…» y «Revocar la acreditación otorgada al…» describen decisiones definitivas sobre el registro o sobre un reconocimiento voluntario, no una medida preventiva inmediata.</t>
        </is>
      </c>
      <c r="N461" s="16" t="inlineStr">
        <is>
          <t>Ley 9 de 1979, art. 576</t>
        </is>
      </c>
      <c r="O461" s="16" t="inlineStr">
        <is>
          <t>SI</t>
        </is>
      </c>
      <c r="P461" s="16" t="inlineStr">
        <is>
          <t>Alta</t>
        </is>
      </c>
      <c r="Q461" s="16" t="inlineStr">
        <is>
          <t>v2</t>
        </is>
      </c>
      <c r="R461" s="16" t="inlineStr">
        <is>
          <t>Básico</t>
        </is>
      </c>
    </row>
    <row r="462" ht="15" customHeight="1" s="12">
      <c r="A462" s="16" t="inlineStr">
        <is>
          <t>F154-2</t>
        </is>
      </c>
      <c r="B462" s="16" t="inlineStr">
        <is>
          <t>comun</t>
        </is>
      </c>
      <c r="C462" s="16" t="inlineStr">
        <is>
          <t>Precisión jurídica del verbo</t>
        </is>
      </c>
      <c r="D462" s="16" t="inlineStr">
        <is>
          <t>C154</t>
        </is>
      </c>
      <c r="E462" s="16" t="inlineStr">
        <is>
          <t>Caso 052</t>
        </is>
      </c>
      <c r="F462" s="16" t="inlineStr">
        <is>
          <t>Un auditor sanitario visita la entidad y debe describir correctamente las medidas que puede adoptar la autoridad.</t>
        </is>
      </c>
      <c r="G462" s="16" t="inlineStr">
        <is>
          <t>La medida sanitaria de seguridad tiene por naturaleza ser:</t>
        </is>
      </c>
      <c r="H462" s="16" t="inlineStr">
        <is>
          <t>Sancionatoria y definitiva, con recurso ante el superior</t>
        </is>
      </c>
      <c r="I462" s="16" t="inlineStr">
        <is>
          <t>Judicial, por requerir autorización previa de un juez y citar la norma que la respalda</t>
        </is>
      </c>
      <c r="J462" s="16" t="inlineStr">
        <is>
          <t>Preventiva, de ejecución inmediata y carácter transitorio</t>
        </is>
      </c>
      <c r="K462" s="16" t="inlineStr">
        <is>
          <t>C</t>
        </is>
      </c>
      <c r="L462" s="16" t="inlineStr">
        <is>
          <t>Las medidas sanitarias de seguridad son preventivas, de ejecución inmediata, transitorias y se aplican sin perjuicio de las sanciones a que haya lugar.</t>
        </is>
      </c>
      <c r="M462" s="16" t="inlineStr">
        <is>
          <t>«Sancionatoria y definitiva, con recurso…» las confunde con la sanción que puede imponerse tras el procedimiento; «Judicial, por requerir autorización previa…» las atribuye a un órgano que no las adopta.</t>
        </is>
      </c>
      <c r="N462" s="16" t="inlineStr">
        <is>
          <t>Ley 9 de 1979, art. 576</t>
        </is>
      </c>
      <c r="O462" s="16" t="inlineStr">
        <is>
          <t>SI</t>
        </is>
      </c>
      <c r="P462" s="16" t="inlineStr">
        <is>
          <t>Alta</t>
        </is>
      </c>
      <c r="Q462" s="16" t="inlineStr">
        <is>
          <t>v2</t>
        </is>
      </c>
      <c r="R462" s="16" t="inlineStr">
        <is>
          <t>Básico</t>
        </is>
      </c>
    </row>
    <row r="463" ht="15" customHeight="1" s="12">
      <c r="A463" s="16" t="inlineStr">
        <is>
          <t>F154-3</t>
        </is>
      </c>
      <c r="B463" s="16" t="inlineStr">
        <is>
          <t>comun</t>
        </is>
      </c>
      <c r="C463" s="16" t="inlineStr">
        <is>
          <t>Precisión jurídica del verbo</t>
        </is>
      </c>
      <c r="D463" s="16" t="inlineStr">
        <is>
          <t>C154</t>
        </is>
      </c>
      <c r="E463" s="16" t="inlineStr">
        <is>
          <t>Caso 052</t>
        </is>
      </c>
      <c r="F463" s="16" t="inlineStr">
        <is>
          <t>Un auditor sanitario visita la entidad y debe describir correctamente las medidas que puede adoptar la autoridad.</t>
        </is>
      </c>
      <c r="G463" s="16" t="inlineStr">
        <is>
          <t>Terminado el procedimiento administrativo sancionatorio, la autoridad puede:</t>
        </is>
      </c>
      <c r="H463" s="16" t="inlineStr">
        <is>
          <t>Adoptar una medida sanitaria de seguridad, previa acta motivada</t>
        </is>
      </c>
      <c r="I463" s="16" t="inlineStr">
        <is>
          <t>Imponer la sanción mediante acto motivado</t>
        </is>
      </c>
      <c r="J463" s="16" t="inlineStr">
        <is>
          <t>Suspender el procedimiento</t>
        </is>
      </c>
      <c r="K463" s="16" t="inlineStr">
        <is>
          <t>B</t>
        </is>
      </c>
      <c r="L463" s="16" t="inlineStr">
        <is>
          <t>La sanción se impone mediante acto administrativo motivado al término del procedimiento sancionatorio.</t>
        </is>
      </c>
      <c r="M463" s="16" t="inlineStr">
        <is>
          <t>«Adoptar una medida sanitaria de…» usa como sanción una medida preventiva; «Suspender el procedimiento» describe una decisión procesal, no el resultado del procedimiento.</t>
        </is>
      </c>
      <c r="N463" s="16" t="inlineStr">
        <is>
          <t>Ley 1437 de 2011, arts. 47 a 50</t>
        </is>
      </c>
      <c r="O463" s="16" t="inlineStr">
        <is>
          <t>SI</t>
        </is>
      </c>
      <c r="P463" s="16" t="inlineStr">
        <is>
          <t>Alta</t>
        </is>
      </c>
      <c r="Q463" s="16" t="inlineStr">
        <is>
          <t>v2</t>
        </is>
      </c>
      <c r="R463" s="16" t="inlineStr">
        <is>
          <t>Básico</t>
        </is>
      </c>
    </row>
    <row r="464" ht="15" customHeight="1" s="12">
      <c r="A464" s="16" t="inlineStr">
        <is>
          <t>F155-1</t>
        </is>
      </c>
      <c r="B464" s="16" t="inlineStr">
        <is>
          <t>comun</t>
        </is>
      </c>
      <c r="C464" s="16" t="inlineStr">
        <is>
          <t>Precisión jurídica del verbo</t>
        </is>
      </c>
      <c r="D464" s="16" t="inlineStr">
        <is>
          <t>C155</t>
        </is>
      </c>
      <c r="E464" s="16" t="inlineStr">
        <is>
          <t>Caso 112</t>
        </is>
      </c>
      <c r="F464" s="16" t="inlineStr">
        <is>
          <t>En una minuta se usan indistintamente los verbos de la ejecución del acto.</t>
        </is>
      </c>
      <c r="G464" s="16" t="inlineStr">
        <is>
          <t>Cuando la administración lleva a la práctica su propia decisión ejecutoriada, el verbo es:</t>
        </is>
      </c>
      <c r="H464" s="16" t="inlineStr">
        <is>
          <t>Ejecutoriar el acto</t>
        </is>
      </c>
      <c r="I464" s="16" t="inlineStr">
        <is>
          <t>Ejecutarse de plano</t>
        </is>
      </c>
      <c r="J464" s="16" t="inlineStr">
        <is>
          <t>Ejecutar el acto</t>
        </is>
      </c>
      <c r="K464" s="16" t="inlineStr">
        <is>
          <t>C</t>
        </is>
      </c>
      <c r="L464" s="16" t="inlineStr">
        <is>
          <t>La administración ejecuta el acto en firme; la ejecutoria es la condición que lo habilita.</t>
        </is>
      </c>
      <c r="M464" s="16" t="inlineStr">
        <is>
          <t>«Ejecutoriar el acto» nombra la condición, no la acción; «Ejecutarse de plano» no describe la actuación.</t>
        </is>
      </c>
      <c r="N464" s="16" t="inlineStr">
        <is>
          <t>Ley 1437 de 2011, art. 89</t>
        </is>
      </c>
      <c r="O464" s="16" t="inlineStr">
        <is>
          <t>SI</t>
        </is>
      </c>
      <c r="P464" s="16" t="inlineStr">
        <is>
          <t>Alta</t>
        </is>
      </c>
      <c r="Q464" s="16" t="inlineStr">
        <is>
          <t>v2</t>
        </is>
      </c>
      <c r="R464" s="16" t="inlineStr">
        <is>
          <t>Básico</t>
        </is>
      </c>
    </row>
    <row r="465" ht="15" customHeight="1" s="12">
      <c r="A465" s="16" t="inlineStr">
        <is>
          <t>F155-2</t>
        </is>
      </c>
      <c r="B465" s="16" t="inlineStr">
        <is>
          <t>comun</t>
        </is>
      </c>
      <c r="C465" s="16" t="inlineStr">
        <is>
          <t>Precisión jurídica del verbo</t>
        </is>
      </c>
      <c r="D465" s="16" t="inlineStr">
        <is>
          <t>C155</t>
        </is>
      </c>
      <c r="E465" s="16" t="inlineStr">
        <is>
          <t>Caso 112</t>
        </is>
      </c>
      <c r="F465" s="16" t="inlineStr">
        <is>
          <t>En una minuta se usan indistintamente los verbos de la ejecución del acto.</t>
        </is>
      </c>
      <c r="G465" s="16" t="inlineStr">
        <is>
          <t>El acto que se cumple sin intervención judicial se apoya en:</t>
        </is>
      </c>
      <c r="H465" s="16" t="inlineStr">
        <is>
          <t>El privilegio de ejecución oficiosa de la administración</t>
        </is>
      </c>
      <c r="I465" s="16" t="inlineStr">
        <is>
          <t>La orden previa del juez de lo contencioso administrativo</t>
        </is>
      </c>
      <c r="J465" s="16" t="inlineStr">
        <is>
          <t>El consentimiento expreso del particular destinatario</t>
        </is>
      </c>
      <c r="K465" s="16" t="inlineStr">
        <is>
          <t>A</t>
        </is>
      </c>
      <c r="L465" s="16" t="inlineStr">
        <is>
          <t>La administración tiene el privilegio de ejecutar sus propios actos en firme.</t>
        </is>
      </c>
      <c r="M465" s="16" t="inlineStr">
        <is>
          <t>«La orden previa del juez…» y «El consentimiento expreso del particular…» suponen una intervención que la ley no exige.</t>
        </is>
      </c>
      <c r="N465" s="16" t="inlineStr">
        <is>
          <t>Ley 1437 de 2011, art. 89</t>
        </is>
      </c>
      <c r="O465" s="16" t="inlineStr">
        <is>
          <t>SI</t>
        </is>
      </c>
      <c r="P465" s="16" t="inlineStr">
        <is>
          <t>Alta</t>
        </is>
      </c>
      <c r="Q465" s="16" t="inlineStr">
        <is>
          <t>v2</t>
        </is>
      </c>
      <c r="R465" s="16" t="inlineStr">
        <is>
          <t>Básico</t>
        </is>
      </c>
    </row>
    <row r="466" ht="15" customHeight="1" s="12">
      <c r="A466" s="16" t="inlineStr">
        <is>
          <t>F155-3</t>
        </is>
      </c>
      <c r="B466" s="16" t="inlineStr">
        <is>
          <t>comun</t>
        </is>
      </c>
      <c r="C466" s="16" t="inlineStr">
        <is>
          <t>Precisión jurídica del verbo</t>
        </is>
      </c>
      <c r="D466" s="16" t="inlineStr">
        <is>
          <t>C155</t>
        </is>
      </c>
      <c r="E466" s="16" t="inlineStr">
        <is>
          <t>Caso 112</t>
        </is>
      </c>
      <c r="F466" s="16" t="inlineStr">
        <is>
          <t>En una minuta se usan indistintamente los verbos de la ejecución del acto.</t>
        </is>
      </c>
      <c r="G466" s="16" t="inlineStr">
        <is>
          <t>Suspender la ejecución de un acto por decisión judicial se denomina:</t>
        </is>
      </c>
      <c r="H466" s="16" t="inlineStr">
        <is>
          <t>Revocatoria directa de los efectos del acto</t>
        </is>
      </c>
      <c r="I466" s="16" t="inlineStr">
        <is>
          <t>Suspensión provisional de los efectos del acto</t>
        </is>
      </c>
      <c r="J466" s="16" t="inlineStr">
        <is>
          <t>Derogatoria parcial de los efectos del acto</t>
        </is>
      </c>
      <c r="K466" s="16" t="inlineStr">
        <is>
          <t>B</t>
        </is>
      </c>
      <c r="L466" s="16" t="inlineStr">
        <is>
          <t>La suspensión provisional es una medida cautelar del juez sobre los efectos del acto.</t>
        </is>
      </c>
      <c r="M466" s="16" t="inlineStr">
        <is>
          <t>«Revocatoria directa de los efectos…» es potestad administrativa y «Derogatoria parcial de los efectos…» opera sobre normas.</t>
        </is>
      </c>
      <c r="N466" s="16" t="inlineStr">
        <is>
          <t>Ley 1437 de 2011, art. 231</t>
        </is>
      </c>
      <c r="O466" s="16" t="inlineStr">
        <is>
          <t>SI</t>
        </is>
      </c>
      <c r="P466" s="16" t="inlineStr">
        <is>
          <t>Alta</t>
        </is>
      </c>
      <c r="Q466" s="16" t="inlineStr">
        <is>
          <t>v2</t>
        </is>
      </c>
      <c r="R466" s="16" t="inlineStr">
        <is>
          <t>Básico</t>
        </is>
      </c>
    </row>
    <row r="467" ht="15" customHeight="1" s="12">
      <c r="A467" s="16" t="inlineStr">
        <is>
          <t>F156-1</t>
        </is>
      </c>
      <c r="B467" s="16" t="inlineStr">
        <is>
          <t>comun</t>
        </is>
      </c>
      <c r="C467" s="16" t="inlineStr">
        <is>
          <t>Precisión jurídica del verbo</t>
        </is>
      </c>
      <c r="D467" s="16" t="inlineStr">
        <is>
          <t>C156</t>
        </is>
      </c>
      <c r="E467" s="16" t="inlineStr">
        <is>
          <t>Caso 113</t>
        </is>
      </c>
      <c r="F467" s="16" t="inlineStr">
        <is>
          <t>El comité de gerencia técnica redacta el acta de su sesión y discute cómo nombrar cada una de sus decisiones.</t>
        </is>
      </c>
      <c r="G467" s="16" t="inlineStr">
        <is>
          <t>Cuando el comité aprueba un documento que orienta su gestión interna, el verbo es:</t>
        </is>
      </c>
      <c r="H467" s="16" t="inlineStr">
        <is>
          <t>Adoptar</t>
        </is>
      </c>
      <c r="I467" s="16" t="inlineStr">
        <is>
          <t>Expedir</t>
        </is>
      </c>
      <c r="J467" s="16" t="inlineStr">
        <is>
          <t>Promulgar</t>
        </is>
      </c>
      <c r="K467" s="16" t="inlineStr">
        <is>
          <t>A</t>
        </is>
      </c>
      <c r="L467" s="16" t="inlineStr">
        <is>
          <t>Adoptar es hacer propio un documento que orienta la gestión interna. Decreto 1499 de 2017, artículo 2.2.22.3.8; Ley 1437 de 2011, artículo 65.</t>
        </is>
      </c>
      <c r="M467" s="16" t="inlineStr">
        <is>
          <t>«Expedir» se usa para actos administrativos y «Promulgar» para la publicación de leyes.</t>
        </is>
      </c>
      <c r="N467" s="16" t="inlineStr">
        <is>
          <t>Decreto 1499 de 2017, art. 2.2.22.3.8; Ley 1437 de 2011, art. 65</t>
        </is>
      </c>
      <c r="O467" s="16" t="inlineStr">
        <is>
          <t>SI</t>
        </is>
      </c>
      <c r="P467" s="16" t="inlineStr">
        <is>
          <t>Alta</t>
        </is>
      </c>
      <c r="Q467" s="16" t="inlineStr">
        <is>
          <t>v2</t>
        </is>
      </c>
      <c r="R467" s="16" t="inlineStr">
        <is>
          <t>Básico</t>
        </is>
      </c>
    </row>
    <row r="468" ht="15" customHeight="1" s="12">
      <c r="A468" s="16" t="inlineStr">
        <is>
          <t>F156-2</t>
        </is>
      </c>
      <c r="B468" s="16" t="inlineStr">
        <is>
          <t>comun</t>
        </is>
      </c>
      <c r="C468" s="16" t="inlineStr">
        <is>
          <t>Precisión jurídica del verbo</t>
        </is>
      </c>
      <c r="D468" s="16" t="inlineStr">
        <is>
          <t>C156</t>
        </is>
      </c>
      <c r="E468" s="16" t="inlineStr">
        <is>
          <t>Caso 113</t>
        </is>
      </c>
      <c r="F468" s="16" t="inlineStr">
        <is>
          <t>El comité de gerencia técnica redacta el acta de su sesión y discute cómo nombrar cada una de sus decisiones.</t>
        </is>
      </c>
      <c r="G468" s="16" t="inlineStr">
        <is>
          <t>Cuando el comité produce una decisión que adopta mediante acto administrativo, el verbo correcto es:</t>
        </is>
      </c>
      <c r="H468" s="16" t="inlineStr">
        <is>
          <t>Sancionar el acuerdo</t>
        </is>
      </c>
      <c r="I468" s="16" t="inlineStr">
        <is>
          <t>Proferir el acuerdo</t>
        </is>
      </c>
      <c r="J468" s="16" t="inlineStr">
        <is>
          <t>Expedir el acto administrativo</t>
        </is>
      </c>
      <c r="K468" s="16" t="inlineStr">
        <is>
          <t>C</t>
        </is>
      </c>
      <c r="L468" s="16" t="inlineStr">
        <is>
          <t>Expedir es producir el acto administrativo que contiene la decisión. Ley 1437 de 2011, artículos 65 y 69.</t>
        </is>
      </c>
      <c r="M468" s="16" t="inlineStr">
        <is>
          <t>«Sancionar el acuerdo» corresponde al trámite de las leyes y «Proferir el acuerdo» a las decisiones judiciales.</t>
        </is>
      </c>
      <c r="N468" s="16" t="inlineStr">
        <is>
          <t>Ley 1437 de 2011, arts. 65 y 69</t>
        </is>
      </c>
      <c r="O468" s="16" t="inlineStr">
        <is>
          <t>SI</t>
        </is>
      </c>
      <c r="P468" s="16" t="inlineStr">
        <is>
          <t>Alta</t>
        </is>
      </c>
      <c r="Q468" s="16" t="inlineStr">
        <is>
          <t>v2</t>
        </is>
      </c>
      <c r="R468" s="16" t="inlineStr">
        <is>
          <t>Básico</t>
        </is>
      </c>
    </row>
    <row r="469" ht="15" customHeight="1" s="12">
      <c r="A469" s="16" t="inlineStr">
        <is>
          <t>F156-3</t>
        </is>
      </c>
      <c r="B469" s="16" t="inlineStr">
        <is>
          <t>comun</t>
        </is>
      </c>
      <c r="C469" s="16" t="inlineStr">
        <is>
          <t>Precisión jurídica del verbo</t>
        </is>
      </c>
      <c r="D469" s="16" t="inlineStr">
        <is>
          <t>C156</t>
        </is>
      </c>
      <c r="E469" s="16" t="inlineStr">
        <is>
          <t>Caso 113</t>
        </is>
      </c>
      <c r="F469" s="16" t="inlineStr">
        <is>
          <t>El comité de gerencia técnica redacta el acta de su sesión y discute cómo nombrar cada una de sus decisiones.</t>
        </is>
      </c>
      <c r="G469" s="16" t="inlineStr">
        <is>
          <t>Cuando se deja constancia de lo ocurrido en la sesión, el verbo es:</t>
        </is>
      </c>
      <c r="H469" s="16" t="inlineStr">
        <is>
          <t>Certificar la sesión</t>
        </is>
      </c>
      <c r="I469" s="16" t="inlineStr">
        <is>
          <t>Consignar en el acta</t>
        </is>
      </c>
      <c r="J469" s="16" t="inlineStr">
        <is>
          <t>Protocolizar la sesión</t>
        </is>
      </c>
      <c r="K469" s="16" t="inlineStr">
        <is>
          <t>B</t>
        </is>
      </c>
      <c r="L469" s="16" t="inlineStr">
        <is>
          <t>Consignar es dejar constancia escrita de lo ocurrido en la sesión. Ley 1437 de 2011, artículo 65; Ley 594 de 2000, artículo 11.</t>
        </is>
      </c>
      <c r="M469" s="16" t="inlineStr">
        <is>
          <t>«Certificar la sesión» supone dar fe de un hecho y «Protocolizar la sesión» elevar a escritura pública.</t>
        </is>
      </c>
      <c r="N469" s="16" t="inlineStr">
        <is>
          <t>Ley 1437 de 2011, art. 65; Ley 594 de 2000, art. 11</t>
        </is>
      </c>
      <c r="O469" s="16" t="inlineStr">
        <is>
          <t>SI</t>
        </is>
      </c>
      <c r="P469" s="16" t="inlineStr">
        <is>
          <t>Alta</t>
        </is>
      </c>
      <c r="Q469" s="16" t="inlineStr">
        <is>
          <t>v2</t>
        </is>
      </c>
      <c r="R469" s="16" t="inlineStr">
        <is>
          <t>Básico</t>
        </is>
      </c>
    </row>
    <row r="470" ht="15" customHeight="1" s="12">
      <c r="A470" s="16" t="inlineStr">
        <is>
          <t>F157-1</t>
        </is>
      </c>
      <c r="B470" s="16" t="inlineStr">
        <is>
          <t>comun</t>
        </is>
      </c>
      <c r="C470" s="16" t="inlineStr">
        <is>
          <t>Precisión jurídica del verbo</t>
        </is>
      </c>
      <c r="D470" s="16" t="inlineStr">
        <is>
          <t>C157</t>
        </is>
      </c>
      <c r="E470" s="16" t="inlineStr">
        <is>
          <t>Caso 114</t>
        </is>
      </c>
      <c r="F470" s="16" t="inlineStr">
        <is>
          <t>En la ventanilla se confunden los verbos del trámite de peticiones.</t>
        </is>
      </c>
      <c r="G470" s="16" t="inlineStr">
        <is>
          <t>Cuando la entidad pide al ciudadano completar su solicitud, el verbo es:</t>
        </is>
      </c>
      <c r="H470" s="16" t="inlineStr">
        <is>
          <t>Notificar</t>
        </is>
      </c>
      <c r="I470" s="16" t="inlineStr">
        <is>
          <t>Emplazar</t>
        </is>
      </c>
      <c r="J470" s="16" t="inlineStr">
        <is>
          <t>Requerir</t>
        </is>
      </c>
      <c r="K470" s="16" t="inlineStr">
        <is>
          <t>C</t>
        </is>
      </c>
      <c r="L470" s="16" t="inlineStr">
        <is>
          <t>La entidad requiere al peticionario para completar la solicitud.</t>
        </is>
      </c>
      <c r="M470" s="16" t="inlineStr">
        <is>
          <t>«Notificar» es dar a conocer una decisión y «Emplazar» un llamado público.</t>
        </is>
      </c>
      <c r="N470" s="16" t="inlineStr">
        <is>
          <t>Ley 1437 de 2011, art. 17</t>
        </is>
      </c>
      <c r="O470" s="16" t="inlineStr">
        <is>
          <t>SI</t>
        </is>
      </c>
      <c r="P470" s="16" t="inlineStr">
        <is>
          <t>Alta</t>
        </is>
      </c>
      <c r="Q470" s="16" t="inlineStr">
        <is>
          <t>v2</t>
        </is>
      </c>
      <c r="R470" s="16" t="inlineStr">
        <is>
          <t>Básico</t>
        </is>
      </c>
    </row>
    <row r="471" ht="15" customHeight="1" s="12">
      <c r="A471" s="16" t="inlineStr">
        <is>
          <t>F157-2</t>
        </is>
      </c>
      <c r="B471" s="16" t="inlineStr">
        <is>
          <t>comun</t>
        </is>
      </c>
      <c r="C471" s="16" t="inlineStr">
        <is>
          <t>Precisión jurídica del verbo</t>
        </is>
      </c>
      <c r="D471" s="16" t="inlineStr">
        <is>
          <t>C157</t>
        </is>
      </c>
      <c r="E471" s="16" t="inlineStr">
        <is>
          <t>Caso 114</t>
        </is>
      </c>
      <c r="F471" s="16" t="inlineStr">
        <is>
          <t>En la ventanilla se confunden los verbos del trámite de peticiones.</t>
        </is>
      </c>
      <c r="G471" s="16" t="inlineStr">
        <is>
          <t>Cuando el ciudadano no responde el requerimiento, se produce:</t>
        </is>
      </c>
      <c r="H471" s="16" t="inlineStr">
        <is>
          <t>El desistimiento tácito de la petición presentada</t>
        </is>
      </c>
      <c r="I471" s="16" t="inlineStr">
        <is>
          <t>La caducidad de la acción frente a la entidad</t>
        </is>
      </c>
      <c r="J471" s="16" t="inlineStr">
        <is>
          <t>La revocatoria del trámite iniciado por la entidad</t>
        </is>
      </c>
      <c r="K471" s="16" t="inlineStr">
        <is>
          <t>A</t>
        </is>
      </c>
      <c r="L471" s="16" t="inlineStr">
        <is>
          <t>Vencido el término sin respuesta se declara el desistimiento tácito.</t>
        </is>
      </c>
      <c r="M471" s="16" t="inlineStr">
        <is>
          <t>«La caducidad de la acción…» y «La revocatoria del trámite iniciado…» nombran figuras ajenas a este trámite.</t>
        </is>
      </c>
      <c r="N471" s="16" t="inlineStr">
        <is>
          <t>Ley 1437 de 2011, art. 17</t>
        </is>
      </c>
      <c r="O471" s="16" t="inlineStr">
        <is>
          <t>SI</t>
        </is>
      </c>
      <c r="P471" s="16" t="inlineStr">
        <is>
          <t>Alta</t>
        </is>
      </c>
      <c r="Q471" s="16" t="inlineStr">
        <is>
          <t>v2</t>
        </is>
      </c>
      <c r="R471" s="16" t="inlineStr">
        <is>
          <t>Básico</t>
        </is>
      </c>
    </row>
    <row r="472" ht="15" customHeight="1" s="12">
      <c r="A472" s="16" t="inlineStr">
        <is>
          <t>F157-3</t>
        </is>
      </c>
      <c r="B472" s="16" t="inlineStr">
        <is>
          <t>comun</t>
        </is>
      </c>
      <c r="C472" s="16" t="inlineStr">
        <is>
          <t>Precisión jurídica del verbo</t>
        </is>
      </c>
      <c r="D472" s="16" t="inlineStr">
        <is>
          <t>C157</t>
        </is>
      </c>
      <c r="E472" s="16" t="inlineStr">
        <is>
          <t>Caso 114</t>
        </is>
      </c>
      <c r="F472" s="16" t="inlineStr">
        <is>
          <t>En la ventanilla se confunden los verbos del trámite de peticiones.</t>
        </is>
      </c>
      <c r="G472" s="16" t="inlineStr">
        <is>
          <t>Cuando la entidad traslada la petición por competencia, el verbo es:</t>
        </is>
      </c>
      <c r="H472" s="16" t="inlineStr">
        <is>
          <t>Devolver</t>
        </is>
      </c>
      <c r="I472" s="16" t="inlineStr">
        <is>
          <t>Remitir</t>
        </is>
      </c>
      <c r="J472" s="16" t="inlineStr">
        <is>
          <t>Archivar</t>
        </is>
      </c>
      <c r="K472" s="16" t="inlineStr">
        <is>
          <t>B</t>
        </is>
      </c>
      <c r="L472" s="16" t="inlineStr">
        <is>
          <t>La petición se remite a la autoridad competente, informando al interesado.</t>
        </is>
      </c>
      <c r="M472" s="16" t="inlineStr">
        <is>
          <t>«Devolver» y «Archivar» dejan la petición sin trámite.</t>
        </is>
      </c>
      <c r="N472" s="16" t="inlineStr">
        <is>
          <t>Ley 1437 de 2011, art. 21</t>
        </is>
      </c>
      <c r="O472" s="16" t="inlineStr">
        <is>
          <t>SI</t>
        </is>
      </c>
      <c r="P472" s="16" t="inlineStr">
        <is>
          <t>Alta</t>
        </is>
      </c>
      <c r="Q472" s="16" t="inlineStr">
        <is>
          <t>v2</t>
        </is>
      </c>
      <c r="R472" s="16" t="inlineStr">
        <is>
          <t>Básico</t>
        </is>
      </c>
    </row>
    <row r="473" ht="15" customHeight="1" s="12">
      <c r="A473" s="16" t="inlineStr">
        <is>
          <t>F158-1</t>
        </is>
      </c>
      <c r="B473" s="16" t="inlineStr">
        <is>
          <t>comun</t>
        </is>
      </c>
      <c r="C473" s="16" t="inlineStr">
        <is>
          <t>Precisión jurídica del verbo</t>
        </is>
      </c>
      <c r="D473" s="16" t="inlineStr">
        <is>
          <t>C158</t>
        </is>
      </c>
      <c r="E473" s="16" t="inlineStr">
        <is>
          <t>Caso 115</t>
        </is>
      </c>
      <c r="F473" s="16" t="inlineStr">
        <is>
          <t>En un informe técnico se confunden los verbos de la evaluación.</t>
        </is>
      </c>
      <c r="G473" s="16" t="inlineStr">
        <is>
          <t>Cuando se comprueba que un documento cumple un requisito, el verbo es:</t>
        </is>
      </c>
      <c r="H473" s="16" t="inlineStr">
        <is>
          <t>Valorar</t>
        </is>
      </c>
      <c r="I473" s="16" t="inlineStr">
        <is>
          <t>Verificar</t>
        </is>
      </c>
      <c r="J473" s="16" t="inlineStr">
        <is>
          <t>Ponderar</t>
        </is>
      </c>
      <c r="K473" s="16" t="inlineStr">
        <is>
          <t>B</t>
        </is>
      </c>
      <c r="L473" s="16" t="inlineStr">
        <is>
          <t>La verificación comprueba que el documento acredita el requisito exigido; la valoración asigna puntaje a lo adicional. Acuerdo CNSC 80 de 2026 (Invima) y Acuerdo 76 de 2026 (FNE), con su anexo técnico.</t>
        </is>
      </c>
      <c r="M473" s="16" t="inlineStr">
        <is>
          <t>«Valorar» implica calificar y «Ponderar» asignar pesos relativos.</t>
        </is>
      </c>
      <c r="N473" s="16" t="inlineStr">
        <is>
          <t>Acuerdos CNSC 80 y 76 de 2026 y su anexo técnico</t>
        </is>
      </c>
      <c r="O473" s="16" t="inlineStr">
        <is>
          <t>SI</t>
        </is>
      </c>
      <c r="P473" s="16" t="inlineStr">
        <is>
          <t>Alta</t>
        </is>
      </c>
      <c r="Q473" s="16" t="inlineStr">
        <is>
          <t>repaso</t>
        </is>
      </c>
      <c r="R473" s="16" t="inlineStr">
        <is>
          <t>Básico</t>
        </is>
      </c>
    </row>
    <row r="474" ht="15" customHeight="1" s="12">
      <c r="A474" s="16" t="inlineStr">
        <is>
          <t>F158-2</t>
        </is>
      </c>
      <c r="B474" s="16" t="inlineStr">
        <is>
          <t>comun</t>
        </is>
      </c>
      <c r="C474" s="16" t="inlineStr">
        <is>
          <t>Precisión jurídica del verbo</t>
        </is>
      </c>
      <c r="D474" s="16" t="inlineStr">
        <is>
          <t>C158</t>
        </is>
      </c>
      <c r="E474" s="16" t="inlineStr">
        <is>
          <t>Caso 115</t>
        </is>
      </c>
      <c r="F474" s="16" t="inlineStr">
        <is>
          <t>En un informe técnico se confunden los verbos de la evaluación.</t>
        </is>
      </c>
      <c r="G474" s="16" t="inlineStr">
        <is>
          <t>Cuando se asigna puntaje a la educación adicional, el verbo es:</t>
        </is>
      </c>
      <c r="H474" s="16" t="inlineStr">
        <is>
          <t>Verificar</t>
        </is>
      </c>
      <c r="I474" s="16" t="inlineStr">
        <is>
          <t>Homologar</t>
        </is>
      </c>
      <c r="J474" s="16" t="inlineStr">
        <is>
          <t>Valorar</t>
        </is>
      </c>
      <c r="K474" s="16" t="inlineStr">
        <is>
          <t>C</t>
        </is>
      </c>
      <c r="L474" s="16" t="inlineStr">
        <is>
          <t>La prueba de valoración de antecedentes asigna puntaje a la educación y la experiencia adicionales al requisito mínimo. Acuerdo CNSC 80 de 2026 (Invima) y Acuerdo 76 de 2026 (FNE), anexo técnico.</t>
        </is>
      </c>
      <c r="M474" s="16" t="inlineStr">
        <is>
          <t>«Verificar» es la etapa previa de VRM y «Homologar» supone equivalencia entre títulos.</t>
        </is>
      </c>
      <c r="N474" s="16" t="inlineStr">
        <is>
          <t>Acuerdos CNSC 80 y 76 de 2026, anexo técnico</t>
        </is>
      </c>
      <c r="O474" s="16" t="inlineStr">
        <is>
          <t>SI</t>
        </is>
      </c>
      <c r="P474" s="16" t="inlineStr">
        <is>
          <t>Alta</t>
        </is>
      </c>
      <c r="Q474" s="16" t="inlineStr">
        <is>
          <t>v2</t>
        </is>
      </c>
      <c r="R474" s="16" t="inlineStr">
        <is>
          <t>Básico</t>
        </is>
      </c>
    </row>
    <row r="475" ht="15" customHeight="1" s="12">
      <c r="A475" s="16" t="inlineStr">
        <is>
          <t>F158-3</t>
        </is>
      </c>
      <c r="B475" s="16" t="inlineStr">
        <is>
          <t>comun</t>
        </is>
      </c>
      <c r="C475" s="16" t="inlineStr">
        <is>
          <t>Precisión jurídica del verbo</t>
        </is>
      </c>
      <c r="D475" s="16" t="inlineStr">
        <is>
          <t>C158</t>
        </is>
      </c>
      <c r="E475" s="16" t="inlineStr">
        <is>
          <t>Caso 115</t>
        </is>
      </c>
      <c r="F475" s="16" t="inlineStr">
        <is>
          <t>En un informe técnico se confunden los verbos de la evaluación.</t>
        </is>
      </c>
      <c r="G475" s="16" t="inlineStr">
        <is>
          <t>Cuando se aplica una equivalencia entre estudios y experiencia, el verbo es:</t>
        </is>
      </c>
      <c r="H475" s="16" t="inlineStr">
        <is>
          <t>Homologar</t>
        </is>
      </c>
      <c r="I475" s="16" t="inlineStr">
        <is>
          <t>Valorar</t>
        </is>
      </c>
      <c r="J475" s="16" t="inlineStr">
        <is>
          <t>Certificar</t>
        </is>
      </c>
      <c r="K475" s="16" t="inlineStr">
        <is>
          <t>A</t>
        </is>
      </c>
      <c r="L475" s="16" t="inlineStr">
        <is>
          <t>La homologación aplica las equivalencias entre estudios y experiencia previstas en el manual de funciones. Decreto 1083 de 2015, artículo 2.2.2.5.1; Decreto 785 de 2005, artículo 25.</t>
        </is>
      </c>
      <c r="M475" s="16" t="inlineStr">
        <is>
          <t>«Valorar» corresponde a la prueba clasificatoria y «Certificar» a la expedición de una constancia.</t>
        </is>
      </c>
      <c r="N475" s="16" t="inlineStr">
        <is>
          <t>Decreto 1083 de 2015, art. 2.2.2.5.1; Decreto 785 de 2005, art. 25</t>
        </is>
      </c>
      <c r="O475" s="16" t="inlineStr">
        <is>
          <t>SI</t>
        </is>
      </c>
      <c r="P475" s="16" t="inlineStr">
        <is>
          <t>Alta</t>
        </is>
      </c>
      <c r="Q475" s="16" t="inlineStr">
        <is>
          <t>v2</t>
        </is>
      </c>
      <c r="R475" s="16" t="inlineStr">
        <is>
          <t>Básico</t>
        </is>
      </c>
    </row>
    <row r="476" ht="15" customHeight="1" s="12">
      <c r="A476" s="16" t="inlineStr">
        <is>
          <t>F159-1</t>
        </is>
      </c>
      <c r="B476" s="16" t="inlineStr">
        <is>
          <t>comun</t>
        </is>
      </c>
      <c r="C476" s="16" t="inlineStr">
        <is>
          <t>Precisión jurídica del verbo</t>
        </is>
      </c>
      <c r="D476" s="16" t="inlineStr">
        <is>
          <t>C159</t>
        </is>
      </c>
      <c r="E476" s="16" t="inlineStr">
        <is>
          <t>Caso 116</t>
        </is>
      </c>
      <c r="F476" s="16" t="inlineStr">
        <is>
          <t>En un acto de talento humano se confunden los verbos de la situación administrativa.</t>
        </is>
      </c>
      <c r="G476" s="16" t="inlineStr">
        <is>
          <t>Cuando un servidor asume otro empleo vacante de forma transitoria, el verbo es:</t>
        </is>
      </c>
      <c r="H476" s="16" t="inlineStr">
        <is>
          <t>Trasladar</t>
        </is>
      </c>
      <c r="I476" s="16" t="inlineStr">
        <is>
          <t>Encargar</t>
        </is>
      </c>
      <c r="J476" s="16" t="inlineStr">
        <is>
          <t>Comisionar</t>
        </is>
      </c>
      <c r="K476" s="16" t="inlineStr">
        <is>
          <t>B</t>
        </is>
      </c>
      <c r="L476" s="16" t="inlineStr">
        <is>
          <t>El encargo asigna transitoriamente las funciones de otro empleo vacante.</t>
        </is>
      </c>
      <c r="M476" s="16" t="inlineStr">
        <is>
          <t>«Trasladar» implica cambio de ubicación del mismo empleo y «Comisionar» cumplir una misión específica.</t>
        </is>
      </c>
      <c r="N476" s="16" t="inlineStr">
        <is>
          <t>Ley 909 de 2004, art. 24</t>
        </is>
      </c>
      <c r="O476" s="16" t="inlineStr">
        <is>
          <t>SI</t>
        </is>
      </c>
      <c r="P476" s="16" t="inlineStr">
        <is>
          <t>Alta</t>
        </is>
      </c>
      <c r="Q476" s="16" t="inlineStr">
        <is>
          <t>v2</t>
        </is>
      </c>
      <c r="R476" s="16" t="inlineStr">
        <is>
          <t>Básico</t>
        </is>
      </c>
    </row>
    <row r="477" ht="15" customHeight="1" s="12">
      <c r="A477" s="16" t="inlineStr">
        <is>
          <t>F159-2</t>
        </is>
      </c>
      <c r="B477" s="16" t="inlineStr">
        <is>
          <t>comun</t>
        </is>
      </c>
      <c r="C477" s="16" t="inlineStr">
        <is>
          <t>Precisión jurídica del verbo</t>
        </is>
      </c>
      <c r="D477" s="16" t="inlineStr">
        <is>
          <t>C159</t>
        </is>
      </c>
      <c r="E477" s="16" t="inlineStr">
        <is>
          <t>Caso 116</t>
        </is>
      </c>
      <c r="F477" s="16" t="inlineStr">
        <is>
          <t>En un acto de talento humano se confunden los verbos de la situación administrativa.</t>
        </is>
      </c>
      <c r="G477" s="16" t="inlineStr">
        <is>
          <t>Cuando el servidor pasa a otro empleo de la misma naturaleza y jerarquía, el verbo es:</t>
        </is>
      </c>
      <c r="H477" s="16" t="inlineStr">
        <is>
          <t>Encargar</t>
        </is>
      </c>
      <c r="I477" s="16" t="inlineStr">
        <is>
          <t>Promover</t>
        </is>
      </c>
      <c r="J477" s="16" t="inlineStr">
        <is>
          <t>Trasladar</t>
        </is>
      </c>
      <c r="K477" s="16" t="inlineStr">
        <is>
          <t>C</t>
        </is>
      </c>
      <c r="L477" s="16" t="inlineStr">
        <is>
          <t>El traslado ubica al servidor en otro empleo de la misma naturaleza. Decreto 1083 de 2015, artículos 2.2.5.4.7 y 2.2.5.4.8.</t>
        </is>
      </c>
      <c r="M477" s="16" t="inlineStr">
        <is>
          <t>«Encargar» es transitorio y «Promover» implica ascenso.</t>
        </is>
      </c>
      <c r="N477" s="16" t="inlineStr">
        <is>
          <t>Decreto 1083 de 2015, arts. 2.2.5.4.7 y 2.2.5.4.8</t>
        </is>
      </c>
      <c r="O477" s="16" t="inlineStr">
        <is>
          <t>SI</t>
        </is>
      </c>
      <c r="P477" s="16" t="inlineStr">
        <is>
          <t>Alta</t>
        </is>
      </c>
      <c r="Q477" s="16" t="inlineStr">
        <is>
          <t>v2</t>
        </is>
      </c>
      <c r="R477" s="16" t="inlineStr">
        <is>
          <t>Básico</t>
        </is>
      </c>
    </row>
    <row r="478" ht="15" customHeight="1" s="12">
      <c r="A478" s="16" t="inlineStr">
        <is>
          <t>F159-3</t>
        </is>
      </c>
      <c r="B478" s="16" t="inlineStr">
        <is>
          <t>comun</t>
        </is>
      </c>
      <c r="C478" s="16" t="inlineStr">
        <is>
          <t>Precisión jurídica del verbo</t>
        </is>
      </c>
      <c r="D478" s="16" t="inlineStr">
        <is>
          <t>C159</t>
        </is>
      </c>
      <c r="E478" s="16" t="inlineStr">
        <is>
          <t>Caso 116</t>
        </is>
      </c>
      <c r="F478" s="16" t="inlineStr">
        <is>
          <t>En un acto de talento humano se confunden los verbos de la situación administrativa.</t>
        </is>
      </c>
      <c r="G478" s="16" t="inlineStr">
        <is>
          <t>Cuando el servidor cumple una misión especial por fuera de sus funciones, el verbo es:</t>
        </is>
      </c>
      <c r="H478" s="16" t="inlineStr">
        <is>
          <t>Comisionar</t>
        </is>
      </c>
      <c r="I478" s="16" t="inlineStr">
        <is>
          <t>Delegar</t>
        </is>
      </c>
      <c r="J478" s="16" t="inlineStr">
        <is>
          <t>Encargar</t>
        </is>
      </c>
      <c r="K478" s="16" t="inlineStr">
        <is>
          <t>A</t>
        </is>
      </c>
      <c r="L478" s="16" t="inlineStr">
        <is>
          <t>La comisión encarga al servidor una misión especial fuera de su sede o funciones. Decreto 1083 de 2015, artículo 2.2.5.5.24.</t>
        </is>
      </c>
      <c r="M478" s="16" t="inlineStr">
        <is>
          <t>«Delegar» transfiere el ejercicio de funciones propias y «Encargar» provee transitoriamente un empleo.</t>
        </is>
      </c>
      <c r="N478" s="16" t="inlineStr">
        <is>
          <t>Decreto 1083 de 2015, art. 2.2.5.5.24</t>
        </is>
      </c>
      <c r="O478" s="16" t="inlineStr">
        <is>
          <t>SI</t>
        </is>
      </c>
      <c r="P478" s="16" t="inlineStr">
        <is>
          <t>Alta</t>
        </is>
      </c>
      <c r="Q478" s="16" t="inlineStr">
        <is>
          <t>v2</t>
        </is>
      </c>
      <c r="R478" s="16" t="inlineStr">
        <is>
          <t>Básico</t>
        </is>
      </c>
    </row>
    <row r="479" ht="15" customHeight="1" s="12">
      <c r="A479" s="16" t="inlineStr">
        <is>
          <t>F160-1</t>
        </is>
      </c>
      <c r="B479" s="16" t="inlineStr">
        <is>
          <t>comun</t>
        </is>
      </c>
      <c r="C479" s="16" t="inlineStr">
        <is>
          <t>Precisión jurídica del verbo</t>
        </is>
      </c>
      <c r="D479" s="16" t="inlineStr">
        <is>
          <t>C160</t>
        </is>
      </c>
      <c r="E479" s="16" t="inlineStr">
        <is>
          <t>Caso 117</t>
        </is>
      </c>
      <c r="F479" s="16" t="inlineStr">
        <is>
          <t>En el expediente se discute cómo nombrar las correcciones.</t>
        </is>
      </c>
      <c r="G479" s="16" t="inlineStr">
        <is>
          <t>Cuando se agrega una precisión a un registro ya hecho, el verbo es:</t>
        </is>
      </c>
      <c r="H479" s="16" t="inlineStr">
        <is>
          <t>Corregir el texto, borrando el dato que quedó errado</t>
        </is>
      </c>
      <c r="I479" s="16" t="inlineStr">
        <is>
          <t>Enmendar sobre el registro y firmar al margen la enmienda</t>
        </is>
      </c>
      <c r="J479" s="16" t="inlineStr">
        <is>
          <t>Aclarar mediante nota, conservando el registro original</t>
        </is>
      </c>
      <c r="K479" s="16" t="inlineStr">
        <is>
          <t>C</t>
        </is>
      </c>
      <c r="L479" s="16" t="inlineStr">
        <is>
          <t>Las precisiones se incorporan como nota aclaratoria y se conserva el registro original: la historia clínica no admite tachaduras ni enmendaduras. Resolución 1995 de 1999, artículos 3 y 5.</t>
        </is>
      </c>
      <c r="M479" s="16" t="inlineStr">
        <is>
          <t>«Corregir el texto, borrando el…» y «Enmendar sobre el registro y…» alteran un documento que no admite enmendaduras.</t>
        </is>
      </c>
      <c r="N479" s="16" t="inlineStr">
        <is>
          <t>Resolución 1995 de 1999, arts. 3 y 5</t>
        </is>
      </c>
      <c r="O479" s="16" t="inlineStr">
        <is>
          <t>SI</t>
        </is>
      </c>
      <c r="P479" s="16" t="inlineStr">
        <is>
          <t>Alta</t>
        </is>
      </c>
      <c r="Q479" s="16" t="inlineStr">
        <is>
          <t>v2</t>
        </is>
      </c>
      <c r="R479" s="16" t="inlineStr">
        <is>
          <t>Básico</t>
        </is>
      </c>
    </row>
    <row r="480" ht="15" customHeight="1" s="12">
      <c r="A480" s="16" t="inlineStr">
        <is>
          <t>F160-2</t>
        </is>
      </c>
      <c r="B480" s="16" t="inlineStr">
        <is>
          <t>comun</t>
        </is>
      </c>
      <c r="C480" s="16" t="inlineStr">
        <is>
          <t>Precisión jurídica del verbo</t>
        </is>
      </c>
      <c r="D480" s="16" t="inlineStr">
        <is>
          <t>C160</t>
        </is>
      </c>
      <c r="E480" s="16" t="inlineStr">
        <is>
          <t>Caso 117</t>
        </is>
      </c>
      <c r="F480" s="16" t="inlineStr">
        <is>
          <t>En el expediente se discute cómo nombrar las correcciones.</t>
        </is>
      </c>
      <c r="G480" s="16" t="inlineStr">
        <is>
          <t>Cuando el profesional firma y da fe de lo que registró, el verbo es:</t>
        </is>
      </c>
      <c r="H480" s="16" t="inlineStr">
        <is>
          <t>Certificar</t>
        </is>
      </c>
      <c r="I480" s="16" t="inlineStr">
        <is>
          <t>Suscribir</t>
        </is>
      </c>
      <c r="J480" s="16" t="inlineStr">
        <is>
          <t>Autenticar</t>
        </is>
      </c>
      <c r="K480" s="16" t="inlineStr">
        <is>
          <t>B</t>
        </is>
      </c>
      <c r="L480" s="16" t="inlineStr">
        <is>
          <t>El profesional suscribe el registro con su nombre completo y su firma, dando fe de lo consignado. Resolución 1995 de 1999, artículo 5.</t>
        </is>
      </c>
      <c r="M480" s="16" t="inlineStr">
        <is>
          <t>«Certificar» supone expedir una constancia y «Autenticar» dar fe de un documento ajeno.</t>
        </is>
      </c>
      <c r="N480" s="16" t="inlineStr">
        <is>
          <t>Resolución 1995 de 1999, art. 5</t>
        </is>
      </c>
      <c r="O480" s="16" t="inlineStr">
        <is>
          <t>SI</t>
        </is>
      </c>
      <c r="P480" s="16" t="inlineStr">
        <is>
          <t>Alta</t>
        </is>
      </c>
      <c r="Q480" s="16" t="inlineStr">
        <is>
          <t>v2</t>
        </is>
      </c>
      <c r="R480" s="16" t="inlineStr">
        <is>
          <t>Básico</t>
        </is>
      </c>
    </row>
    <row r="481" ht="15" customHeight="1" s="12">
      <c r="A481" s="16" t="inlineStr">
        <is>
          <t>F160-3</t>
        </is>
      </c>
      <c r="B481" s="16" t="inlineStr">
        <is>
          <t>comun</t>
        </is>
      </c>
      <c r="C481" s="16" t="inlineStr">
        <is>
          <t>Precisión jurídica del verbo</t>
        </is>
      </c>
      <c r="D481" s="16" t="inlineStr">
        <is>
          <t>C160</t>
        </is>
      </c>
      <c r="E481" s="16" t="inlineStr">
        <is>
          <t>Caso 117</t>
        </is>
      </c>
      <c r="F481" s="16" t="inlineStr">
        <is>
          <t>En el expediente se discute cómo nombrar las correcciones.</t>
        </is>
      </c>
      <c r="G481" s="16" t="inlineStr">
        <is>
          <t>Cuando la institución guarda el documento por el tiempo legal, el verbo es:</t>
        </is>
      </c>
      <c r="H481" s="16" t="inlineStr">
        <is>
          <t>Conservar</t>
        </is>
      </c>
      <c r="I481" s="16" t="inlineStr">
        <is>
          <t>Archivar por descarte</t>
        </is>
      </c>
      <c r="J481" s="16" t="inlineStr">
        <is>
          <t>Custodiar temporalmente</t>
        </is>
      </c>
      <c r="K481" s="16" t="inlineStr">
        <is>
          <t>A</t>
        </is>
      </c>
      <c r="L481" s="16" t="inlineStr">
        <is>
          <t>La conservación del expediente clínico es de quince (15) años: cinco en archivo de gestión y diez en archivo central, según la Resolución 839 de 2017, artículo 3, que modificó la Resolución 1995 de 1999, artículo 15.</t>
        </is>
      </c>
      <c r="M481" s="16" t="inlineStr">
        <is>
          <t>«Archivar por descarte» implica eliminación y «Custodiar temporalmente» sugiere una custodia menor a la exigida.</t>
        </is>
      </c>
      <c r="N481" s="16" t="inlineStr">
        <is>
          <t>Resolución 839 de 2017, art. 3; Resolución 1995 de 1999, art. 15</t>
        </is>
      </c>
      <c r="O481" s="16" t="inlineStr">
        <is>
          <t>SI</t>
        </is>
      </c>
      <c r="P481" s="16" t="inlineStr">
        <is>
          <t>Alta</t>
        </is>
      </c>
      <c r="Q481" s="16" t="inlineStr">
        <is>
          <t>v2</t>
        </is>
      </c>
      <c r="R481" s="16" t="inlineStr">
        <is>
          <t>Básico</t>
        </is>
      </c>
    </row>
    <row r="482" ht="15" customHeight="1" s="12">
      <c r="A482" s="16" t="inlineStr">
        <is>
          <t>F161-1</t>
        </is>
      </c>
      <c r="B482" s="16" t="inlineStr">
        <is>
          <t>comun</t>
        </is>
      </c>
      <c r="C482" s="16" t="inlineStr">
        <is>
          <t>Precisión jurídica del verbo</t>
        </is>
      </c>
      <c r="D482" s="16" t="inlineStr">
        <is>
          <t>C161</t>
        </is>
      </c>
      <c r="E482" s="16" t="inlineStr">
        <is>
          <t>Caso 118</t>
        </is>
      </c>
      <c r="F482" s="16" t="inlineStr">
        <is>
          <t>En un oficio se confunden los verbos de la vigilancia sanitaria.</t>
        </is>
      </c>
      <c r="G482" s="16" t="inlineStr">
        <is>
          <t>Cuando la autoridad impide temporalmente el funcionamiento de un servicio por riesgo, el verbo es:</t>
        </is>
      </c>
      <c r="H482" s="16" t="inlineStr">
        <is>
          <t>Cancelar la inscripción del prestador en el registro</t>
        </is>
      </c>
      <c r="I482" s="16" t="inlineStr">
        <is>
          <t>Revocar la habilitación otorgada por la entidad territorial</t>
        </is>
      </c>
      <c r="J482" s="16" t="inlineStr">
        <is>
          <t>Clausurar temporalmente el servicio por riesgo sanitario</t>
        </is>
      </c>
      <c r="K482" s="16" t="inlineStr">
        <is>
          <t>C</t>
        </is>
      </c>
      <c r="L482" s="16" t="inlineStr">
        <is>
          <t>La clausura temporal es una medida sanitaria de seguridad frente al riesgo.</t>
        </is>
      </c>
      <c r="M482" s="16" t="inlineStr">
        <is>
          <t>«Cancelar la inscripción del prestador…» y «Revocar la habilitación otorgada por…» implican decisiones definitivas de otra naturaleza.</t>
        </is>
      </c>
      <c r="N482" s="16" t="inlineStr">
        <is>
          <t>Ley 9 de 1979, art. 576</t>
        </is>
      </c>
      <c r="O482" s="16" t="inlineStr">
        <is>
          <t>SI</t>
        </is>
      </c>
      <c r="P482" s="16" t="inlineStr">
        <is>
          <t>Alta</t>
        </is>
      </c>
      <c r="Q482" s="16" t="inlineStr">
        <is>
          <t>v2</t>
        </is>
      </c>
      <c r="R482" s="16" t="inlineStr">
        <is>
          <t>Básico</t>
        </is>
      </c>
    </row>
    <row r="483" ht="15" customHeight="1" s="12">
      <c r="A483" s="16" t="inlineStr">
        <is>
          <t>F161-2</t>
        </is>
      </c>
      <c r="B483" s="16" t="inlineStr">
        <is>
          <t>comun</t>
        </is>
      </c>
      <c r="C483" s="16" t="inlineStr">
        <is>
          <t>Precisión jurídica del verbo</t>
        </is>
      </c>
      <c r="D483" s="16" t="inlineStr">
        <is>
          <t>C161</t>
        </is>
      </c>
      <c r="E483" s="16" t="inlineStr">
        <is>
          <t>Caso 118</t>
        </is>
      </c>
      <c r="F483" s="16" t="inlineStr">
        <is>
          <t>En un oficio se confunden los verbos de la vigilancia sanitaria.</t>
        </is>
      </c>
      <c r="G483" s="16" t="inlineStr">
        <is>
          <t>Cuando el prestador retira del registro un servicio que ya no presta, el verbo es:</t>
        </is>
      </c>
      <c r="H483" s="16" t="inlineStr">
        <is>
          <t>Reportar la novedad de cierre del servicio en el REPS</t>
        </is>
      </c>
      <c r="I483" s="16" t="inlineStr">
        <is>
          <t>Clausurar el servicio mediante acto motivado del prestador</t>
        </is>
      </c>
      <c r="J483" s="16" t="inlineStr">
        <is>
          <t>Revocar la habilitación del servicio ante la entidad</t>
        </is>
      </c>
      <c r="K483" s="16" t="inlineStr">
        <is>
          <t>A</t>
        </is>
      </c>
      <c r="L483" s="16" t="inlineStr">
        <is>
          <t>El prestador reporta la novedad en el REPS; la clausura la impone la autoridad.</t>
        </is>
      </c>
      <c r="M483" s="16" t="inlineStr">
        <is>
          <t>«Clausurar el servicio mediante acto…» y «Revocar la habilitación del servicio…» atribuyen al prestador actuaciones de la autoridad.</t>
        </is>
      </c>
      <c r="N483" s="16" t="inlineStr">
        <is>
          <t>Resolución 3100 de 2019</t>
        </is>
      </c>
      <c r="O483" s="16" t="inlineStr">
        <is>
          <t>NO</t>
        </is>
      </c>
      <c r="P483" s="16" t="inlineStr">
        <is>
          <t>Alta</t>
        </is>
      </c>
      <c r="Q483" s="16" t="inlineStr">
        <is>
          <t>v2</t>
        </is>
      </c>
      <c r="R483" s="16" t="inlineStr">
        <is>
          <t>Básico</t>
        </is>
      </c>
    </row>
    <row r="484" ht="15" customHeight="1" s="12">
      <c r="A484" s="16" t="inlineStr">
        <is>
          <t>F161-3</t>
        </is>
      </c>
      <c r="B484" s="16" t="inlineStr">
        <is>
          <t>comun</t>
        </is>
      </c>
      <c r="C484" s="16" t="inlineStr">
        <is>
          <t>Precisión jurídica del verbo</t>
        </is>
      </c>
      <c r="D484" s="16" t="inlineStr">
        <is>
          <t>C161</t>
        </is>
      </c>
      <c r="E484" s="16" t="inlineStr">
        <is>
          <t>Caso 118</t>
        </is>
      </c>
      <c r="F484" s="16" t="inlineStr">
        <is>
          <t>En un oficio se confunden los verbos de la vigilancia sanitaria.</t>
        </is>
      </c>
      <c r="G484" s="16" t="inlineStr">
        <is>
          <t>Cuando la autoridad impone una consecuencia tras el procedimiento, el verbo es:</t>
        </is>
      </c>
      <c r="H484" s="16" t="inlineStr">
        <is>
          <t>Amonestar de plano</t>
        </is>
      </c>
      <c r="I484" s="16" t="inlineStr">
        <is>
          <t>Sancionar</t>
        </is>
      </c>
      <c r="J484" s="16" t="inlineStr">
        <is>
          <t>Suspender preventivamente</t>
        </is>
      </c>
      <c r="K484" s="16" t="inlineStr">
        <is>
          <t>B</t>
        </is>
      </c>
      <c r="L484" s="16" t="inlineStr">
        <is>
          <t>La sanción se impone al término del procedimiento sancionatorio.</t>
        </is>
      </c>
      <c r="M484" s="16" t="inlineStr">
        <is>
          <t>«Amonestar de plano» omite el procedimiento y «Suspender preventivamente» nombra una medida previa y provisional.</t>
        </is>
      </c>
      <c r="N484" s="16" t="inlineStr">
        <is>
          <t>Ley 1437 de 2011, arts. 47 a 52</t>
        </is>
      </c>
      <c r="O484" s="16" t="inlineStr">
        <is>
          <t>SI</t>
        </is>
      </c>
      <c r="P484" s="16" t="inlineStr">
        <is>
          <t>Alta</t>
        </is>
      </c>
      <c r="Q484" s="16" t="inlineStr">
        <is>
          <t>v2</t>
        </is>
      </c>
      <c r="R484" s="16" t="inlineStr">
        <is>
          <t>Básico</t>
        </is>
      </c>
    </row>
    <row r="485" ht="15" customHeight="1" s="12">
      <c r="A485" s="16" t="inlineStr">
        <is>
          <t>F162-1</t>
        </is>
      </c>
      <c r="B485" s="16" t="inlineStr">
        <is>
          <t>comun</t>
        </is>
      </c>
      <c r="C485" s="16" t="inlineStr">
        <is>
          <t>Precisión jurídica del verbo</t>
        </is>
      </c>
      <c r="D485" s="16" t="inlineStr">
        <is>
          <t>C162</t>
        </is>
      </c>
      <c r="E485" s="16" t="inlineStr">
        <is>
          <t>Caso 119</t>
        </is>
      </c>
      <c r="F485" s="16" t="inlineStr">
        <is>
          <t>Un acto administrativo debe corregirse por un error de digitación en el nombre.</t>
        </is>
      </c>
      <c r="G485" s="16" t="inlineStr">
        <is>
          <t>La actuación procedente es:</t>
        </is>
      </c>
      <c r="H485" s="16" t="inlineStr">
        <is>
          <t>Revocar el acto y expedir otro con el nombre correcto</t>
        </is>
      </c>
      <c r="I485" s="16" t="inlineStr">
        <is>
          <t>Corregir el error formal, de oficio o a petición de parte</t>
        </is>
      </c>
      <c r="J485" s="16" t="inlineStr">
        <is>
          <t>Declarar la nulidad del acto por indebida identificación</t>
        </is>
      </c>
      <c r="K485" s="16" t="inlineStr">
        <is>
          <t>B</t>
        </is>
      </c>
      <c r="L485" s="16" t="inlineStr">
        <is>
          <t>Los errores simplemente formales se corrigen en cualquier tiempo, sin afectar el fondo.</t>
        </is>
      </c>
      <c r="M485" s="16" t="inlineStr">
        <is>
          <t>«Revocar el acto y expedir…» y «Declarar la nulidad del acto…» aplican figuras desproporcionadas para un yerro formal.</t>
        </is>
      </c>
      <c r="N485" s="16" t="inlineStr">
        <is>
          <t>Ley 1437 de 2011, art. 45</t>
        </is>
      </c>
      <c r="O485" s="16" t="inlineStr">
        <is>
          <t>SI</t>
        </is>
      </c>
      <c r="P485" s="16" t="inlineStr">
        <is>
          <t>Alta</t>
        </is>
      </c>
      <c r="Q485" s="16" t="inlineStr">
        <is>
          <t>v2</t>
        </is>
      </c>
      <c r="R485" s="16" t="inlineStr">
        <is>
          <t>Básico</t>
        </is>
      </c>
    </row>
    <row r="486" ht="15" customHeight="1" s="12">
      <c r="A486" s="16" t="inlineStr">
        <is>
          <t>F162-2</t>
        </is>
      </c>
      <c r="B486" s="16" t="inlineStr">
        <is>
          <t>comun</t>
        </is>
      </c>
      <c r="C486" s="16" t="inlineStr">
        <is>
          <t>Precisión jurídica del verbo</t>
        </is>
      </c>
      <c r="D486" s="16" t="inlineStr">
        <is>
          <t>C162</t>
        </is>
      </c>
      <c r="E486" s="16" t="inlineStr">
        <is>
          <t>Caso 119</t>
        </is>
      </c>
      <c r="F486" s="16" t="inlineStr">
        <is>
          <t>Un acto administrativo debe corregirse por un error de digitación en el nombre.</t>
        </is>
      </c>
      <c r="G486" s="16" t="inlineStr">
        <is>
          <t>Si el error cambia el sentido de la decisión, corresponde:</t>
        </is>
      </c>
      <c r="H486" s="16" t="inlineStr">
        <is>
          <t>Adelantar la revocatoria directa con sus reglas propias</t>
        </is>
      </c>
      <c r="I486" s="16" t="inlineStr">
        <is>
          <t>Corregirlo como error formal mediante nota de la entidad</t>
        </is>
      </c>
      <c r="J486" s="16" t="inlineStr">
        <is>
          <t>Inaplicarlo mientras se expide un acto que lo reemplace</t>
        </is>
      </c>
      <c r="K486" s="16" t="inlineStr">
        <is>
          <t>A</t>
        </is>
      </c>
      <c r="L486" s="16" t="inlineStr">
        <is>
          <t>Cuando se altera el sentido de la decisión ya no hay error formal y procede la revocatoria directa.</t>
        </is>
      </c>
      <c r="M486" s="16" t="inlineStr">
        <is>
          <t>«Corregirlo como error formal mediante…» encubre un cambio de fondo y «Inaplicarlo mientras se expide un…» mantiene una decisión equivocada.</t>
        </is>
      </c>
      <c r="N486" s="16" t="inlineStr">
        <is>
          <t>Ley 1437 de 2011, arts. 45 y 93</t>
        </is>
      </c>
      <c r="O486" s="16" t="inlineStr">
        <is>
          <t>SI</t>
        </is>
      </c>
      <c r="P486" s="16" t="inlineStr">
        <is>
          <t>Alta</t>
        </is>
      </c>
      <c r="Q486" s="16" t="inlineStr">
        <is>
          <t>v2</t>
        </is>
      </c>
      <c r="R486" s="16" t="inlineStr">
        <is>
          <t>Básico</t>
        </is>
      </c>
    </row>
    <row r="487" ht="15" customHeight="1" s="12">
      <c r="A487" s="16" t="inlineStr">
        <is>
          <t>F162-3</t>
        </is>
      </c>
      <c r="B487" s="16" t="inlineStr">
        <is>
          <t>comun</t>
        </is>
      </c>
      <c r="C487" s="16" t="inlineStr">
        <is>
          <t>Precisión jurídica del verbo</t>
        </is>
      </c>
      <c r="D487" s="16" t="inlineStr">
        <is>
          <t>C162</t>
        </is>
      </c>
      <c r="E487" s="16" t="inlineStr">
        <is>
          <t>Caso 119</t>
        </is>
      </c>
      <c r="F487" s="16" t="inlineStr">
        <is>
          <t>Un acto administrativo debe corregirse por un error de digitación en el nombre.</t>
        </is>
      </c>
      <c r="G487" s="16" t="inlineStr">
        <is>
          <t>La corrección formal:</t>
        </is>
      </c>
      <c r="H487" s="16" t="inlineStr">
        <is>
          <t>Reinicia todos los términos desde la nueva notificación</t>
        </is>
      </c>
      <c r="I487" s="16" t="inlineStr">
        <is>
          <t>Anula lo actuado y obliga a repetir la notificación</t>
        </is>
      </c>
      <c r="J487" s="16" t="inlineStr">
        <is>
          <t>No reabre los términos para recurrir el fondo del acto</t>
        </is>
      </c>
      <c r="K487" s="16" t="inlineStr">
        <is>
          <t>C</t>
        </is>
      </c>
      <c r="L487" s="16" t="inlineStr">
        <is>
          <t>La corrección formal no altera el fondo ni reabre los términos de impugnación.</t>
        </is>
      </c>
      <c r="M487" s="16" t="inlineStr">
        <is>
          <t>«Reinicia todos los términos desde…» y «Anula lo actuado y obliga…» le atribuyen efectos que no tiene.</t>
        </is>
      </c>
      <c r="N487" s="16" t="inlineStr">
        <is>
          <t>Ley 1437 de 2011, art. 45</t>
        </is>
      </c>
      <c r="O487" s="16" t="inlineStr">
        <is>
          <t>SI</t>
        </is>
      </c>
      <c r="P487" s="16" t="inlineStr">
        <is>
          <t>Alta</t>
        </is>
      </c>
      <c r="Q487" s="16" t="inlineStr">
        <is>
          <t>v2</t>
        </is>
      </c>
      <c r="R487" s="16" t="inlineStr">
        <is>
          <t>Básico</t>
        </is>
      </c>
    </row>
    <row r="488" ht="15" customHeight="1" s="12">
      <c r="A488" s="16" t="inlineStr">
        <is>
          <t>F163-1</t>
        </is>
      </c>
      <c r="B488" s="16" t="inlineStr">
        <is>
          <t>comun</t>
        </is>
      </c>
      <c r="C488" s="16" t="inlineStr">
        <is>
          <t>Precisión jurídica del verbo</t>
        </is>
      </c>
      <c r="D488" s="16" t="inlineStr">
        <is>
          <t>C163</t>
        </is>
      </c>
      <c r="E488" s="16" t="inlineStr">
        <is>
          <t>Caso 120</t>
        </is>
      </c>
      <c r="F488" s="16" t="inlineStr">
        <is>
          <t>En el proceso de selección se confunden los verbos de la lista de elegibles.</t>
        </is>
      </c>
      <c r="G488" s="16" t="inlineStr">
        <is>
          <t>Cuando la CNSC produce la lista en estricto orden de mérito, el verbo es:</t>
        </is>
      </c>
      <c r="H488" s="16" t="inlineStr">
        <is>
          <t>Conformar y adoptar la lista en estricto orden de mérito</t>
        </is>
      </c>
      <c r="I488" s="16" t="inlineStr">
        <is>
          <t>Publicar la lista de elegibles en el sitio dispuesto para ello</t>
        </is>
      </c>
      <c r="J488" s="16" t="inlineStr">
        <is>
          <t>Homologar la lista con la del proceso de selección anterior</t>
        </is>
      </c>
      <c r="K488" s="16" t="inlineStr">
        <is>
          <t>A</t>
        </is>
      </c>
      <c r="L488" s="16" t="inlineStr">
        <is>
          <t>La CNSC conforma y adopta la lista de elegibles en estricto orden de mérito, mediante acto administrativo. Ley 909 de 2004, artículo 31, numeral 5; Acuerdos CNSC 80 y 76 de 2026.</t>
        </is>
      </c>
      <c r="M488" s="16" t="inlineStr">
        <is>
          <t>«Publicar la lista de elegibles…» es un momento posterior y «Homologar la lista con la…» no corresponde a esta actuación.</t>
        </is>
      </c>
      <c r="N488" s="16" t="inlineStr">
        <is>
          <t>Ley 909 de 2004, art. 31, num. 5; Acuerdos CNSC 80 y 76 de 2026</t>
        </is>
      </c>
      <c r="O488" s="16" t="inlineStr">
        <is>
          <t>SI</t>
        </is>
      </c>
      <c r="P488" s="16" t="inlineStr">
        <is>
          <t>Alta</t>
        </is>
      </c>
      <c r="Q488" s="16" t="inlineStr">
        <is>
          <t>v2</t>
        </is>
      </c>
      <c r="R488" s="16" t="inlineStr">
        <is>
          <t>Básico</t>
        </is>
      </c>
    </row>
    <row r="489" ht="15" customHeight="1" s="12">
      <c r="A489" s="16" t="inlineStr">
        <is>
          <t>F163-2</t>
        </is>
      </c>
      <c r="B489" s="16" t="inlineStr">
        <is>
          <t>comun</t>
        </is>
      </c>
      <c r="C489" s="16" t="inlineStr">
        <is>
          <t>Precisión jurídica del verbo</t>
        </is>
      </c>
      <c r="D489" s="16" t="inlineStr">
        <is>
          <t>C163</t>
        </is>
      </c>
      <c r="E489" s="16" t="inlineStr">
        <is>
          <t>Caso 120</t>
        </is>
      </c>
      <c r="F489" s="16" t="inlineStr">
        <is>
          <t>En el proceso de selección se confunden los verbos de la lista de elegibles.</t>
        </is>
      </c>
      <c r="G489" s="16" t="inlineStr">
        <is>
          <t>Cuando la comisión de personal pide retirar a una persona de la lista, el verbo es:</t>
        </is>
      </c>
      <c r="H489" s="16" t="inlineStr">
        <is>
          <t>Solicitar la revocatoria de la lista</t>
        </is>
      </c>
      <c r="I489" s="16" t="inlineStr">
        <is>
          <t>Solicitar la anulación de la lista</t>
        </is>
      </c>
      <c r="J489" s="16" t="inlineStr">
        <is>
          <t>Solicitar la exclusión de la lista</t>
        </is>
      </c>
      <c r="K489" s="16" t="inlineStr">
        <is>
          <t>C</t>
        </is>
      </c>
      <c r="L489" s="16" t="inlineStr">
        <is>
          <t>La comisión de personal solicita la exclusión de una persona de la lista de elegibles cuando advierte una causal; no pide revocar toda la lista. Ley 909 de 2004, artículos 16 y 31; Acuerdos CNSC 80 y 76 de 2026.</t>
        </is>
      </c>
      <c r="M489" s="16" t="inlineStr">
        <is>
          <t>«Solicitar la revocatoria de la…» y «Solicitar la anulación de la…» recaen sobre el acto completo y corresponden a otras autoridades.</t>
        </is>
      </c>
      <c r="N489" s="16" t="inlineStr">
        <is>
          <t>Ley 909 de 2004, arts. 16 y 31; Acuerdos CNSC 80 y 76 de 2026</t>
        </is>
      </c>
      <c r="O489" s="16" t="inlineStr">
        <is>
          <t>SI</t>
        </is>
      </c>
      <c r="P489" s="16" t="inlineStr">
        <is>
          <t>Alta</t>
        </is>
      </c>
      <c r="Q489" s="16" t="inlineStr">
        <is>
          <t>v2</t>
        </is>
      </c>
      <c r="R489" s="16" t="inlineStr">
        <is>
          <t>Básico</t>
        </is>
      </c>
    </row>
    <row r="490" ht="15" customHeight="1" s="12">
      <c r="A490" s="16" t="inlineStr">
        <is>
          <t>F163-3</t>
        </is>
      </c>
      <c r="B490" s="16" t="inlineStr">
        <is>
          <t>comun</t>
        </is>
      </c>
      <c r="C490" s="16" t="inlineStr">
        <is>
          <t>Precisión jurídica del verbo</t>
        </is>
      </c>
      <c r="D490" s="16" t="inlineStr">
        <is>
          <t>C163</t>
        </is>
      </c>
      <c r="E490" s="16" t="inlineStr">
        <is>
          <t>Caso 120</t>
        </is>
      </c>
      <c r="F490" s="16" t="inlineStr">
        <is>
          <t>En el proceso de selección se confunden los verbos de la lista de elegibles.</t>
        </is>
      </c>
      <c r="G490" s="16" t="inlineStr">
        <is>
          <t>Cuando la lista se usa en orden descendente por retiro de un elegible, el fenómeno es:</t>
        </is>
      </c>
      <c r="H490" s="16" t="inlineStr">
        <is>
          <t>La modificación de la lista</t>
        </is>
      </c>
      <c r="I490" s="16" t="inlineStr">
        <is>
          <t>La movilidad de la lista</t>
        </is>
      </c>
      <c r="J490" s="16" t="inlineStr">
        <is>
          <t>La firmeza de la lista</t>
        </is>
      </c>
      <c r="K490" s="16" t="inlineStr">
        <is>
          <t>B</t>
        </is>
      </c>
      <c r="L490" s="16" t="inlineStr">
        <is>
          <t>La movilidad permite usar la lista en orden descendente cuando un elegible no acepta o es retirado, sin necesidad de un nuevo acto. Ley 909 de 2004, artículo 31; Acuerdos CNSC 80 y 76 de 2026.</t>
        </is>
      </c>
      <c r="M490" s="16" t="inlineStr">
        <is>
          <t>«La modificación de la lista» supone adicionar o reubicar por error y «La firmeza de la lista» alude a sus efectos jurídicos.</t>
        </is>
      </c>
      <c r="N490" s="16" t="inlineStr">
        <is>
          <t>Ley 909 de 2004, art. 31; Acuerdos CNSC 80 y 76 de 2026</t>
        </is>
      </c>
      <c r="O490" s="16" t="inlineStr">
        <is>
          <t>SI</t>
        </is>
      </c>
      <c r="P490" s="16" t="inlineStr">
        <is>
          <t>Alta</t>
        </is>
      </c>
      <c r="Q490" s="16" t="inlineStr">
        <is>
          <t>v2</t>
        </is>
      </c>
      <c r="R490" s="16" t="inlineStr">
        <is>
          <t>Básico</t>
        </is>
      </c>
    </row>
    <row r="491" ht="15" customHeight="1" s="12">
      <c r="A491" s="16" t="inlineStr">
        <is>
          <t>F164-1</t>
        </is>
      </c>
      <c r="B491" s="16" t="inlineStr">
        <is>
          <t>comun</t>
        </is>
      </c>
      <c r="C491" s="16" t="inlineStr">
        <is>
          <t>Estado colombiano y función administrativa</t>
        </is>
      </c>
      <c r="D491" s="16" t="inlineStr">
        <is>
          <t>C164</t>
        </is>
      </c>
      <c r="E491" s="16" t="inlineStr">
        <is>
          <t>Caso 131</t>
        </is>
      </c>
      <c r="F491" s="16" t="inlineStr">
        <is>
          <t>El 4 de mayo un ciudadano radica en la ventanilla de la entidad una petición en la que solicita tres cosas: copia de su expediente, el concepto de la entidad sobre la legalidad de un cobro y copia del contrato de aseo vigente. La dependencia encargada responde el 2 de junio únicamente lo relativo al cobro. El ciudadano anuncia tutela por violación del derecho de petición.</t>
        </is>
      </c>
      <c r="G491" s="16" t="inlineStr">
        <is>
          <t>Los términos que debían aplicarse a cada solicitud son:</t>
        </is>
      </c>
      <c r="H491" s="16" t="inlineStr">
        <is>
          <t>Quince días hábiles para la petición general, diez para documentos e información y treinta para la consulta</t>
        </is>
      </c>
      <c r="I491" s="16" t="inlineStr">
        <is>
          <t>Quince días hábiles para las tres, conforme al término general del derecho de petición y motivar la decisión por escrito y notificar al interesado</t>
        </is>
      </c>
      <c r="J491" s="16" t="inlineStr">
        <is>
          <t>Diez días hábiles para las tres solicitudes, por tratarse de documentos en poder de la entidad pública</t>
        </is>
      </c>
      <c r="K491" s="16" t="inlineStr">
        <is>
          <t>A</t>
        </is>
      </c>
      <c r="L491" s="16" t="inlineStr">
        <is>
          <t>Quince (15) días para la petición general, diez (10) para documentos e información y treinta (30) para consultas. Ley 1755 de 2015, artículo 14; Constitución Política de 1991, artículo 23.</t>
        </is>
      </c>
      <c r="M491" s="16" t="inlineStr">
        <is>
          <t>La opción «Quince días hábiles para las…» uniforma términos que la norma diferencia y La opción «Diez días hábiles para las…» aplica a todo el término especial de documentos.</t>
        </is>
      </c>
      <c r="N491" s="16" t="inlineStr">
        <is>
          <t>Ley 1755 de 2015, art. 14; Constitución Política, art. 23</t>
        </is>
      </c>
      <c r="O491" s="16" t="inlineStr">
        <is>
          <t>SI</t>
        </is>
      </c>
      <c r="P491" s="16" t="inlineStr">
        <is>
          <t>Media</t>
        </is>
      </c>
      <c r="Q491" s="16" t="inlineStr">
        <is>
          <t>v2</t>
        </is>
      </c>
      <c r="R491" s="16" t="inlineStr">
        <is>
          <t>Básico</t>
        </is>
      </c>
    </row>
    <row r="492" ht="15" customHeight="1" s="12">
      <c r="A492" s="16" t="inlineStr">
        <is>
          <t>F164-2</t>
        </is>
      </c>
      <c r="B492" s="16" t="inlineStr">
        <is>
          <t>comun</t>
        </is>
      </c>
      <c r="C492" s="16" t="inlineStr">
        <is>
          <t>Estado colombiano y función administrativa</t>
        </is>
      </c>
      <c r="D492" s="16" t="inlineStr">
        <is>
          <t>C164</t>
        </is>
      </c>
      <c r="E492" s="16" t="inlineStr">
        <is>
          <t>Caso 131</t>
        </is>
      </c>
      <c r="F492" s="16" t="inlineStr">
        <is>
          <t>El 4 de mayo un ciudadano radica en la ventanilla de la entidad una petición en la que solicita tres cosas: copia de su expediente, el concepto de la entidad sobre la legalidad de un cobro y copia del contrato de aseo vigente. La dependencia encargada responde el 2 de junio únicamente lo relativo al cobro. El ciudadano anuncia tutela por violación del derecho de petición.</t>
        </is>
      </c>
      <c r="G492" s="16" t="inlineStr">
        <is>
          <t>Si la entidad no podía responder a tiempo, debía:</t>
        </is>
      </c>
      <c r="H492" s="16" t="inlineStr">
        <is>
          <t>Responder parcialmente y esperar a que el peticionario insista por lo que falta</t>
        </is>
      </c>
      <c r="I492" s="16" t="inlineStr">
        <is>
          <t>Informar internamente la congestión de la dependencia y dejar constancia</t>
        </is>
      </c>
      <c r="J492" s="16" t="inlineStr">
        <is>
          <t>Informar antes del vencimiento los motivos y el plazo en que responderá</t>
        </is>
      </c>
      <c r="K492" s="16" t="inlineStr">
        <is>
          <t>C</t>
        </is>
      </c>
      <c r="L492" s="16" t="inlineStr">
        <is>
          <t>Cuando no es posible resolver en el término, la entidad debe informarlo antes del vencimiento, explicar la demora y anunciar el nuevo plazo.</t>
        </is>
      </c>
      <c r="M492" s="16" t="inlineStr">
        <is>
          <t>La constancia interna no le dice nada al ciudadano, y responder a medias traslada al peticionario la carga de reclamar lo omitido.</t>
        </is>
      </c>
      <c r="N492" s="16" t="inlineStr">
        <is>
          <t>Ley 1755 de 2015, art. 14, parágrafo</t>
        </is>
      </c>
      <c r="O492" s="16" t="inlineStr">
        <is>
          <t>SI</t>
        </is>
      </c>
      <c r="P492" s="16" t="inlineStr">
        <is>
          <t>Media</t>
        </is>
      </c>
      <c r="Q492" s="16" t="inlineStr">
        <is>
          <t>v2</t>
        </is>
      </c>
      <c r="R492" s="16" t="inlineStr">
        <is>
          <t>Básico</t>
        </is>
      </c>
    </row>
    <row r="493" ht="15" customHeight="1" s="12">
      <c r="A493" s="16" t="inlineStr">
        <is>
          <t>F164-3</t>
        </is>
      </c>
      <c r="B493" s="16" t="inlineStr">
        <is>
          <t>comun</t>
        </is>
      </c>
      <c r="C493" s="16" t="inlineStr">
        <is>
          <t>Estado colombiano y función administrativa</t>
        </is>
      </c>
      <c r="D493" s="16" t="inlineStr">
        <is>
          <t>C164</t>
        </is>
      </c>
      <c r="E493" s="16" t="inlineStr">
        <is>
          <t>Caso 131</t>
        </is>
      </c>
      <c r="F493" s="16" t="inlineStr">
        <is>
          <t>El 4 de mayo un ciudadano radica en la ventanilla de la entidad una petición en la que solicita tres cosas: copia de su expediente, el concepto de la entidad sobre la legalidad de un cobro y copia del contrato de aseo vigente. La dependencia encargada responde el 2 de junio únicamente lo relativo al cobro. El ciudadano anuncia tutela por violación del derecho de petición.</t>
        </is>
      </c>
      <c r="G493" s="16" t="inlineStr">
        <is>
          <t>Respecto de la copia del contrato de aseo, la entidad debe:</t>
        </is>
      </c>
      <c r="H493" s="16" t="inlineStr">
        <is>
          <t>Negarla, porque la información contractual solo se entrega a los oferentes del proceso</t>
        </is>
      </c>
      <c r="I493" s="16" t="inlineStr">
        <is>
          <t>Entregarla, protegiendo con tacha los datos personales de terceros que contenga</t>
        </is>
      </c>
      <c r="J493" s="16" t="inlineStr">
        <is>
          <t>Remitir al ciudadano al SECOP para que la consulte por su cuenta</t>
        </is>
      </c>
      <c r="K493" s="16" t="inlineStr">
        <is>
          <t>B</t>
        </is>
      </c>
      <c r="L493" s="16" t="inlineStr">
        <is>
          <t>La información contractual es pública y se entrega, protegiendo únicamente los datos amparados por reserva.</t>
        </is>
      </c>
      <c r="M493" s="16" t="inlineStr">
        <is>
          <t>La opción «Negarla, porque la información contractual…» invierte el principio de máxima publicidad y La opción «Remitir al ciudadano al SECOP…» elude el deber de responder de fondo, aunque la información también esté publicada.</t>
        </is>
      </c>
      <c r="N493" s="16" t="inlineStr">
        <is>
          <t>Constitución Política de 1991, art. 74; Ley 1712 de 2014, arts. 2 y 21</t>
        </is>
      </c>
      <c r="O493" s="16" t="inlineStr">
        <is>
          <t>SI</t>
        </is>
      </c>
      <c r="P493" s="16" t="inlineStr">
        <is>
          <t>Media</t>
        </is>
      </c>
      <c r="Q493" s="16" t="inlineStr">
        <is>
          <t>v2</t>
        </is>
      </c>
      <c r="R493" s="16" t="inlineStr">
        <is>
          <t>Básico</t>
        </is>
      </c>
    </row>
    <row r="494" ht="15" customHeight="1" s="12">
      <c r="A494" s="16" t="inlineStr">
        <is>
          <t>F165-1</t>
        </is>
      </c>
      <c r="B494" s="16" t="inlineStr">
        <is>
          <t>comun</t>
        </is>
      </c>
      <c r="C494" s="16" t="inlineStr">
        <is>
          <t>Estado colombiano y función administrativa</t>
        </is>
      </c>
      <c r="D494" s="16" t="inlineStr">
        <is>
          <t>C165</t>
        </is>
      </c>
      <c r="E494" s="16" t="inlineStr">
        <is>
          <t>Caso 132</t>
        </is>
      </c>
      <c r="F494" s="16" t="inlineStr">
        <is>
          <t>Una funcionaria de la entidad consulta el expediente de su vecina, con quien tiene un conflicto personal, y comenta el diagnóstico en el grupo de WhatsApp del barrio. La afectada se entera, exige explicaciones y pide que se elimine toda su información de los sistemas de la entidad. La oficina jurídica debe conceptuar.</t>
        </is>
      </c>
      <c r="G494" s="16" t="inlineStr">
        <is>
          <t>El derecho vulnerado con la consulta y la divulgación es, en primer lugar:</t>
        </is>
      </c>
      <c r="H494" s="16" t="inlineStr">
        <is>
          <t>El buen nombre, porque lo divulgado afectó la reputación de la afectada y notificar al interesado y archivar el soporte del caso</t>
        </is>
      </c>
      <c r="I494" s="16" t="inlineStr">
        <is>
          <t>La intimidad y el habeas data, por el acceso indebido y la circulación del dato</t>
        </is>
      </c>
      <c r="J494" s="16" t="inlineStr">
        <is>
          <t>El derecho de petición, porque no obtuvo explicaciones de la institución y archivar el soporte del caso y anotar la fecha de la gestión</t>
        </is>
      </c>
      <c r="K494" s="16" t="inlineStr">
        <is>
          <t>B</t>
        </is>
      </c>
      <c r="L494" s="16" t="inlineStr">
        <is>
          <t>El acceso sin finalidad asistencial y la divulgación de un dato sensible vulneran la intimidad y el derecho a conocer, actualizar y controlar la información personal.</t>
        </is>
      </c>
      <c r="M494" s="16" t="inlineStr">
        <is>
          <t>El buen nombre puede verse afectado de rebote y la petición es un trámite posterior: ninguno es el derecho vulnerado en primer lugar.</t>
        </is>
      </c>
      <c r="N494" s="16" t="inlineStr">
        <is>
          <t>Constitución Política de 1991, art. 15; Ley 1581 de 2012</t>
        </is>
      </c>
      <c r="O494" s="16" t="inlineStr">
        <is>
          <t>SI</t>
        </is>
      </c>
      <c r="P494" s="16" t="inlineStr">
        <is>
          <t>Media</t>
        </is>
      </c>
      <c r="Q494" s="16" t="inlineStr">
        <is>
          <t>v2</t>
        </is>
      </c>
      <c r="R494" s="16" t="inlineStr">
        <is>
          <t>Básico</t>
        </is>
      </c>
    </row>
    <row r="495" ht="15" customHeight="1" s="12">
      <c r="A495" s="16" t="inlineStr">
        <is>
          <t>F165-2</t>
        </is>
      </c>
      <c r="B495" s="16" t="inlineStr">
        <is>
          <t>comun</t>
        </is>
      </c>
      <c r="C495" s="16" t="inlineStr">
        <is>
          <t>Estado colombiano y función administrativa</t>
        </is>
      </c>
      <c r="D495" s="16" t="inlineStr">
        <is>
          <t>C165</t>
        </is>
      </c>
      <c r="E495" s="16" t="inlineStr">
        <is>
          <t>Caso 132</t>
        </is>
      </c>
      <c r="F495" s="16" t="inlineStr">
        <is>
          <t>Una funcionaria de la entidad consulta el expediente de su vecina, con quien tiene un conflicto personal, y comenta el diagnóstico en el grupo de WhatsApp del barrio. La afectada se entera, exige explicaciones y pide que se elimine toda su información de los sistemas de la entidad. La oficina jurídica debe conceptuar.</t>
        </is>
      </c>
      <c r="G495" s="16" t="inlineStr">
        <is>
          <t>Frente a la petición de eliminar toda su información de los sistemas, la entidad debe:</t>
        </is>
      </c>
      <c r="H495" s="16" t="inlineStr">
        <is>
          <t>Explicar que la historia se conserva por ley y atender el reclamo por el uso indebido</t>
        </is>
      </c>
      <c r="I495" s="16" t="inlineStr">
        <is>
          <t>Trasladar la solicitud a la Superintendencia de Industria y Comercio para que decida</t>
        </is>
      </c>
      <c r="J495" s="16" t="inlineStr">
        <is>
          <t>Eliminar de inmediato los registros, porque el titular puede revocar la autorización</t>
        </is>
      </c>
      <c r="K495" s="16" t="inlineStr">
        <is>
          <t>A</t>
        </is>
      </c>
      <c r="L495" s="16" t="inlineStr">
        <is>
          <t>El derecho de supresión no alcanza a el expediente, cuya conservación es un deber legal; lo que procede es atender el reclamo por el uso indebido.</t>
        </is>
      </c>
      <c r="M495" s="16" t="inlineStr">
        <is>
          <t>Eliminar desconoce un deber legal de conservación, y trasladar a la autoridad evade una respuesta que debe dar el responsable.</t>
        </is>
      </c>
      <c r="N495" s="16" t="inlineStr">
        <is>
          <t>Ley 1581 de 2012, art. 8; Resolución 1995 de 1999, modificada por la Resolución 839 de 2017</t>
        </is>
      </c>
      <c r="O495" s="16" t="inlineStr">
        <is>
          <t>SI</t>
        </is>
      </c>
      <c r="P495" s="16" t="inlineStr">
        <is>
          <t>Media</t>
        </is>
      </c>
      <c r="Q495" s="16" t="inlineStr">
        <is>
          <t>v2</t>
        </is>
      </c>
      <c r="R495" s="16" t="inlineStr">
        <is>
          <t>Básico</t>
        </is>
      </c>
    </row>
    <row r="496" ht="15" customHeight="1" s="12">
      <c r="A496" s="16" t="inlineStr">
        <is>
          <t>F165-3</t>
        </is>
      </c>
      <c r="B496" s="16" t="inlineStr">
        <is>
          <t>comun</t>
        </is>
      </c>
      <c r="C496" s="16" t="inlineStr">
        <is>
          <t>Estado colombiano y función administrativa</t>
        </is>
      </c>
      <c r="D496" s="16" t="inlineStr">
        <is>
          <t>C165</t>
        </is>
      </c>
      <c r="E496" s="16" t="inlineStr">
        <is>
          <t>Caso 132</t>
        </is>
      </c>
      <c r="F496" s="16" t="inlineStr">
        <is>
          <t>Una funcionaria de la entidad consulta el expediente de su vecina, con quien tiene un conflicto personal, y comenta el diagnóstico en el grupo de WhatsApp del barrio. La afectada se entera, exige explicaciones y pide que se elimine toda su información de los sistemas de la entidad. La oficina jurídica debe conceptuar.</t>
        </is>
      </c>
      <c r="G496" s="16" t="inlineStr">
        <is>
          <t>La conducta de la funcionaria puede comprometer:</t>
        </is>
      </c>
      <c r="H496" s="16" t="inlineStr">
        <is>
          <t>Responsabilidad civil frente a la afectada, mediante demanda ante el juez ordinario</t>
        </is>
      </c>
      <c r="I496" s="16" t="inlineStr">
        <is>
          <t>Responsabilidad disciplinaria, conforme al régimen aplicable a los servidores</t>
        </is>
      </c>
      <c r="J496" s="16" t="inlineStr">
        <is>
          <t>Responsabilidad disciplinaria y, según el caso, también penal por divulgar el dato</t>
        </is>
      </c>
      <c r="K496" s="16" t="inlineStr">
        <is>
          <t>C</t>
        </is>
      </c>
      <c r="L496" s="16" t="inlineStr">
        <is>
          <t>El acceso indebido y la divulgación de datos personales comprometen la responsabilidad disciplinaria y pueden tipificar un delito contra la protección de la información.</t>
        </is>
      </c>
      <c r="M496" s="16" t="inlineStr">
        <is>
          <t>Cada una se queda en un solo régimen, cuando la conducta puede comprometer varios de manera simultánea.</t>
        </is>
      </c>
      <c r="N496" s="16" t="inlineStr">
        <is>
          <t>Ley 1952 de 2019; Código Penal, art. 269F</t>
        </is>
      </c>
      <c r="O496" s="16" t="inlineStr">
        <is>
          <t>SI</t>
        </is>
      </c>
      <c r="P496" s="16" t="inlineStr">
        <is>
          <t>Media</t>
        </is>
      </c>
      <c r="Q496" s="16" t="inlineStr">
        <is>
          <t>v2</t>
        </is>
      </c>
      <c r="R496" s="16" t="inlineStr">
        <is>
          <t>Básico</t>
        </is>
      </c>
    </row>
    <row r="497" ht="15" customHeight="1" s="12">
      <c r="A497" s="16" t="inlineStr">
        <is>
          <t>F166-1</t>
        </is>
      </c>
      <c r="B497" s="16" t="inlineStr">
        <is>
          <t>comun</t>
        </is>
      </c>
      <c r="C497" s="16" t="inlineStr">
        <is>
          <t>Estado colombiano y función administrativa</t>
        </is>
      </c>
      <c r="D497" s="16" t="inlineStr">
        <is>
          <t>C166</t>
        </is>
      </c>
      <c r="E497" s="16" t="inlineStr">
        <is>
          <t>Caso 133</t>
        </is>
      </c>
      <c r="F497" s="16" t="inlineStr">
        <is>
          <t>Un juez concede una tutela y ordena a la entidad practicar un procedimiento dentro de las cuarenta y ocho horas siguientes a la notificación. La gerencia considera que el fallo es equivocado porque la obligación era de la EPS, y el área jurídica propone esperar el resultado de la impugnación antes de programar el procedimiento.</t>
        </is>
      </c>
      <c r="G497" s="16" t="inlineStr">
        <is>
          <t>Frente a la orden judicial, la conducta institucional correcta es:</t>
        </is>
      </c>
      <c r="H497" s="16" t="inlineStr">
        <is>
          <t>Esperar la decisión de segunda instancia, porque la impugnación deja el fallo sin efectos mientras se resuelve y anotar la fecha de la gestión</t>
        </is>
      </c>
      <c r="I497" s="16" t="inlineStr">
        <is>
          <t>Cumplir dentro del término fijado e impugnar en paralelo, pues la impugnación no suspende el cumplimiento</t>
        </is>
      </c>
      <c r="J497" s="16" t="inlineStr">
        <is>
          <t>Solicitar al juez una aclaración del fallo y contar el término desde la respuesta que este entregue</t>
        </is>
      </c>
      <c r="K497" s="16" t="inlineStr">
        <is>
          <t>B</t>
        </is>
      </c>
      <c r="L497" s="16" t="inlineStr">
        <is>
          <t>El fallo de tutela es de cumplimiento inmediato y la impugnación se surte ante el superior sin suspender lo ordenado.</t>
        </is>
      </c>
      <c r="M497" s="16" t="inlineStr">
        <is>
          <t>Las otras opciones, «Esperar la decisión de segunda…» y «Solicitar al juez una aclaración…», aplazan un cumplimiento que la ley ordena de manera inmediata.</t>
        </is>
      </c>
      <c r="N497" s="16" t="inlineStr">
        <is>
          <t>Constitución Política de 1991, art. 86; Decreto 2591 de 1991, arts. 27 y 31</t>
        </is>
      </c>
      <c r="O497" s="16" t="inlineStr">
        <is>
          <t>SI</t>
        </is>
      </c>
      <c r="P497" s="16" t="inlineStr">
        <is>
          <t>Media</t>
        </is>
      </c>
      <c r="Q497" s="16" t="inlineStr">
        <is>
          <t>v2</t>
        </is>
      </c>
      <c r="R497" s="16" t="inlineStr">
        <is>
          <t>Básico</t>
        </is>
      </c>
    </row>
    <row r="498" ht="15" customHeight="1" s="12">
      <c r="A498" s="16" t="inlineStr">
        <is>
          <t>F166-2</t>
        </is>
      </c>
      <c r="B498" s="16" t="inlineStr">
        <is>
          <t>comun</t>
        </is>
      </c>
      <c r="C498" s="16" t="inlineStr">
        <is>
          <t>Estado colombiano y función administrativa</t>
        </is>
      </c>
      <c r="D498" s="16" t="inlineStr">
        <is>
          <t>C166</t>
        </is>
      </c>
      <c r="E498" s="16" t="inlineStr">
        <is>
          <t>Caso 133</t>
        </is>
      </c>
      <c r="F498" s="16" t="inlineStr">
        <is>
          <t>Un juez concede una tutela y ordena a la entidad practicar un procedimiento dentro de las cuarenta y ocho horas siguientes a la notificación. La gerencia considera que el fallo es equivocado porque la obligación era de la EPS, y el área jurídica propone esperar el resultado de la impugnación antes de programar el procedimiento.</t>
        </is>
      </c>
      <c r="G498" s="16" t="inlineStr">
        <is>
          <t>El término para impugnar el fallo de tutela es de:</t>
        </is>
      </c>
      <c r="H498" s="16" t="inlineStr">
        <is>
          <t>Tres días siguientes a la notificación de la decisión de primera instancia</t>
        </is>
      </c>
      <c r="I498" s="16" t="inlineStr">
        <is>
          <t>Cinco días siguientes a la notificación de la decisión de primera instancia</t>
        </is>
      </c>
      <c r="J498" s="16" t="inlineStr">
        <is>
          <t>Diez días siguientes a la notificación de la decisión de primera instancia</t>
        </is>
      </c>
      <c r="K498" s="16" t="inlineStr">
        <is>
          <t>A</t>
        </is>
      </c>
      <c r="L498" s="16" t="inlineStr">
        <is>
          <t>Tres (3) días siguientes a la notificación del fallo de primera instancia para impugnar. Decreto 2591 de 1991, artículo 31.</t>
        </is>
      </c>
      <c r="M498" s="16" t="inlineStr">
        <is>
          <t>Las otras opciones, «Cinco días siguientes a la…» y «Diez días siguientes a la…», usan términos propios de otras actuaciones administrativas o judiciales.</t>
        </is>
      </c>
      <c r="N498" s="16" t="inlineStr">
        <is>
          <t>Decreto 2591 de 1991, art. 31</t>
        </is>
      </c>
      <c r="O498" s="16" t="inlineStr">
        <is>
          <t>SI</t>
        </is>
      </c>
      <c r="P498" s="16" t="inlineStr">
        <is>
          <t>Media</t>
        </is>
      </c>
      <c r="Q498" s="16" t="inlineStr">
        <is>
          <t>v2</t>
        </is>
      </c>
      <c r="R498" s="16" t="inlineStr">
        <is>
          <t>Básico</t>
        </is>
      </c>
    </row>
    <row r="499" ht="15" customHeight="1" s="12">
      <c r="A499" s="16" t="inlineStr">
        <is>
          <t>F166-3</t>
        </is>
      </c>
      <c r="B499" s="16" t="inlineStr">
        <is>
          <t>comun</t>
        </is>
      </c>
      <c r="C499" s="16" t="inlineStr">
        <is>
          <t>Estado colombiano y función administrativa</t>
        </is>
      </c>
      <c r="D499" s="16" t="inlineStr">
        <is>
          <t>C166</t>
        </is>
      </c>
      <c r="E499" s="16" t="inlineStr">
        <is>
          <t>Caso 133</t>
        </is>
      </c>
      <c r="F499" s="16" t="inlineStr">
        <is>
          <t>Un juez concede una tutela y ordena a la entidad practicar un procedimiento dentro de las cuarenta y ocho horas siguientes a la notificación. La gerencia considera que el fallo es equivocado porque la obligación era de la EPS, y el área jurídica propone esperar el resultado de la impugnación antes de programar el procedimiento.</t>
        </is>
      </c>
      <c r="G499" s="16" t="inlineStr">
        <is>
          <t>Si la entidad no cumple la orden, el mecanismo que puede activar el accionante es:</t>
        </is>
      </c>
      <c r="H499" s="16" t="inlineStr">
        <is>
          <t>La acción de cumplimiento ante la jurisdicción de lo contencioso administrativo</t>
        </is>
      </c>
      <c r="I499" s="16" t="inlineStr">
        <is>
          <t>La queja disciplinaria ante la Procuraduría como único camino frente al incumplimiento</t>
        </is>
      </c>
      <c r="J499" s="16" t="inlineStr">
        <is>
          <t>El incidente de desacato ante el mismo juez que profirió el fallo de tutela</t>
        </is>
      </c>
      <c r="K499" s="16" t="inlineStr">
        <is>
          <t>C</t>
        </is>
      </c>
      <c r="L499" s="16" t="inlineStr">
        <is>
          <t>El desacato lo tramita el juez que dictó el fallo y puede imponer sanción a quien incumple.</t>
        </is>
      </c>
      <c r="M499" s="16" t="inlineStr">
        <is>
          <t>La opción «La acción de cumplimiento ante…» está prevista para hacer cumplir leyes y actos administrativos, no fallos de tutela; La opción «La queja disciplinaria ante la…» es una vía adicional, no el mecanismo propio.</t>
        </is>
      </c>
      <c r="N499" s="16" t="inlineStr">
        <is>
          <t>Decreto 2591 de 1991, art. 52; Ley 393 de 1997</t>
        </is>
      </c>
      <c r="O499" s="16" t="inlineStr">
        <is>
          <t>SI</t>
        </is>
      </c>
      <c r="P499" s="16" t="inlineStr">
        <is>
          <t>Media</t>
        </is>
      </c>
      <c r="Q499" s="16" t="inlineStr">
        <is>
          <t>v2</t>
        </is>
      </c>
      <c r="R499" s="16" t="inlineStr">
        <is>
          <t>Básico</t>
        </is>
      </c>
    </row>
    <row r="500" ht="15" customHeight="1" s="12">
      <c r="A500" s="16" t="inlineStr">
        <is>
          <t>F167-1</t>
        </is>
      </c>
      <c r="B500" s="16" t="inlineStr">
        <is>
          <t>comun</t>
        </is>
      </c>
      <c r="C500" s="16" t="inlineStr">
        <is>
          <t>Estado colombiano y función administrativa</t>
        </is>
      </c>
      <c r="D500" s="16" t="inlineStr">
        <is>
          <t>C167</t>
        </is>
      </c>
      <c r="E500" s="16" t="inlineStr">
        <is>
          <t>Caso 134</t>
        </is>
      </c>
      <c r="F500" s="16" t="inlineStr">
        <is>
          <t>En el proceso de selección de una auxiliar administrativa, la entidad exige un examen de embarazo dentro de los documentos de la posesión y pregunta a las aspirantes sobre sus planes familiares. Una aspirante lo advierte y pide que se retire el requisito.</t>
        </is>
      </c>
      <c r="G500" s="16" t="inlineStr">
        <is>
          <t>La exigencia descrita constituye:</t>
        </is>
      </c>
      <c r="H500" s="16" t="inlineStr">
        <is>
          <t>Un requisito válido de la historia laboral, si se aplica a todas las aspirantes</t>
        </is>
      </c>
      <c r="I500" s="16" t="inlineStr">
        <is>
          <t>Una exigencia prohibida, porque el embarazo no puede condicionar el acceso al empleo</t>
        </is>
      </c>
      <c r="J500" s="16" t="inlineStr">
        <is>
          <t>Una condición admisible cuando el empleo implica riesgo para la trabajadora</t>
        </is>
      </c>
      <c r="K500" s="16" t="inlineStr">
        <is>
          <t>B</t>
        </is>
      </c>
      <c r="L500" s="16" t="inlineStr">
        <is>
          <t>La prueba de embarazo como condición de acceso al empleo está proscrita y configura un trato discriminatorio.</t>
        </is>
      </c>
      <c r="M500" s="16" t="inlineStr">
        <is>
          <t>La opción «Un requisito válido de la…» justifica la exigencia por su generalidad y La opción «Una condición admisible cuando el…» invoca un riesgo que se maneja con medidas de protección, no excluyendo a la aspirante.</t>
        </is>
      </c>
      <c r="N500" s="16" t="inlineStr">
        <is>
          <t>Constitución Política de 1991, arts. 13, 43 y 53</t>
        </is>
      </c>
      <c r="O500" s="16" t="inlineStr">
        <is>
          <t>SI</t>
        </is>
      </c>
      <c r="P500" s="16" t="inlineStr">
        <is>
          <t>Media</t>
        </is>
      </c>
      <c r="Q500" s="16" t="inlineStr">
        <is>
          <t>v2</t>
        </is>
      </c>
      <c r="R500" s="16" t="inlineStr">
        <is>
          <t>Básico</t>
        </is>
      </c>
    </row>
    <row r="501" ht="15" customHeight="1" s="12">
      <c r="A501" s="16" t="inlineStr">
        <is>
          <t>F167-2</t>
        </is>
      </c>
      <c r="B501" s="16" t="inlineStr">
        <is>
          <t>comun</t>
        </is>
      </c>
      <c r="C501" s="16" t="inlineStr">
        <is>
          <t>Estado colombiano y función administrativa</t>
        </is>
      </c>
      <c r="D501" s="16" t="inlineStr">
        <is>
          <t>C167</t>
        </is>
      </c>
      <c r="E501" s="16" t="inlineStr">
        <is>
          <t>Caso 134</t>
        </is>
      </c>
      <c r="F501" s="16" t="inlineStr">
        <is>
          <t>En el proceso de selección de una auxiliar administrativa, la entidad exige un examen de embarazo dentro de los documentos de la posesión y pregunta a las aspirantes sobre sus planes familiares. Una aspirante lo advierte y pide que se retire el requisito.</t>
        </is>
      </c>
      <c r="G501" s="16" t="inlineStr">
        <is>
          <t>El principio constitucional que rige el acceso a los empleos de carrera es:</t>
        </is>
      </c>
      <c r="H501" s="16" t="inlineStr">
        <is>
          <t>La antigüedad de quien haya prestado servicios a la entidad de manera continua</t>
        </is>
      </c>
      <c r="I501" s="16" t="inlineStr">
        <is>
          <t>La discrecionalidad del nominador, motivada por escrito en las necesidades del servicio</t>
        </is>
      </c>
      <c r="J501" s="16" t="inlineStr">
        <is>
          <t>El mérito, comprobado mediante concurso público adelantado conforme a la ley</t>
        </is>
      </c>
      <c r="K501" s="16" t="inlineStr">
        <is>
          <t>C</t>
        </is>
      </c>
      <c r="L501" s="16" t="inlineStr">
        <is>
          <t>El ingreso y el ascenso en los empleos de carrera se rigen por el mérito, verificado mediante concurso público.</t>
        </is>
      </c>
      <c r="M501" s="16" t="inlineStr">
        <is>
          <t>Las otras opciones, «La antigüedad de quien haya…» y «La discrecionalidad del nominador, motivada…», usan criterios que la Constitución excluye para la provisión de los empleos de carrera.</t>
        </is>
      </c>
      <c r="N501" s="16" t="inlineStr">
        <is>
          <t>Constitución Política de 1991, art. 125; Ley 909 de 2004</t>
        </is>
      </c>
      <c r="O501" s="16" t="inlineStr">
        <is>
          <t>SI</t>
        </is>
      </c>
      <c r="P501" s="16" t="inlineStr">
        <is>
          <t>Media</t>
        </is>
      </c>
      <c r="Q501" s="16" t="inlineStr">
        <is>
          <t>v2</t>
        </is>
      </c>
      <c r="R501" s="16" t="inlineStr">
        <is>
          <t>Básico</t>
        </is>
      </c>
    </row>
    <row r="502" ht="15" customHeight="1" s="12">
      <c r="A502" s="16" t="inlineStr">
        <is>
          <t>F167-3</t>
        </is>
      </c>
      <c r="B502" s="16" t="inlineStr">
        <is>
          <t>comun</t>
        </is>
      </c>
      <c r="C502" s="16" t="inlineStr">
        <is>
          <t>Estado colombiano y función administrativa</t>
        </is>
      </c>
      <c r="D502" s="16" t="inlineStr">
        <is>
          <t>C167</t>
        </is>
      </c>
      <c r="E502" s="16" t="inlineStr">
        <is>
          <t>Caso 134</t>
        </is>
      </c>
      <c r="F502" s="16" t="inlineStr">
        <is>
          <t>En el proceso de selección de una auxiliar administrativa, la entidad exige un examen de embarazo dentro de los documentos de la posesión y pregunta a las aspirantes sobre sus planes familiares. Una aspirante lo advierte y pide que se retire el requisito.</t>
        </is>
      </c>
      <c r="G502" s="16" t="inlineStr">
        <is>
          <t>Si la aspirante decide reclamar, la vía inicial adecuada es:</t>
        </is>
      </c>
      <c r="H502" s="16" t="inlineStr">
        <is>
          <t>La reclamación ante la CNSC dentro del proceso, conforme al acuerdo</t>
        </is>
      </c>
      <c r="I502" s="16" t="inlineStr">
        <is>
          <t>La demanda de nulidad y restablecimiento, previa caducidad del término</t>
        </is>
      </c>
      <c r="J502" s="16" t="inlineStr">
        <is>
          <t>La denuncia penal por discriminación, conforme al Código Penal</t>
        </is>
      </c>
      <c r="K502" s="16" t="inlineStr">
        <is>
          <t>A</t>
        </is>
      </c>
      <c r="L502" s="16" t="inlineStr">
        <is>
          <t>Dentro del proceso de selección, las inconformidades se tramitan como reclamaciones ante la CNSC, en los términos del acuerdo de convocatoria. Ley 909 de 2004, artículo 31; Acuerdos CNSC 80 y 76 de 2026.</t>
        </is>
      </c>
      <c r="M502" s="16" t="inlineStr">
        <is>
          <t>Ambas son vías posteriores o paralelas que no reemplazan el trámite propio del proceso de selección.</t>
        </is>
      </c>
      <c r="N502" s="16" t="inlineStr">
        <is>
          <t>Ley 909 de 2004, art. 31; Acuerdos CNSC 80 y 76 de 2026</t>
        </is>
      </c>
      <c r="O502" s="16" t="inlineStr">
        <is>
          <t>SI</t>
        </is>
      </c>
      <c r="P502" s="16" t="inlineStr">
        <is>
          <t>Media</t>
        </is>
      </c>
      <c r="Q502" s="16" t="inlineStr">
        <is>
          <t>v2</t>
        </is>
      </c>
      <c r="R502" s="16" t="inlineStr">
        <is>
          <t>Básico</t>
        </is>
      </c>
    </row>
    <row r="503" ht="15" customHeight="1" s="12">
      <c r="A503" s="16" t="inlineStr">
        <is>
          <t>F168-1</t>
        </is>
      </c>
      <c r="B503" s="16" t="inlineStr">
        <is>
          <t>comun</t>
        </is>
      </c>
      <c r="C503" s="16" t="inlineStr">
        <is>
          <t>Estado colombiano y función administrativa</t>
        </is>
      </c>
      <c r="D503" s="16" t="inlineStr">
        <is>
          <t>C168</t>
        </is>
      </c>
      <c r="E503" s="16" t="inlineStr">
        <is>
          <t>Caso 135</t>
        </is>
      </c>
      <c r="F503" s="16" t="inlineStr">
        <is>
          <t>la entidad es una entidad. del orden departamental. En una reunión de coordinación, el alcalde de un municipio del Huila sostiene que puede impartir instrucciones directas a la gerencia; el secretario departamental de salud afirma que la entidad depende de él como si fuera una dependencia; y un concejal anuncia que el concejo municipal citará al director a rendir cuentas.</t>
        </is>
      </c>
      <c r="G503" s="16" t="inlineStr">
        <is>
          <t>Sobre la naturaleza de la entidad, lo correcto es afirmar que:</t>
        </is>
      </c>
      <c r="H503" s="16" t="inlineStr">
        <is>
          <t>Es una dependencia de la secretaría departamental de salud</t>
        </is>
      </c>
      <c r="I503" s="16" t="inlineStr">
        <is>
          <t>Es una entidad descentralizada del orden departamental, con autonomía administrativa y patrimonio propio</t>
        </is>
      </c>
      <c r="J503" s="16" t="inlineStr">
        <is>
          <t>Es un establecimiento público del orden municipal donde está ubicada su sede principal y comunicar la decisión al solicitante</t>
        </is>
      </c>
      <c r="K503" s="16" t="inlineStr">
        <is>
          <t>B</t>
        </is>
      </c>
      <c r="L503" s="16" t="inlineStr">
        <is>
          <t>Las entidad. son entidades públicas descentralizadas de categoría especial, con personería jurídica, patrimonio propio y autonomía administrativa.</t>
        </is>
      </c>
      <c r="M503" s="16" t="inlineStr">
        <is>
          <t>Las otras opciones, «Es una dependencia de la…» y «Es un establecimiento público del…», la subordinan jerárquicamente o le asignan un nivel territorial que no corresponde a su creación por ordenanza.</t>
        </is>
      </c>
      <c r="N503" s="16" t="inlineStr">
        <is>
          <t>Ley 100 de 1993, art. 194; Decreto 1876 de 1994</t>
        </is>
      </c>
      <c r="O503" s="16" t="inlineStr">
        <is>
          <t>NO</t>
        </is>
      </c>
      <c r="P503" s="16" t="inlineStr">
        <is>
          <t>Media</t>
        </is>
      </c>
      <c r="Q503" s="16" t="inlineStr">
        <is>
          <t>v2</t>
        </is>
      </c>
      <c r="R503" s="16" t="inlineStr">
        <is>
          <t>Básico</t>
        </is>
      </c>
    </row>
    <row r="504" ht="15" customHeight="1" s="12">
      <c r="A504" s="16" t="inlineStr">
        <is>
          <t>F168-2</t>
        </is>
      </c>
      <c r="B504" s="16" t="inlineStr">
        <is>
          <t>comun</t>
        </is>
      </c>
      <c r="C504" s="16" t="inlineStr">
        <is>
          <t>Estado colombiano y función administrativa</t>
        </is>
      </c>
      <c r="D504" s="16" t="inlineStr">
        <is>
          <t>C168</t>
        </is>
      </c>
      <c r="E504" s="16" t="inlineStr">
        <is>
          <t>Caso 135</t>
        </is>
      </c>
      <c r="F504" s="16" t="inlineStr">
        <is>
          <t>la entidad es una entidad. del orden departamental. En una reunión de coordinación, el alcalde de un municipio del Huila sostiene que puede impartir instrucciones directas a la gerencia; el secretario departamental de salud afirma que la entidad depende de él como si fuera una dependencia; y un concejal anuncia que el concejo municipal citará al director a rendir cuentas.</t>
        </is>
      </c>
      <c r="G504" s="16" t="inlineStr">
        <is>
          <t>La relación entre el departamento y la entidad se ejerce mediante:</t>
        </is>
      </c>
      <c r="H504" s="16" t="inlineStr">
        <is>
          <t>El control de tutela y la orientación del sector, ejercidos a través de la comité directivo</t>
        </is>
      </c>
      <c r="I504" s="16" t="inlineStr">
        <is>
          <t>La subordinación jerárquica, que le permite revocar directamente los actos de la gerencia y comunicar la decisión al solicitante</t>
        </is>
      </c>
      <c r="J504" s="16" t="inlineStr">
        <is>
          <t>El convenio interadministrativo</t>
        </is>
      </c>
      <c r="K504" s="16" t="inlineStr">
        <is>
          <t>A</t>
        </is>
      </c>
      <c r="L504" s="16" t="inlineStr">
        <is>
          <t>Sobre las entidades descentralizadas se ejerce control de tutela y orientación sectorial, no jerarquía; la comité directivo es la instancia de dirección.</t>
        </is>
      </c>
      <c r="M504" s="16" t="inlineStr">
        <is>
          <t>Hablar de jerarquía convierte en dependencia lo que la ley creó como entidad descentralizada; reducir el vínculo a un convenio deja por fuera la dirección del sector.</t>
        </is>
      </c>
      <c r="N504" s="16" t="inlineStr">
        <is>
          <t>Ley 489 de 1998, arts. 68 y 105; Constitución Política de 1991, art. 209</t>
        </is>
      </c>
      <c r="O504" s="16" t="inlineStr">
        <is>
          <t>NO</t>
        </is>
      </c>
      <c r="P504" s="16" t="inlineStr">
        <is>
          <t>Media</t>
        </is>
      </c>
      <c r="Q504" s="16" t="inlineStr">
        <is>
          <t>v2</t>
        </is>
      </c>
      <c r="R504" s="16" t="inlineStr">
        <is>
          <t>Básico</t>
        </is>
      </c>
    </row>
    <row r="505" ht="15" customHeight="1" s="12">
      <c r="A505" s="16" t="inlineStr">
        <is>
          <t>F168-3</t>
        </is>
      </c>
      <c r="B505" s="16" t="inlineStr">
        <is>
          <t>comun</t>
        </is>
      </c>
      <c r="C505" s="16" t="inlineStr">
        <is>
          <t>Estado colombiano y función administrativa</t>
        </is>
      </c>
      <c r="D505" s="16" t="inlineStr">
        <is>
          <t>C168</t>
        </is>
      </c>
      <c r="E505" s="16" t="inlineStr">
        <is>
          <t>Caso 135</t>
        </is>
      </c>
      <c r="F505" s="16" t="inlineStr">
        <is>
          <t>la entidad es una entidad. del orden departamental. En una reunión de coordinación, el alcalde de un municipio del Huila sostiene que puede impartir instrucciones directas a la gerencia; el secretario departamental de salud afirma que la entidad depende de él como si fuera una dependencia; y un concejal anuncia que el concejo municipal citará al director a rendir cuentas.</t>
        </is>
      </c>
      <c r="G505" s="16" t="inlineStr">
        <is>
          <t>La citación del concejo municipal al director de la entidad departamental:</t>
        </is>
      </c>
      <c r="H505" s="16" t="inlineStr">
        <is>
          <t>Procede si el municipio aporta recursos al presupuesto de la entidad en la vigencia</t>
        </is>
      </c>
      <c r="I505" s="16" t="inlineStr">
        <is>
          <t>Procede, porque la entidad presta servicios en el territorio de entidad municipio</t>
        </is>
      </c>
      <c r="J505" s="16" t="inlineStr">
        <is>
          <t>Excede su ámbito: el control político sobre esa entidad lo ejerce la asamblea departamental</t>
        </is>
      </c>
      <c r="K505" s="16" t="inlineStr">
        <is>
          <t>C</t>
        </is>
      </c>
      <c r="L505" s="16" t="inlineStr">
        <is>
          <t>El control político sobre las entidades del orden departamental corresponde a la asamblea; el concejo lo ejerce sobre la administración municipal.</t>
        </is>
      </c>
      <c r="M505" s="16" t="inlineStr">
        <is>
          <t>Ni la ubicación de la sede ni el aporte de recursos trasladan al concejo un control político que la Constitución asignó a la asamblea.</t>
        </is>
      </c>
      <c r="N505" s="16" t="inlineStr">
        <is>
          <t>Constitución Política de 1991, arts. 299, 300 y 313</t>
        </is>
      </c>
      <c r="O505" s="16" t="inlineStr">
        <is>
          <t>NO</t>
        </is>
      </c>
      <c r="P505" s="16" t="inlineStr">
        <is>
          <t>Media</t>
        </is>
      </c>
      <c r="Q505" s="16" t="inlineStr">
        <is>
          <t>v2</t>
        </is>
      </c>
      <c r="R505" s="16" t="inlineStr">
        <is>
          <t>Básico</t>
        </is>
      </c>
    </row>
    <row r="506" ht="15" customHeight="1" s="12">
      <c r="A506" s="16" t="inlineStr">
        <is>
          <t>F169-1</t>
        </is>
      </c>
      <c r="B506" s="16" t="inlineStr">
        <is>
          <t>comun</t>
        </is>
      </c>
      <c r="C506" s="16" t="inlineStr">
        <is>
          <t>Estado colombiano y función administrativa</t>
        </is>
      </c>
      <c r="D506" s="16" t="inlineStr">
        <is>
          <t>C169</t>
        </is>
      </c>
      <c r="E506" s="16" t="inlineStr">
        <is>
          <t>Caso 136</t>
        </is>
      </c>
      <c r="F506" s="16" t="inlineStr">
        <is>
          <t>En el comité de dirección se discute quién responde por qué en el sector salud del departamento. Se mencionan la Superintendencia Nacional de Salud, la secretaría departamental, la CNSC, la Contraloría y la Procuraduría, y hay confusión sobre las funciones de cada una frente a la entidad.</t>
        </is>
      </c>
      <c r="G506" s="16" t="inlineStr">
        <is>
          <t>La verificación del cumplimiento de las condiciones de habilitación de la entidad corresponde a:</t>
        </is>
      </c>
      <c r="H506" s="16" t="inlineStr">
        <is>
          <t>La dirección departamental de salud, en el marco de las competencias que le asigna la ley</t>
        </is>
      </c>
      <c r="I506" s="16" t="inlineStr">
        <is>
          <t>La Superintendencia Nacional de Salud, como autoridad de inspección y vigilancia del sector</t>
        </is>
      </c>
      <c r="J506" s="16" t="inlineStr">
        <is>
          <t>El Ministerio de Salud, que expide las condiciones de habilitación aplicables a los servicios</t>
        </is>
      </c>
      <c r="K506" s="16" t="inlineStr">
        <is>
          <t>A</t>
        </is>
      </c>
      <c r="L506" s="16" t="inlineStr">
        <is>
          <t>La verificación de las condiciones de habilitación es competencia de las direcciones departamentales y distritales de salud.</t>
        </is>
      </c>
      <c r="M506" s="16" t="inlineStr">
        <is>
          <t>La superintendencia vigila el sistema y el ministerio expide la norma, pero verificar el cumplimiento en terreno es competencia territorial.</t>
        </is>
      </c>
      <c r="N506" s="16" t="inlineStr">
        <is>
          <t>Ley 715 de 2001, art. 43; Resolución 3100 de 2019</t>
        </is>
      </c>
      <c r="O506" s="16" t="inlineStr">
        <is>
          <t>NO</t>
        </is>
      </c>
      <c r="P506" s="16" t="inlineStr">
        <is>
          <t>Media</t>
        </is>
      </c>
      <c r="Q506" s="16" t="inlineStr">
        <is>
          <t>v2</t>
        </is>
      </c>
      <c r="R506" s="16" t="inlineStr">
        <is>
          <t>Básico</t>
        </is>
      </c>
    </row>
    <row r="507" ht="15" customHeight="1" s="12">
      <c r="A507" s="16" t="inlineStr">
        <is>
          <t>F169-2</t>
        </is>
      </c>
      <c r="B507" s="16" t="inlineStr">
        <is>
          <t>comun</t>
        </is>
      </c>
      <c r="C507" s="16" t="inlineStr">
        <is>
          <t>Estado colombiano y función administrativa</t>
        </is>
      </c>
      <c r="D507" s="16" t="inlineStr">
        <is>
          <t>C169</t>
        </is>
      </c>
      <c r="E507" s="16" t="inlineStr">
        <is>
          <t>Caso 136</t>
        </is>
      </c>
      <c r="F507" s="16" t="inlineStr">
        <is>
          <t>En el comité de dirección se discute quién responde por qué en el sector salud del departamento. Se mencionan la Superintendencia Nacional de Salud, la secretaría departamental, la CNSC, la Contraloría y la Procuraduría, y hay confusión sobre las funciones de cada una frente a la entidad.</t>
        </is>
      </c>
      <c r="G507" s="16" t="inlineStr">
        <is>
          <t>El daño al patrimonio público por una compra sobrevalorada se investiga por:</t>
        </is>
      </c>
      <c r="H507" s="16" t="inlineStr">
        <is>
          <t>La Procuraduría, mediante el proceso disciplinario correspondiente</t>
        </is>
      </c>
      <c r="I507" s="16" t="inlineStr">
        <is>
          <t>La Superintendencia Nacional de Salud, mediante su función jurisdiccional</t>
        </is>
      </c>
      <c r="J507" s="16" t="inlineStr">
        <is>
          <t>La Contraloría, mediante el proceso de responsabilidad fiscal</t>
        </is>
      </c>
      <c r="K507" s="16" t="inlineStr">
        <is>
          <t>C</t>
        </is>
      </c>
      <c r="L507" s="16" t="inlineStr">
        <is>
          <t>El daño patrimonial al Estado se investiga en el proceso de responsabilidad fiscal a cargo de los órganos de control fiscal.</t>
        </is>
      </c>
      <c r="M507" s="16" t="inlineStr">
        <is>
          <t>La opción «La Procuraduría, mediante el proceso…» juzga la conducta funcional, no el daño patrimonial; La opción «La Superintendencia Nacional de Salud,…» resuelve conflictos entre actores del sistema de salud.</t>
        </is>
      </c>
      <c r="N507" s="16" t="inlineStr">
        <is>
          <t>Constitución Política de 1991, art. 267; Ley 610 de 2000</t>
        </is>
      </c>
      <c r="O507" s="16" t="inlineStr">
        <is>
          <t>NO</t>
        </is>
      </c>
      <c r="P507" s="16" t="inlineStr">
        <is>
          <t>Media</t>
        </is>
      </c>
      <c r="Q507" s="16" t="inlineStr">
        <is>
          <t>v2</t>
        </is>
      </c>
      <c r="R507" s="16" t="inlineStr">
        <is>
          <t>Básico</t>
        </is>
      </c>
    </row>
    <row r="508" ht="15" customHeight="1" s="12">
      <c r="A508" s="16" t="inlineStr">
        <is>
          <t>F169-3</t>
        </is>
      </c>
      <c r="B508" s="16" t="inlineStr">
        <is>
          <t>comun</t>
        </is>
      </c>
      <c r="C508" s="16" t="inlineStr">
        <is>
          <t>Estado colombiano y función administrativa</t>
        </is>
      </c>
      <c r="D508" s="16" t="inlineStr">
        <is>
          <t>C169</t>
        </is>
      </c>
      <c r="E508" s="16" t="inlineStr">
        <is>
          <t>Caso 136</t>
        </is>
      </c>
      <c r="F508" s="16" t="inlineStr">
        <is>
          <t>En el comité de dirección se discute quién responde por qué en el sector salud del departamento. Se mencionan la Superintendencia Nacional de Salud, la secretaría departamental, la CNSC, la Contraloría y la Procuraduría, y hay confusión sobre las funciones de cada una frente a la entidad.</t>
        </is>
      </c>
      <c r="G508" s="16" t="inlineStr">
        <is>
          <t>La CNSC, dentro de la estructura del Estado, es:</t>
        </is>
      </c>
      <c r="H508" s="16" t="inlineStr">
        <is>
          <t>Una unidad administrativa especial adscrita al Departamento Administrativo de la Función Pública y comunicarlo al área responsable y dejar constancia de la actuación</t>
        </is>
      </c>
      <c r="I508" s="16" t="inlineStr">
        <is>
          <t>Un órgano autónomo e independiente, responsable de la administración y vigilancia de las carreras</t>
        </is>
      </c>
      <c r="J508" s="16" t="inlineStr">
        <is>
          <t>Un organismo de control que integra el Ministerio Público junto con la Procuraduría General y dejar constancia de la actuación e informar al jefe inmediato</t>
        </is>
      </c>
      <c r="K508" s="16" t="inlineStr">
        <is>
          <t>B</t>
        </is>
      </c>
      <c r="L508" s="16" t="inlineStr">
        <is>
          <t>La Constitución define a la CNSC como un órgano autónomo e independiente, responsable de la administración y vigilancia de las carreras.</t>
        </is>
      </c>
      <c r="M508" s="16" t="inlineStr">
        <is>
          <t>La opción «Una unidad administrativa especial adscrita…» la ubica bajo adscripción y La opción «Un organismo de control que…» la incluye en el Ministerio Público, al que no pertenece.</t>
        </is>
      </c>
      <c r="N508" s="16" t="inlineStr">
        <is>
          <t>Constitución Política de 1991, art. 130; Ley 909 de 2004</t>
        </is>
      </c>
      <c r="O508" s="16" t="inlineStr">
        <is>
          <t>NO</t>
        </is>
      </c>
      <c r="P508" s="16" t="inlineStr">
        <is>
          <t>Media</t>
        </is>
      </c>
      <c r="Q508" s="16" t="inlineStr">
        <is>
          <t>v2</t>
        </is>
      </c>
      <c r="R508" s="16" t="inlineStr">
        <is>
          <t>Básico</t>
        </is>
      </c>
    </row>
    <row r="509" ht="15" customHeight="1" s="12">
      <c r="A509" s="16" t="inlineStr">
        <is>
          <t>F170-1</t>
        </is>
      </c>
      <c r="B509" s="16" t="inlineStr">
        <is>
          <t>comun</t>
        </is>
      </c>
      <c r="C509" s="16" t="inlineStr">
        <is>
          <t>Estado colombiano y función administrativa</t>
        </is>
      </c>
      <c r="D509" s="16" t="inlineStr">
        <is>
          <t>C170</t>
        </is>
      </c>
      <c r="E509" s="16" t="inlineStr">
        <is>
          <t>Caso 137</t>
        </is>
      </c>
      <c r="F509" s="16" t="inlineStr">
        <is>
          <t>La oficina de planeación prepara el informe sobre las fuentes que financian la operación de la entidad y su relación con los niveles de gobierno. Aparecen recursos del Sistema General de Participaciones, recursos propios por venta de servicios, aportes de la gobernación y un proyecto financiado con regalías.</t>
        </is>
      </c>
      <c r="G509" s="16" t="inlineStr">
        <is>
          <t>Los recursos del Sistema General de Participaciones son transferidos por:</t>
        </is>
      </c>
      <c r="H509" s="16" t="inlineStr">
        <is>
          <t>La Nación a las entidades territoriales, conforme a la distribución que fija la ley</t>
        </is>
      </c>
      <c r="I509" s="16" t="inlineStr">
        <is>
          <t>El departamento a los municipios, según la población atendida durante cada vigencia</t>
        </is>
      </c>
      <c r="J509" s="16" t="inlineStr">
        <is>
          <t>La ADRES a las entidades territoriales, según los afiliados reportados en el sistema</t>
        </is>
      </c>
      <c r="K509" s="16" t="inlineStr">
        <is>
          <t>A</t>
        </is>
      </c>
      <c r="L509" s="16" t="inlineStr">
        <is>
          <t>El Sistema General de Participaciones corresponde a los recursos que la Nación transfiere a las entidades territoriales por mandato constitucional.</t>
        </is>
      </c>
      <c r="M509" s="16" t="inlineStr">
        <is>
          <t>El reparto entre departamento y municipios es posterior; la ADRES administra recursos del aseguramiento, que tienen otra fuente y otra finalidad.</t>
        </is>
      </c>
      <c r="N509" s="16" t="inlineStr">
        <is>
          <t>Constitución Política de 1991, arts. 356 y 357; Ley 715 de 2001</t>
        </is>
      </c>
      <c r="O509" s="16" t="inlineStr">
        <is>
          <t>NO</t>
        </is>
      </c>
      <c r="P509" s="16" t="inlineStr">
        <is>
          <t>Alta</t>
        </is>
      </c>
      <c r="Q509" s="16" t="inlineStr">
        <is>
          <t>v2</t>
        </is>
      </c>
      <c r="R509" s="16" t="inlineStr">
        <is>
          <t>Básico</t>
        </is>
      </c>
    </row>
    <row r="510" ht="15" customHeight="1" s="12">
      <c r="A510" s="16" t="inlineStr">
        <is>
          <t>F170-2</t>
        </is>
      </c>
      <c r="B510" s="16" t="inlineStr">
        <is>
          <t>comun</t>
        </is>
      </c>
      <c r="C510" s="16" t="inlineStr">
        <is>
          <t>Estado colombiano y función administrativa</t>
        </is>
      </c>
      <c r="D510" s="16" t="inlineStr">
        <is>
          <t>C170</t>
        </is>
      </c>
      <c r="E510" s="16" t="inlineStr">
        <is>
          <t>Caso 137</t>
        </is>
      </c>
      <c r="F510" s="16" t="inlineStr">
        <is>
          <t>La oficina de planeación prepara el informe sobre las fuentes que financian la operación de la entidad y su relación con los niveles de gobierno. Aparecen recursos del Sistema General de Participaciones, recursos propios por venta de servicios, aportes de la gobernación y un proyecto financiado con regalías.</t>
        </is>
      </c>
      <c r="G510" s="16" t="inlineStr">
        <is>
          <t>Los proyectos financiados con regalías se aprueban en:</t>
        </is>
      </c>
      <c r="H510" s="16" t="inlineStr">
        <is>
          <t>La comité directivo de la entidad, por ser la beneficiaria directa del proyecto y dejar el soporte en el expediente</t>
        </is>
      </c>
      <c r="I510" s="16" t="inlineStr">
        <is>
          <t>El concejo municipal donde se ejecutará la obra financiada con esos recursos y archivar copia de la actuación</t>
        </is>
      </c>
      <c r="J510" s="16" t="inlineStr">
        <is>
          <t>Los órganos colegiados de administración y decisión del Sistema General de Regalías</t>
        </is>
      </c>
      <c r="K510" s="16" t="inlineStr">
        <is>
          <t>C</t>
        </is>
      </c>
      <c r="L510" s="16" t="inlineStr">
        <is>
          <t>La aprobación de los proyectos de inversión financiados con regalías corresponde a los órganos colegiados de administración y decisión.</t>
        </is>
      </c>
      <c r="M510" s="16" t="inlineStr">
        <is>
          <t>Las otras opciones, «La comité directivo de la…» y «El concejo municipal donde se…», asignan la decisión a instancias que participan en el proceso, pero no aprueban el proyecto.</t>
        </is>
      </c>
      <c r="N510" s="16" t="inlineStr">
        <is>
          <t>Constitución Política de 1991, art. 361; Ley 2056 de 2020</t>
        </is>
      </c>
      <c r="O510" s="16" t="inlineStr">
        <is>
          <t>NO</t>
        </is>
      </c>
      <c r="P510" s="16" t="inlineStr">
        <is>
          <t>Alta</t>
        </is>
      </c>
      <c r="Q510" s="16" t="inlineStr">
        <is>
          <t>v2</t>
        </is>
      </c>
      <c r="R510" s="16" t="inlineStr">
        <is>
          <t>Básico</t>
        </is>
      </c>
    </row>
    <row r="511" ht="15" customHeight="1" s="12">
      <c r="A511" s="16" t="inlineStr">
        <is>
          <t>F170-3</t>
        </is>
      </c>
      <c r="B511" s="16" t="inlineStr">
        <is>
          <t>comun</t>
        </is>
      </c>
      <c r="C511" s="16" t="inlineStr">
        <is>
          <t>Estado colombiano y función administrativa</t>
        </is>
      </c>
      <c r="D511" s="16" t="inlineStr">
        <is>
          <t>C170</t>
        </is>
      </c>
      <c r="E511" s="16" t="inlineStr">
        <is>
          <t>Caso 137</t>
        </is>
      </c>
      <c r="F511" s="16" t="inlineStr">
        <is>
          <t>La oficina de planeación prepara el informe sobre las fuentes que financian la operación de la entidad y su relación con los niveles de gobierno. Aparecen recursos del Sistema General de Participaciones, recursos propios por venta de servicios, aportes de la gobernación y un proyecto financiado con regalías.</t>
        </is>
      </c>
      <c r="G511" s="16" t="inlineStr">
        <is>
          <t>La venta de servicios de salud a las entidades responsables de pago constituye para la entidad:</t>
        </is>
      </c>
      <c r="H511" s="16" t="inlineStr">
        <is>
          <t>Una transferencia de la Nación, sujeta a las reglas del Sistema General de Participaciones y citar la norma que la respalda</t>
        </is>
      </c>
      <c r="I511" s="16" t="inlineStr">
        <is>
          <t>Un recurso propio, que se presupuesta y ejecuta conforme a su régimen presupuestal</t>
        </is>
      </c>
      <c r="J511" s="16" t="inlineStr">
        <is>
          <t>Un aporte del departamento, que se reintegra conforme al cierre de cada vigencia y motivar la decisión por escrito</t>
        </is>
      </c>
      <c r="K511" s="16" t="inlineStr">
        <is>
          <t>B</t>
        </is>
      </c>
      <c r="L511" s="16" t="inlineStr">
        <is>
          <t>Los ingresos por venta de servicios son recursos propios de la entidad. y se manejan conforme a su régimen presupuestal.</t>
        </is>
      </c>
      <c r="M511" s="16" t="inlineStr">
        <is>
          <t>Las otras opciones, «Una transferencia de la Nación,…» y «Un aporte del departamento, que…», los tratan como transferencias o aportes, con reglas que no les aplican.</t>
        </is>
      </c>
      <c r="N511" s="16" t="inlineStr">
        <is>
          <t>Ley 100 de 1993, art. 195; Decreto 115 de 1996</t>
        </is>
      </c>
      <c r="O511" s="16" t="inlineStr">
        <is>
          <t>NO</t>
        </is>
      </c>
      <c r="P511" s="16" t="inlineStr">
        <is>
          <t>Alta</t>
        </is>
      </c>
      <c r="Q511" s="16" t="inlineStr">
        <is>
          <t>v2</t>
        </is>
      </c>
      <c r="R511" s="16" t="inlineStr">
        <is>
          <t>Básico</t>
        </is>
      </c>
    </row>
    <row r="512" ht="15" customHeight="1" s="12">
      <c r="A512" s="16" t="inlineStr">
        <is>
          <t>F171-1</t>
        </is>
      </c>
      <c r="B512" s="16" t="inlineStr">
        <is>
          <t>comun</t>
        </is>
      </c>
      <c r="C512" s="16" t="inlineStr">
        <is>
          <t>Contratación estatal y supervisión</t>
        </is>
      </c>
      <c r="D512" s="16" t="inlineStr">
        <is>
          <t>C171</t>
        </is>
      </c>
      <c r="E512" s="16" t="inlineStr">
        <is>
          <t>Caso 138</t>
        </is>
      </c>
      <c r="F512" s="16" t="inlineStr">
        <is>
          <t>La secretaría departamental de salud, entidad regida por el Estatuto General de Contratación, debe adquirir equipos de cómputo por doscientos salarios mínimos mensuales legales vigentes. Un asesor propone contratación directa alegando urgencia, otro sugiere licitación pública y un tercero recuerda que existen instrumentos de agregación de demanda para entidad tipo de bienes.</t>
        </is>
      </c>
      <c r="G512" s="16" t="inlineStr">
        <is>
          <t>Tratándose de bienes de características técnicas uniformes, la modalidad que corresponde es:</t>
        </is>
      </c>
      <c r="H512" s="16" t="inlineStr">
        <is>
          <t>La licitación pública, conforme al valor del contrato frente a la menor cuantía</t>
        </is>
      </c>
      <c r="I512" s="16" t="inlineStr">
        <is>
          <t>El concurso de méritos, por tratarse de una adquisición con componente técnico especializado</t>
        </is>
      </c>
      <c r="J512" s="16" t="inlineStr">
        <is>
          <t>La selección abreviada, mediante subasta inversa o acuerdo marco de precios según el caso</t>
        </is>
      </c>
      <c r="K512" s="16" t="inlineStr">
        <is>
          <t>C</t>
        </is>
      </c>
      <c r="L512" s="16" t="inlineStr">
        <is>
          <t>Los bienes de características técnicas uniformes y de común utilización se adquieren por selección abreviada, con subasta inversa o instrumentos de agregación de demanda.</t>
        </is>
      </c>
      <c r="M512" s="16" t="inlineStr">
        <is>
          <t>La opción «La licitación pública, conforme al…» aplica la modalidad general sin atender la naturaleza del bien y La opción «El concurso de méritos, por…» está reservada a servicios de consultoría.</t>
        </is>
      </c>
      <c r="N512" s="16" t="inlineStr">
        <is>
          <t>Ley 1150 de 2007, art. 2; Decreto 1082 de 2015</t>
        </is>
      </c>
      <c r="O512" s="16" t="inlineStr">
        <is>
          <t>SI</t>
        </is>
      </c>
      <c r="P512" s="16" t="inlineStr">
        <is>
          <t>Media</t>
        </is>
      </c>
      <c r="Q512" s="16" t="inlineStr">
        <is>
          <t>v2</t>
        </is>
      </c>
      <c r="R512" s="16" t="inlineStr">
        <is>
          <t>Básico</t>
        </is>
      </c>
    </row>
    <row r="513" ht="15" customHeight="1" s="12">
      <c r="A513" s="16" t="inlineStr">
        <is>
          <t>F171-2</t>
        </is>
      </c>
      <c r="B513" s="16" t="inlineStr">
        <is>
          <t>comun</t>
        </is>
      </c>
      <c r="C513" s="16" t="inlineStr">
        <is>
          <t>Contratación estatal y supervisión</t>
        </is>
      </c>
      <c r="D513" s="16" t="inlineStr">
        <is>
          <t>C171</t>
        </is>
      </c>
      <c r="E513" s="16" t="inlineStr">
        <is>
          <t>Caso 138</t>
        </is>
      </c>
      <c r="F513" s="16" t="inlineStr">
        <is>
          <t>La secretaría departamental de salud, entidad regida por el Estatuto General de Contratación, debe adquirir equipos de cómputo por doscientos salarios mínimos mensuales legales vigentes. Un asesor propone contratación directa alegando urgencia, otro sugiere licitación pública y un tercero recuerda que existen instrumentos de agregación de demanda para entidad tipo de bienes.</t>
        </is>
      </c>
      <c r="G513" s="16" t="inlineStr">
        <is>
          <t>La urgencia manifiesta que propone el primer asesor:</t>
        </is>
      </c>
      <c r="H513" s="16" t="inlineStr">
        <is>
          <t>Puede declararse por decisión verbal del ordenador cuando el plazo apremia</t>
        </is>
      </c>
      <c r="I513" s="16" t="inlineStr">
        <is>
          <t>Exige acto administrativo motivado y hechos que impidan el trámite ordinario</t>
        </is>
      </c>
      <c r="J513" s="16" t="inlineStr">
        <is>
          <t>Procede cuando el bien es necesario y el proveedor ya tiene disponibilidad</t>
        </is>
      </c>
      <c r="K513" s="16" t="inlineStr">
        <is>
          <t>B</t>
        </is>
      </c>
      <c r="L513" s="16" t="inlineStr">
        <is>
          <t>La urgencia manifiesta se declara mediante acto administrativo motivado y solo ante hechos que hagan imposible acudir al procedimiento de selección.</t>
        </is>
      </c>
      <c r="M513" s="16" t="inlineStr">
        <is>
          <t>La opción «Puede declararse por decisión verbal…» prescinde del acto motivado y La opción «Procede siempre que la entidad…» convierte la necesidad ordinaria en causal excepcional.</t>
        </is>
      </c>
      <c r="N513" s="16" t="inlineStr">
        <is>
          <t>Ley 80 de 1993, arts. 42 y 43</t>
        </is>
      </c>
      <c r="O513" s="16" t="inlineStr">
        <is>
          <t>SI</t>
        </is>
      </c>
      <c r="P513" s="16" t="inlineStr">
        <is>
          <t>Media</t>
        </is>
      </c>
      <c r="Q513" s="16" t="inlineStr">
        <is>
          <t>repaso</t>
        </is>
      </c>
      <c r="R513" s="16" t="inlineStr">
        <is>
          <t>Básico</t>
        </is>
      </c>
    </row>
    <row r="514" ht="15" customHeight="1" s="12">
      <c r="A514" s="16" t="inlineStr">
        <is>
          <t>F171-3</t>
        </is>
      </c>
      <c r="B514" s="16" t="inlineStr">
        <is>
          <t>comun</t>
        </is>
      </c>
      <c r="C514" s="16" t="inlineStr">
        <is>
          <t>Contratación estatal y supervisión</t>
        </is>
      </c>
      <c r="D514" s="16" t="inlineStr">
        <is>
          <t>C171</t>
        </is>
      </c>
      <c r="E514" s="16" t="inlineStr">
        <is>
          <t>Caso 138</t>
        </is>
      </c>
      <c r="F514" s="16" t="inlineStr">
        <is>
          <t>La secretaría departamental de salud, entidad regida por el Estatuto General de Contratación, debe adquirir equipos de cómputo por doscientos salarios mínimos mensuales legales vigentes. Un asesor propone contratación directa alegando urgencia, otro sugiere licitación pública y un tercero recuerda que existen instrumentos de agregación de demanda para entidad tipo de bienes.</t>
        </is>
      </c>
      <c r="G514" s="16" t="inlineStr">
        <is>
          <t>Frente a la publicidad del proceso, la entidad debe:</t>
        </is>
      </c>
      <c r="H514" s="16" t="inlineStr">
        <is>
          <t>Publicar los documentos del proceso y de su ejecución en el SECOP, en los términos previstos</t>
        </is>
      </c>
      <c r="I514" s="16" t="inlineStr">
        <is>
          <t>Publicar solo el contrato firmado</t>
        </is>
      </c>
      <c r="J514" s="16" t="inlineStr">
        <is>
          <t>Publicar en la cartelera de la entidad y en un diario de circulación regional el aviso de apertura</t>
        </is>
      </c>
      <c r="K514" s="16" t="inlineStr">
        <is>
          <t>A</t>
        </is>
      </c>
      <c r="L514" s="16" t="inlineStr">
        <is>
          <t>La actividad contractual se publica en el SECOP, incluidos los documentos del proceso y los de su ejecución.</t>
        </is>
      </c>
      <c r="M514" s="16" t="inlineStr">
        <is>
          <t>Las otras opciones, «Publicar solo el contrato firmado,…» y «Publicar en la cartelera de…», restringen la publicidad a un documento o a medios que no sustituyen la plataforma oficial.</t>
        </is>
      </c>
      <c r="N514" s="16" t="inlineStr">
        <is>
          <t>Ley 1712 de 2014; Ley 2195 de 2022, art. 53</t>
        </is>
      </c>
      <c r="O514" s="16" t="inlineStr">
        <is>
          <t>SI</t>
        </is>
      </c>
      <c r="P514" s="16" t="inlineStr">
        <is>
          <t>Media</t>
        </is>
      </c>
      <c r="Q514" s="16" t="inlineStr">
        <is>
          <t>v2</t>
        </is>
      </c>
      <c r="R514" s="16" t="inlineStr">
        <is>
          <t>Básico</t>
        </is>
      </c>
    </row>
    <row r="515" ht="15" customHeight="1" s="12">
      <c r="A515" s="16" t="inlineStr">
        <is>
          <t>F172-1</t>
        </is>
      </c>
      <c r="B515" s="16" t="inlineStr">
        <is>
          <t>comun</t>
        </is>
      </c>
      <c r="C515" s="16" t="inlineStr">
        <is>
          <t>Contratación estatal y supervisión</t>
        </is>
      </c>
      <c r="D515" s="16" t="inlineStr">
        <is>
          <t>C172</t>
        </is>
      </c>
      <c r="E515" s="16" t="inlineStr">
        <is>
          <t>Caso 139</t>
        </is>
      </c>
      <c r="F515" s="16" t="inlineStr">
        <is>
          <t>Usted es supervisor de un contrato de suministro de insumos. En el tercer mes detecta entregas incompletas y un producto que no cumple la ficha técnica. El contratista argumenta desabastecimiento del proveedor y pide que se le reciba igual. El ordenador del gasto está de viaje y el contratista insiste en radicar la factura completa.</t>
        </is>
      </c>
      <c r="G515" s="16" t="inlineStr">
        <is>
          <t>Su primera actuación como supervisor es:</t>
        </is>
      </c>
      <c r="H515" s="16" t="inlineStr">
        <is>
          <t>Requerir por escrito al contratista e informar al ordenador del gasto</t>
        </is>
      </c>
      <c r="I515" s="16" t="inlineStr">
        <is>
          <t>Autorizar el pago proporcional, dejando constancia escrita del descuento</t>
        </is>
      </c>
      <c r="J515" s="16" t="inlineStr">
        <is>
          <t>Recibir lo entregado e informarlo por escrito en el acta parcial</t>
        </is>
      </c>
      <c r="K515" s="16" t="inlineStr">
        <is>
          <t>A</t>
        </is>
      </c>
      <c r="L515" s="16" t="inlineStr">
        <is>
          <t>La supervisión exige requerir por escrito, documentar el incumplimiento y poner el hecho en conocimiento de quien puede iniciar las actuaciones contractuales.</t>
        </is>
      </c>
      <c r="M515" s="16" t="inlineStr">
        <is>
          <t>Dejar la diferencia para la liquidación aplaza el problema meses; descontar del pago es una facultad que el supervisor no tiene.</t>
        </is>
      </c>
      <c r="N515" s="16" t="inlineStr">
        <is>
          <t>Ley 1474 de 2011, arts. 83 y 84</t>
        </is>
      </c>
      <c r="O515" s="16" t="inlineStr">
        <is>
          <t>SI</t>
        </is>
      </c>
      <c r="P515" s="16" t="inlineStr">
        <is>
          <t>Media</t>
        </is>
      </c>
      <c r="Q515" s="16" t="inlineStr">
        <is>
          <t>v2</t>
        </is>
      </c>
      <c r="R515" s="16" t="inlineStr">
        <is>
          <t>Básico</t>
        </is>
      </c>
    </row>
    <row r="516" ht="15" customHeight="1" s="12">
      <c r="A516" s="16" t="inlineStr">
        <is>
          <t>F172-2</t>
        </is>
      </c>
      <c r="B516" s="16" t="inlineStr">
        <is>
          <t>comun</t>
        </is>
      </c>
      <c r="C516" s="16" t="inlineStr">
        <is>
          <t>Contratación estatal y supervisión</t>
        </is>
      </c>
      <c r="D516" s="16" t="inlineStr">
        <is>
          <t>C172</t>
        </is>
      </c>
      <c r="E516" s="16" t="inlineStr">
        <is>
          <t>Caso 139</t>
        </is>
      </c>
      <c r="F516" s="16" t="inlineStr">
        <is>
          <t>Usted es supervisor de un contrato de suministro de insumos. En el tercer mes detecta entregas incompletas y un producto que no cumple la ficha técnica. El contratista argumenta desabastecimiento del proveedor y pide que se le reciba igual. El ordenador del gasto está de viaje y el contratista insiste en radicar la factura completa.</t>
        </is>
      </c>
      <c r="G516" s="16" t="inlineStr">
        <is>
          <t>La declaratoria de incumplimiento y la imposición de multas requieren:</t>
        </is>
      </c>
      <c r="H516" s="16" t="inlineStr">
        <is>
          <t>Un concepto previo favorable de la oficina jurídica y del comité de contratación de la entidad</t>
        </is>
      </c>
      <c r="I516" s="16" t="inlineStr">
        <is>
          <t>Un acta suscrita con el contratista en la que este acepte el incumplimiento</t>
        </is>
      </c>
      <c r="J516" s="16" t="inlineStr">
        <is>
          <t>Un procedimiento con audiencia en el que se garantice el debido proceso al contratista</t>
        </is>
      </c>
      <c r="K516" s="16" t="inlineStr">
        <is>
          <t>C</t>
        </is>
      </c>
      <c r="L516" s="16" t="inlineStr">
        <is>
          <t>La imposición de multas y la declaratoria de incumplimiento se surten en audiencia, con garantía del debido proceso.</t>
        </is>
      </c>
      <c r="M516" s="16" t="inlineStr">
        <is>
          <t>El acuerdo entre las partes no reemplaza el procedimiento, y los conceptos internos son insumos que no sustituyen la audiencia.</t>
        </is>
      </c>
      <c r="N516" s="16" t="inlineStr">
        <is>
          <t>Ley 1474 de 2011, art. 86; Constitución Política de 1991, art. 29</t>
        </is>
      </c>
      <c r="O516" s="16" t="inlineStr">
        <is>
          <t>SI</t>
        </is>
      </c>
      <c r="P516" s="16" t="inlineStr">
        <is>
          <t>Media</t>
        </is>
      </c>
      <c r="Q516" s="16" t="inlineStr">
        <is>
          <t>v2</t>
        </is>
      </c>
      <c r="R516" s="16" t="inlineStr">
        <is>
          <t>Básico</t>
        </is>
      </c>
    </row>
    <row r="517" ht="15" customHeight="1" s="12">
      <c r="A517" s="16" t="inlineStr">
        <is>
          <t>F172-3</t>
        </is>
      </c>
      <c r="B517" s="16" t="inlineStr">
        <is>
          <t>comun</t>
        </is>
      </c>
      <c r="C517" s="16" t="inlineStr">
        <is>
          <t>Contratación estatal y supervisión</t>
        </is>
      </c>
      <c r="D517" s="16" t="inlineStr">
        <is>
          <t>C172</t>
        </is>
      </c>
      <c r="E517" s="16" t="inlineStr">
        <is>
          <t>Caso 139</t>
        </is>
      </c>
      <c r="F517" s="16" t="inlineStr">
        <is>
          <t>Usted es supervisor de un contrato de suministro de insumos. En el tercer mes detecta entregas incompletas y un producto que no cumple la ficha técnica. El contratista argumenta desabastecimiento del proveedor y pide que se le reciba igual. El ordenador del gasto está de viaje y el contratista insiste en radicar la factura completa.</t>
        </is>
      </c>
      <c r="G517" s="16" t="inlineStr">
        <is>
          <t>Si el supervisor omite el seguimiento y el daño se consuma, puede responder:</t>
        </is>
      </c>
      <c r="H517" s="16" t="inlineStr">
        <is>
          <t>Fiscalmente, cuando el contrato supere la menor cuantía definida para la entidad contratante e informar al jefe inmediato y registrar el trámite en el sistema</t>
        </is>
      </c>
      <c r="I517" s="16" t="inlineStr">
        <is>
          <t>Disciplinaria, fiscal y penalmente, según la conducta desplegada y el resultado producido</t>
        </is>
      </c>
      <c r="J517" s="16" t="inlineStr">
        <is>
          <t>Disciplinariamente, conforme al reparto de obligaciones pactado en el contrato suscrito y registrar el trámite en el sistema y motivar la decisión por escrito</t>
        </is>
      </c>
      <c r="K517" s="16" t="inlineStr">
        <is>
          <t>B</t>
        </is>
      </c>
      <c r="L517" s="16" t="inlineStr">
        <is>
          <t>La ley prevé responsabilidad disciplinaria, fiscal y penal para los supervisores e interventores que omitan el deber de vigilancia.</t>
        </is>
      </c>
      <c r="M517" s="16" t="inlineStr">
        <is>
          <t>Las otras dos limitan a un solo régimen o a una cuantía una responsabilidad que la ley previó de manera concurrente.</t>
        </is>
      </c>
      <c r="N517" s="16" t="inlineStr">
        <is>
          <t>Ley 1474 de 2011, art. 84</t>
        </is>
      </c>
      <c r="O517" s="16" t="inlineStr">
        <is>
          <t>SI</t>
        </is>
      </c>
      <c r="P517" s="16" t="inlineStr">
        <is>
          <t>Media</t>
        </is>
      </c>
      <c r="Q517" s="16" t="inlineStr">
        <is>
          <t>v2</t>
        </is>
      </c>
      <c r="R517" s="16" t="inlineStr">
        <is>
          <t>Básico</t>
        </is>
      </c>
    </row>
    <row r="518" ht="15" customHeight="1" s="12">
      <c r="A518" s="16" t="inlineStr">
        <is>
          <t>F173-1</t>
        </is>
      </c>
      <c r="B518" s="16" t="inlineStr">
        <is>
          <t>comun</t>
        </is>
      </c>
      <c r="C518" s="16" t="inlineStr">
        <is>
          <t>Contratación estatal y supervisión</t>
        </is>
      </c>
      <c r="D518" s="16" t="inlineStr">
        <is>
          <t>C173</t>
        </is>
      </c>
      <c r="E518" s="16" t="inlineStr">
        <is>
          <t>Caso 140</t>
        </is>
      </c>
      <c r="F518" s="16" t="inlineStr">
        <is>
          <t>En un proceso de mínima cuantía se presentan tres propuestas. La más económica proviene de una empresa cuyo representante legal es hermano del jefe de la oficina que estructuró los estudios previos. El comité evaluador pregunta cómo proceder y si el jefe puede seguir participando en la evaluación.</t>
        </is>
      </c>
      <c r="G518" s="16" t="inlineStr">
        <is>
          <t>La situación descrita configura, frente al jefe de la oficina:</t>
        </is>
      </c>
      <c r="H518" s="16" t="inlineStr">
        <is>
          <t>Una incompatibilidad que obliga, conforme a la ley, a declarar desierto el proceso</t>
        </is>
      </c>
      <c r="I518" s="16" t="inlineStr">
        <is>
          <t>Un conflicto de interés que debe declarar por escrito, apartándose del trámite</t>
        </is>
      </c>
      <c r="J518" s="16" t="inlineStr">
        <is>
          <t>Una circunstancia sin efecto, previa constancia escrita en el expediente</t>
        </is>
      </c>
      <c r="K518" s="16" t="inlineStr">
        <is>
          <t>B</t>
        </is>
      </c>
      <c r="L518" s="16" t="inlineStr">
        <is>
          <t>Quien tiene un vínculo cercano con un interesado debe declarar el conflicto de interés y apartarse de la actuación.</t>
        </is>
      </c>
      <c r="M518" s="16" t="inlineStr">
        <is>
          <t>Declarar desierto castiga al proceso y no a la situación personal; y quien estructuró los estudios previos ya intervino, aunque no evalúe.</t>
        </is>
      </c>
      <c r="N518" s="16" t="inlineStr">
        <is>
          <t>Ley 2013 de 2019; Ley 1437 de 2011, art. 11</t>
        </is>
      </c>
      <c r="O518" s="16" t="inlineStr">
        <is>
          <t>SI</t>
        </is>
      </c>
      <c r="P518" s="16" t="inlineStr">
        <is>
          <t>Media</t>
        </is>
      </c>
      <c r="Q518" s="16" t="inlineStr">
        <is>
          <t>v2</t>
        </is>
      </c>
      <c r="R518" s="16" t="inlineStr">
        <is>
          <t>Básico</t>
        </is>
      </c>
    </row>
    <row r="519" ht="15" customHeight="1" s="12">
      <c r="A519" s="16" t="inlineStr">
        <is>
          <t>F173-2</t>
        </is>
      </c>
      <c r="B519" s="16" t="inlineStr">
        <is>
          <t>comun</t>
        </is>
      </c>
      <c r="C519" s="16" t="inlineStr">
        <is>
          <t>Contratación estatal y supervisión</t>
        </is>
      </c>
      <c r="D519" s="16" t="inlineStr">
        <is>
          <t>C173</t>
        </is>
      </c>
      <c r="E519" s="16" t="inlineStr">
        <is>
          <t>Caso 140</t>
        </is>
      </c>
      <c r="F519" s="16" t="inlineStr">
        <is>
          <t>En un proceso de mínima cuantía se presentan tres propuestas. La más económica proviene de una empresa cuyo representante legal es hermano del jefe de la oficina que estructuró los estudios previos. El comité evaluador pregunta cómo proceder y si el jefe puede seguir participando en la evaluación.</t>
        </is>
      </c>
      <c r="G519" s="16" t="inlineStr">
        <is>
          <t>Respecto de la propuesta presentada por la empresa del hermano:</t>
        </is>
      </c>
      <c r="H519" s="16" t="inlineStr">
        <is>
          <t>Debe informarse el parentesco y rechazarse de plano la oferta presentada</t>
        </is>
      </c>
      <c r="I519" s="16" t="inlineStr">
        <is>
          <t>Debe evaluarse con normalidad, dado que la inhabilidad cobija al servidor y no al oferente</t>
        </is>
      </c>
      <c r="J519" s="16" t="inlineStr">
        <is>
          <t>Debe verificarse la causal de inhabilidad prevista en la ley antes de continuar la evaluación</t>
        </is>
      </c>
      <c r="K519" s="16" t="inlineStr">
        <is>
          <t>C</t>
        </is>
      </c>
      <c r="L519" s="16" t="inlineStr">
        <is>
          <t>Corresponde verificar si se configura la inhabilidad por parentesco prevista en el estatuto de contratación antes de continuar con la evaluación.</t>
        </is>
      </c>
      <c r="M519" s="16" t="inlineStr">
        <is>
          <t>Rechazar sin verificar decide sin fundamento; y las inhabilidades se extienden a los parientes en los grados que la ley señala.</t>
        </is>
      </c>
      <c r="N519" s="16" t="inlineStr">
        <is>
          <t>Ley 80 de 1993, art. 8; Ley 1474 de 2011</t>
        </is>
      </c>
      <c r="O519" s="16" t="inlineStr">
        <is>
          <t>SI</t>
        </is>
      </c>
      <c r="P519" s="16" t="inlineStr">
        <is>
          <t>Media</t>
        </is>
      </c>
      <c r="Q519" s="16" t="inlineStr">
        <is>
          <t>repaso</t>
        </is>
      </c>
      <c r="R519" s="16" t="inlineStr">
        <is>
          <t>Básico</t>
        </is>
      </c>
    </row>
    <row r="520" ht="15" customHeight="1" s="12">
      <c r="A520" s="16" t="inlineStr">
        <is>
          <t>F173-3</t>
        </is>
      </c>
      <c r="B520" s="16" t="inlineStr">
        <is>
          <t>comun</t>
        </is>
      </c>
      <c r="C520" s="16" t="inlineStr">
        <is>
          <t>Contratación estatal y supervisión</t>
        </is>
      </c>
      <c r="D520" s="16" t="inlineStr">
        <is>
          <t>C173</t>
        </is>
      </c>
      <c r="E520" s="16" t="inlineStr">
        <is>
          <t>Caso 140</t>
        </is>
      </c>
      <c r="F520" s="16" t="inlineStr">
        <is>
          <t>En un proceso de mínima cuantía se presentan tres propuestas. La más económica proviene de una empresa cuyo representante legal es hermano del jefe de la oficina que estructuró los estudios previos. El comité evaluador pregunta cómo proceder y si el jefe puede seguir participando en la evaluación.</t>
        </is>
      </c>
      <c r="G520" s="16" t="inlineStr">
        <is>
          <t>Si el proceso continúa y el contrato se celebra con la inhabilidad configurada, el contrato:</t>
        </is>
      </c>
      <c r="H520" s="16" t="inlineStr">
        <is>
          <t>Está viciado de nulidad absoluta y debe adoptarse la actuación que la ley prevé</t>
        </is>
      </c>
      <c r="I520" s="16" t="inlineStr">
        <is>
          <t>Es válido mientras la ejecución se cumpla a satisfacción de la entidad contratante y dejar el soporte en el expediente</t>
        </is>
      </c>
      <c r="J520" s="16" t="inlineStr">
        <is>
          <t>Puede sanearse con la renuncia del servidor que declaró tardíamente el impedimento y dejar el soporte en el expediente</t>
        </is>
      </c>
      <c r="K520" s="16" t="inlineStr">
        <is>
          <t>A</t>
        </is>
      </c>
      <c r="L520" s="16" t="inlineStr">
        <is>
          <t>La celebración del contrato contra expresa prohibición legal constituye causal de nulidad absoluta.</t>
        </is>
      </c>
      <c r="M520" s="16" t="inlineStr">
        <is>
          <t>Las otras opciones, «Es válido mientras la ejecución…» y «Puede sanearse con la renuncia…», convalidan por cumplimiento o por renuncia un vicio que la ley no permite sanear.</t>
        </is>
      </c>
      <c r="N520" s="16" t="inlineStr">
        <is>
          <t>Ley 80 de 1993, arts. 44 y 45</t>
        </is>
      </c>
      <c r="O520" s="16" t="inlineStr">
        <is>
          <t>SI</t>
        </is>
      </c>
      <c r="P520" s="16" t="inlineStr">
        <is>
          <t>Media</t>
        </is>
      </c>
      <c r="Q520" s="16" t="inlineStr">
        <is>
          <t>v2</t>
        </is>
      </c>
      <c r="R520" s="16" t="inlineStr">
        <is>
          <t>Básico</t>
        </is>
      </c>
    </row>
    <row r="521" ht="15" customHeight="1" s="12">
      <c r="A521" s="16" t="inlineStr">
        <is>
          <t>F174-1</t>
        </is>
      </c>
      <c r="B521" s="16" t="inlineStr">
        <is>
          <t>comun</t>
        </is>
      </c>
      <c r="C521" s="16" t="inlineStr">
        <is>
          <t>Régimen disciplinario</t>
        </is>
      </c>
      <c r="D521" s="16" t="inlineStr">
        <is>
          <t>C174</t>
        </is>
      </c>
      <c r="E521" s="16" t="inlineStr">
        <is>
          <t>Caso 141</t>
        </is>
      </c>
      <c r="F521" s="16" t="inlineStr">
        <is>
          <t>Un servidor de carrera de la entidad recibe de su jefe la instrucción verbal de entregar a un contratista información del proceso de selección antes de su publicación. El servidor advierte que eso es irregular, pero el jefe insiste y le recuerda que él es el superior. El servidor finalmente entrega la información por correo electrónico.</t>
        </is>
      </c>
      <c r="G521" s="16" t="inlineStr">
        <is>
          <t>La orden del superior, en este caso:</t>
        </is>
      </c>
      <c r="H521" s="16" t="inlineStr">
        <is>
          <t>Exime al subalterno, que debe obediencia a las órdenes que imparte su jefe</t>
        </is>
      </c>
      <c r="I521" s="16" t="inlineStr">
        <is>
          <t>Exime al subalterno si deja constancia escrita de su desacuerdo con la orden</t>
        </is>
      </c>
      <c r="J521" s="16" t="inlineStr">
        <is>
          <t>No lo exime, por tratarse de una orden manifiestamente contraria al ordenamiento</t>
        </is>
      </c>
      <c r="K521" s="16" t="inlineStr">
        <is>
          <t>C</t>
        </is>
      </c>
      <c r="L521" s="16" t="inlineStr">
        <is>
          <t>La obediencia debida no ampara el cumplimiento de órdenes manifiestamente ilegales; ambos responden por su conducta.</t>
        </is>
      </c>
      <c r="M521" s="16" t="inlineStr">
        <is>
          <t>La jerarquía no convierte en lícita una orden ilegal, y dejar constancia documenta el desacuerdo pero no autoriza a cumplirla.</t>
        </is>
      </c>
      <c r="N521" s="16" t="inlineStr">
        <is>
          <t>Constitución Política de 1991, art. 91; Ley 1952 de 2019</t>
        </is>
      </c>
      <c r="O521" s="16" t="inlineStr">
        <is>
          <t>SI</t>
        </is>
      </c>
      <c r="P521" s="16" t="inlineStr">
        <is>
          <t>Media</t>
        </is>
      </c>
      <c r="Q521" s="16" t="inlineStr">
        <is>
          <t>v2</t>
        </is>
      </c>
      <c r="R521" s="16" t="inlineStr">
        <is>
          <t>Básico</t>
        </is>
      </c>
    </row>
    <row r="522" ht="15" customHeight="1" s="12">
      <c r="A522" s="16" t="inlineStr">
        <is>
          <t>F174-2</t>
        </is>
      </c>
      <c r="B522" s="16" t="inlineStr">
        <is>
          <t>comun</t>
        </is>
      </c>
      <c r="C522" s="16" t="inlineStr">
        <is>
          <t>Régimen disciplinario</t>
        </is>
      </c>
      <c r="D522" s="16" t="inlineStr">
        <is>
          <t>C174</t>
        </is>
      </c>
      <c r="E522" s="16" t="inlineStr">
        <is>
          <t>Caso 141</t>
        </is>
      </c>
      <c r="F522" s="16" t="inlineStr">
        <is>
          <t>Un servidor de carrera de la entidad recibe de su jefe la instrucción verbal de entregar a un contratista información del proceso de selección antes de su publicación. El servidor advierte que eso es irregular, pero el jefe insiste y le recuerda que él es el superior. El servidor finalmente entrega la información por correo electrónico.</t>
        </is>
      </c>
      <c r="G522" s="16" t="inlineStr">
        <is>
          <t>Para que la conducta sea disciplinable se requiere que:</t>
        </is>
      </c>
      <c r="H522" s="16" t="inlineStr">
        <is>
          <t>Produzca un daño patrimonial cuantificable para la entidad afectada</t>
        </is>
      </c>
      <c r="I522" s="16" t="inlineStr">
        <is>
          <t>Afecte sustancialmente el deber funcional sin justificación que la ampare</t>
        </is>
      </c>
      <c r="J522" s="16" t="inlineStr">
        <is>
          <t>Exista denuncia previa del contratista que resultó favorecido con la información</t>
        </is>
      </c>
      <c r="K522" s="16" t="inlineStr">
        <is>
          <t>B</t>
        </is>
      </c>
      <c r="L522" s="16" t="inlineStr">
        <is>
          <t>La ilicitud sustancial exige que la conducta afecte de manera sustancial el deber funcional, sin justificación.</t>
        </is>
      </c>
      <c r="M522" s="16" t="inlineStr">
        <is>
          <t>La opción «Produzca un daño patrimonial cuantificable…» introduce un elemento propio de la responsabilidad fiscal y La opción «Exista denuncia previa del contratista…» condiciona la actuación a una denuncia que no es requisito.</t>
        </is>
      </c>
      <c r="N522" s="16" t="inlineStr">
        <is>
          <t>Ley 1952 de 2019, art. 9</t>
        </is>
      </c>
      <c r="O522" s="16" t="inlineStr">
        <is>
          <t>SI</t>
        </is>
      </c>
      <c r="P522" s="16" t="inlineStr">
        <is>
          <t>Media</t>
        </is>
      </c>
      <c r="Q522" s="16" t="inlineStr">
        <is>
          <t>v2</t>
        </is>
      </c>
      <c r="R522" s="16" t="inlineStr">
        <is>
          <t>Básico</t>
        </is>
      </c>
    </row>
    <row r="523" ht="15" customHeight="1" s="12">
      <c r="A523" s="16" t="inlineStr">
        <is>
          <t>F174-3</t>
        </is>
      </c>
      <c r="B523" s="16" t="inlineStr">
        <is>
          <t>comun</t>
        </is>
      </c>
      <c r="C523" s="16" t="inlineStr">
        <is>
          <t>Régimen disciplinario</t>
        </is>
      </c>
      <c r="D523" s="16" t="inlineStr">
        <is>
          <t>C174</t>
        </is>
      </c>
      <c r="E523" s="16" t="inlineStr">
        <is>
          <t>Caso 141</t>
        </is>
      </c>
      <c r="F523" s="16" t="inlineStr">
        <is>
          <t>Un servidor de carrera de la entidad recibe de su jefe la instrucción verbal de entregar a un contratista información del proceso de selección antes de su publicación. El servidor advierte que eso es irregular, pero el jefe insiste y le recuerda que él es el superior. El servidor finalmente entrega la información por correo electrónico.</t>
        </is>
      </c>
      <c r="G523" s="16" t="inlineStr">
        <is>
          <t>Si la falta se califica como gravísima y se comete con dolo, la sanción principal es:</t>
        </is>
      </c>
      <c r="H523" s="16" t="inlineStr">
        <is>
          <t>Destitución e inhabilidad general, en los términos del código disciplinario</t>
        </is>
      </c>
      <c r="I523" s="16" t="inlineStr">
        <is>
          <t>Suspensión e inhabilidad especial, conforme al término que se fije</t>
        </is>
      </c>
      <c r="J523" s="16" t="inlineStr">
        <is>
          <t>Multa equivalente a varios salarios, según la norma que la respalda</t>
        </is>
      </c>
      <c r="K523" s="16" t="inlineStr">
        <is>
          <t>A</t>
        </is>
      </c>
      <c r="L523" s="16" t="inlineStr">
        <is>
          <t>A las faltas gravísimas dolosas les corresponde destitución e inhabilidad general.</t>
        </is>
      </c>
      <c r="M523" s="16" t="inlineStr">
        <is>
          <t>La opción «Suspensión en el ejercicio del…» aplica a faltas graves dolosas o gravísimas culposas y La opción «Multa equivalente a varios salarios…» a faltas graves culposas.</t>
        </is>
      </c>
      <c r="N523" s="16" t="inlineStr">
        <is>
          <t>Ley 1952 de 2019, art. 48</t>
        </is>
      </c>
      <c r="O523" s="16" t="inlineStr">
        <is>
          <t>SI</t>
        </is>
      </c>
      <c r="P523" s="16" t="inlineStr">
        <is>
          <t>Media</t>
        </is>
      </c>
      <c r="Q523" s="16" t="inlineStr">
        <is>
          <t>v2</t>
        </is>
      </c>
      <c r="R523" s="16" t="inlineStr">
        <is>
          <t>Básico</t>
        </is>
      </c>
    </row>
    <row r="524" ht="15" customHeight="1" s="12">
      <c r="A524" s="16" t="inlineStr">
        <is>
          <t>F175-1</t>
        </is>
      </c>
      <c r="B524" s="16" t="inlineStr">
        <is>
          <t>comun</t>
        </is>
      </c>
      <c r="C524" s="16" t="inlineStr">
        <is>
          <t>Régimen disciplinario</t>
        </is>
      </c>
      <c r="D524" s="16" t="inlineStr">
        <is>
          <t>C175</t>
        </is>
      </c>
      <c r="E524" s="16" t="inlineStr">
        <is>
          <t>Caso 142</t>
        </is>
      </c>
      <c r="F524" s="16" t="inlineStr">
        <is>
          <t>En una investigación disciplinaria, el servidor investigado solicita copia del expediente, pide que se practiquen dos testimonios y designa abogado. El operador disciplinario considera que las pruebas son innecesarias porque ya tiene el informe del jefe inmediato y decide continuar sin practicarlas ni motivar el rechazo.</t>
        </is>
      </c>
      <c r="G524" s="16" t="inlineStr">
        <is>
          <t>La decisión de rechazar las pruebas sin motivación afecta:</t>
        </is>
      </c>
      <c r="H524" s="16" t="inlineStr">
        <is>
          <t>El debido proceso, que comprende el derecho de defensa y de contradicción probatoria</t>
        </is>
      </c>
      <c r="I524" s="16" t="inlineStr">
        <is>
          <t>El principio de economía, porque prolonga innecesariamente la actuación</t>
        </is>
      </c>
      <c r="J524" s="16" t="inlineStr">
        <is>
          <t>La reserva del expediente, que impide conocer las pruebas antes del fallo</t>
        </is>
      </c>
      <c r="K524" s="16" t="inlineStr">
        <is>
          <t>A</t>
        </is>
      </c>
      <c r="L524" s="16" t="inlineStr">
        <is>
          <t>El rechazo de pruebas debe ser motivado; de lo contrario se vulnera el debido proceso y el derecho de defensa.</t>
        </is>
      </c>
      <c r="M524" s="16" t="inlineStr">
        <is>
          <t>La opción «El principio de economía, porque…» invoca un principio que no protege al investigado en este punto y La opción «La reserva del expediente, que…» confunde la reserva con la restricción del derecho de defensa.</t>
        </is>
      </c>
      <c r="N524" s="16" t="inlineStr">
        <is>
          <t>Constitución Política de 1991, art. 29; Ley 1952 de 2019</t>
        </is>
      </c>
      <c r="O524" s="16" t="inlineStr">
        <is>
          <t>SI</t>
        </is>
      </c>
      <c r="P524" s="16" t="inlineStr">
        <is>
          <t>Media</t>
        </is>
      </c>
      <c r="Q524" s="16" t="inlineStr">
        <is>
          <t>v2</t>
        </is>
      </c>
      <c r="R524" s="16" t="inlineStr">
        <is>
          <t>Básico</t>
        </is>
      </c>
    </row>
    <row r="525" ht="15" customHeight="1" s="12">
      <c r="A525" s="16" t="inlineStr">
        <is>
          <t>F175-2</t>
        </is>
      </c>
      <c r="B525" s="16" t="inlineStr">
        <is>
          <t>comun</t>
        </is>
      </c>
      <c r="C525" s="16" t="inlineStr">
        <is>
          <t>Régimen disciplinario</t>
        </is>
      </c>
      <c r="D525" s="16" t="inlineStr">
        <is>
          <t>C175</t>
        </is>
      </c>
      <c r="E525" s="16" t="inlineStr">
        <is>
          <t>Caso 142</t>
        </is>
      </c>
      <c r="F525" s="16" t="inlineStr">
        <is>
          <t>En una investigación disciplinaria, el servidor investigado solicita copia del expediente, pide que se practiquen dos testimonios y designa abogado. El operador disciplinario considera que las pruebas son innecesarias porque ya tiene el informe del jefe inmediato y decide continuar sin practicarlas ni motivar el rechazo.</t>
        </is>
      </c>
      <c r="G525" s="16" t="inlineStr">
        <is>
          <t>La designación de abogado por el investigado:</t>
        </is>
      </c>
      <c r="H525" s="16" t="inlineStr">
        <is>
          <t>Procede si la falta imputada puede dar lugar a destitución e inhabilidad general</t>
        </is>
      </c>
      <c r="I525" s="16" t="inlineStr">
        <is>
          <t>Procede después de la formulación del pliego de cargos que se le notifique</t>
        </is>
      </c>
      <c r="J525" s="16" t="inlineStr">
        <is>
          <t>Procede en cualquier etapa de la actuación que se adelante en su contra</t>
        </is>
      </c>
      <c r="K525" s="16" t="inlineStr">
        <is>
          <t>C</t>
        </is>
      </c>
      <c r="L525" s="16" t="inlineStr">
        <is>
          <t>El investigado puede designar defensor en cualquier etapa de la actuación disciplinaria. Ley 1952 de 2019, artículo 17; Ley 2094 de 2021.</t>
        </is>
      </c>
      <c r="M525" s="16" t="inlineStr">
        <is>
          <t>Atar la defensa técnica a una etapa o a la gravedad de la falta introduce restricciones que la ley no contempla.</t>
        </is>
      </c>
      <c r="N525" s="16" t="inlineStr">
        <is>
          <t>Ley 1952 de 2019, art. 17; Ley 2094 de 2021</t>
        </is>
      </c>
      <c r="O525" s="16" t="inlineStr">
        <is>
          <t>SI</t>
        </is>
      </c>
      <c r="P525" s="16" t="inlineStr">
        <is>
          <t>Media</t>
        </is>
      </c>
      <c r="Q525" s="16" t="inlineStr">
        <is>
          <t>v2</t>
        </is>
      </c>
      <c r="R525" s="16" t="inlineStr">
        <is>
          <t>Básico</t>
        </is>
      </c>
    </row>
    <row r="526" ht="15" customHeight="1" s="12">
      <c r="A526" s="16" t="inlineStr">
        <is>
          <t>F175-3</t>
        </is>
      </c>
      <c r="B526" s="16" t="inlineStr">
        <is>
          <t>comun</t>
        </is>
      </c>
      <c r="C526" s="16" t="inlineStr">
        <is>
          <t>Régimen disciplinario</t>
        </is>
      </c>
      <c r="D526" s="16" t="inlineStr">
        <is>
          <t>C175</t>
        </is>
      </c>
      <c r="E526" s="16" t="inlineStr">
        <is>
          <t>Caso 142</t>
        </is>
      </c>
      <c r="F526" s="16" t="inlineStr">
        <is>
          <t>En una investigación disciplinaria, el servidor investigado solicita copia del expediente, pide que se practiquen dos testimonios y designa abogado. El operador disciplinario considera que las pruebas son innecesarias porque ya tiene el informe del jefe inmediato y decide continuar sin practicarlas ni motivar el rechazo.</t>
        </is>
      </c>
      <c r="G526" s="16" t="inlineStr">
        <is>
          <t>Frente a la primera decisión sancionatoria, el investigado tiene derecho a:</t>
        </is>
      </c>
      <c r="H526" s="16" t="inlineStr">
        <is>
          <t>Demandarla de inmediato ante el juez administrativo sin agotar la vía disciplinaria</t>
        </is>
      </c>
      <c r="I526" s="16" t="inlineStr">
        <is>
          <t>Impugnarla ante autoridad distinta de la que la profirió, por la doble conformidad</t>
        </is>
      </c>
      <c r="J526" s="16" t="inlineStr">
        <is>
          <t>Solicitar la revocatoria directa ante el mismo funcionario que impuso la sanción</t>
        </is>
      </c>
      <c r="K526" s="16" t="inlineStr">
        <is>
          <t>B</t>
        </is>
      </c>
      <c r="L526" s="16" t="inlineStr">
        <is>
          <t>La doble conformidad permite impugnar la primera decisión sancionatoria ante autoridad distinta de la que la profirió. Ley 2094 de 2021, artículo 1; Ley 1952 de 2019, artículo 12.</t>
        </is>
      </c>
      <c r="M526" s="16" t="inlineStr">
        <is>
          <t>La revocatoria directa es otra figura y demandar sin agotar los recursos omite el trámite propio de la actuación disciplinaria.</t>
        </is>
      </c>
      <c r="N526" s="16" t="inlineStr">
        <is>
          <t>Ley 2094 de 2021, art. 1; Ley 1952 de 2019, art. 12</t>
        </is>
      </c>
      <c r="O526" s="16" t="inlineStr">
        <is>
          <t>SI</t>
        </is>
      </c>
      <c r="P526" s="16" t="inlineStr">
        <is>
          <t>Media</t>
        </is>
      </c>
      <c r="Q526" s="16" t="inlineStr">
        <is>
          <t>v2</t>
        </is>
      </c>
      <c r="R526" s="16" t="inlineStr">
        <is>
          <t>Básico</t>
        </is>
      </c>
    </row>
    <row r="527" ht="15" customHeight="1" s="12">
      <c r="A527" s="16" t="inlineStr">
        <is>
          <t>F176-1</t>
        </is>
      </c>
      <c r="B527" s="16" t="inlineStr">
        <is>
          <t>comun</t>
        </is>
      </c>
      <c r="C527" s="16" t="inlineStr">
        <is>
          <t>Régimen disciplinario</t>
        </is>
      </c>
      <c r="D527" s="16" t="inlineStr">
        <is>
          <t>C176</t>
        </is>
      </c>
      <c r="E527" s="16" t="inlineStr">
        <is>
          <t>Caso 181</t>
        </is>
      </c>
      <c r="F527" s="16" t="inlineStr">
        <is>
          <t>El 3 de abril llega una queja anónima contra un servidor del área de facturación: afirma que cobra por agilizar trámites y anexa dos pantallazos de chat sin remitente identificable. El jefe de la oficina de control interno disciplinario duda entre archivar por anónima, abrir indagación o pedirle explicaciones verbales al servidor.</t>
        </is>
      </c>
      <c r="G527" s="16" t="inlineStr">
        <is>
          <t>¿Qué corresponde hacer con esa queja?</t>
        </is>
      </c>
      <c r="H527" s="16" t="inlineStr">
        <is>
          <t>Archivar la queja de plano, conforme al principio de economía, por provenir de autor anónimo</t>
        </is>
      </c>
      <c r="I527" s="16" t="inlineStr">
        <is>
          <t>Consultar al servidor e informar al jefe, y decidir según lo que él responda</t>
        </is>
      </c>
      <c r="J527" s="16" t="inlineStr">
        <is>
          <t>Valorar el mérito de la información anexa y, si la hay, abrir la actuación que corresponda</t>
        </is>
      </c>
      <c r="K527" s="16" t="inlineStr">
        <is>
          <t>C</t>
        </is>
      </c>
      <c r="L527" s="16" t="inlineStr">
        <is>
          <t>Antes de abrir actuación se valora el mérito de la información recibida. Ley 1952 de 2019, artículo 208; Ley 1755 de 2015, artículo 16.</t>
        </is>
      </c>
      <c r="M527" s="16" t="inlineStr">
        <is>
          <t>La opción «Archivar la queja de plano,…» cierra el caso por la forma pese a existir soportes; La opción «Pedir explicaciones verbales al servidor…» inicia una averiguación informal sin garantías para el investigado.</t>
        </is>
      </c>
      <c r="N527" s="16" t="inlineStr">
        <is>
          <t>Ley 1952 de 2019, art. 208; Ley 1755 de 2015, art. 16</t>
        </is>
      </c>
      <c r="O527" s="16" t="inlineStr">
        <is>
          <t>SI</t>
        </is>
      </c>
      <c r="P527" s="16" t="inlineStr">
        <is>
          <t>Media</t>
        </is>
      </c>
      <c r="Q527" s="16" t="inlineStr">
        <is>
          <t>v2</t>
        </is>
      </c>
      <c r="R527" s="16" t="inlineStr">
        <is>
          <t>Básico</t>
        </is>
      </c>
    </row>
    <row r="528" ht="15" customHeight="1" s="12">
      <c r="A528" s="16" t="inlineStr">
        <is>
          <t>F176-2</t>
        </is>
      </c>
      <c r="B528" s="16" t="inlineStr">
        <is>
          <t>comun</t>
        </is>
      </c>
      <c r="C528" s="16" t="inlineStr">
        <is>
          <t>Régimen disciplinario</t>
        </is>
      </c>
      <c r="D528" s="16" t="inlineStr">
        <is>
          <t>C176</t>
        </is>
      </c>
      <c r="E528" s="16" t="inlineStr">
        <is>
          <t>Caso 181</t>
        </is>
      </c>
      <c r="F528" s="16" t="inlineStr">
        <is>
          <t>El 3 de abril llega una queja anónima contra un servidor del área de facturación: afirma que cobra por agilizar trámites y anexa dos pantallazos de chat sin remitente identificable. El jefe de la oficina de control interno disciplinario duda entre archivar por anónima, abrir indagación o pedirle explicaciones verbales al servidor.</t>
        </is>
      </c>
      <c r="G528" s="16" t="inlineStr">
        <is>
          <t>Los pantallazos aportados, como prueba, deben:</t>
        </is>
      </c>
      <c r="H528" s="16" t="inlineStr">
        <is>
          <t>Incorporarse al expediente para valorarse conforme a la sana crítica</t>
        </is>
      </c>
      <c r="I528" s="16" t="inlineStr">
        <is>
          <t>Descartarse, conforme a la falta de certificación de autenticidad</t>
        </is>
      </c>
      <c r="J528" s="16" t="inlineStr">
        <is>
          <t>Aceptarse como plena prueba, por venir debidamente aportados</t>
        </is>
      </c>
      <c r="K528" s="16" t="inlineStr">
        <is>
          <t>A</t>
        </is>
      </c>
      <c r="L528" s="16" t="inlineStr">
        <is>
          <t>La prueba aportada se incorpora al expediente y se valora conforme a la sana crítica. Ley 1952 de 2019, artículo 141; Ley 1564 de 2012, artículo 176.</t>
        </is>
      </c>
      <c r="M528" s="16" t="inlineStr">
        <is>
          <t>Excluir por el soporte digital cierra la puerta a un medio de prueba válido, y darle valor tarifado sustituye la valoración del operador.</t>
        </is>
      </c>
      <c r="N528" s="16" t="inlineStr">
        <is>
          <t>Ley 1952 de 2019, art. 141; Ley 1564 de 2012, art. 176</t>
        </is>
      </c>
      <c r="O528" s="16" t="inlineStr">
        <is>
          <t>SI</t>
        </is>
      </c>
      <c r="P528" s="16" t="inlineStr">
        <is>
          <t>Media</t>
        </is>
      </c>
      <c r="Q528" s="16" t="inlineStr">
        <is>
          <t>v2</t>
        </is>
      </c>
      <c r="R528" s="16" t="inlineStr">
        <is>
          <t>Básico</t>
        </is>
      </c>
    </row>
    <row r="529" ht="15" customHeight="1" s="12">
      <c r="A529" s="16" t="inlineStr">
        <is>
          <t>F176-3</t>
        </is>
      </c>
      <c r="B529" s="16" t="inlineStr">
        <is>
          <t>comun</t>
        </is>
      </c>
      <c r="C529" s="16" t="inlineStr">
        <is>
          <t>Régimen disciplinario</t>
        </is>
      </c>
      <c r="D529" s="16" t="inlineStr">
        <is>
          <t>C176</t>
        </is>
      </c>
      <c r="E529" s="16" t="inlineStr">
        <is>
          <t>Caso 181</t>
        </is>
      </c>
      <c r="F529" s="16" t="inlineStr">
        <is>
          <t>El 3 de abril llega una queja anónima contra un servidor del área de facturación: afirma que cobra por agilizar trámites y anexa dos pantallazos de chat sin remitente identificable. El jefe de la oficina de control interno disciplinario duda entre archivar por anónima, abrir indagación o pedirle explicaciones verbales al servidor.</t>
        </is>
      </c>
      <c r="G529" s="16" t="inlineStr">
        <is>
          <t>Si la conducta se comprueba, además de la falta disciplinaria podría configurarse:</t>
        </is>
      </c>
      <c r="H529" s="16" t="inlineStr">
        <is>
          <t>Una responsabilidad fiscal, que investiga la Contraloría por el daño patrimonial</t>
        </is>
      </c>
      <c r="I529" s="16" t="inlineStr">
        <is>
          <t>Un delito contra la administración pública, que debe informarse a la Fiscalía</t>
        </is>
      </c>
      <c r="J529" s="16" t="inlineStr">
        <is>
          <t>Una falta administrativa sancionable por la Superintendencia Nacional de Salud</t>
        </is>
      </c>
      <c r="K529" s="16" t="inlineStr">
        <is>
          <t>B</t>
        </is>
      </c>
      <c r="L529" s="16" t="inlineStr">
        <is>
          <t>Cobrar por agilizar un trámite propio del cargo puede tipificar concusión o cohecho, y el hecho debe ponerse en conocimiento de la Fiscalía.</t>
        </is>
      </c>
      <c r="M529" s="16" t="inlineStr">
        <is>
          <t>La superintendencia vigila el sector y la responsabilidad fiscal exige un daño patrimonial: cobrar por un trámite propio es materia penal.</t>
        </is>
      </c>
      <c r="N529" s="16" t="inlineStr">
        <is>
          <t>Código Penal, arts. 404 y 405; Ley 1952 de 2019</t>
        </is>
      </c>
      <c r="O529" s="16" t="inlineStr">
        <is>
          <t>NO</t>
        </is>
      </c>
      <c r="P529" s="16" t="inlineStr">
        <is>
          <t>Media</t>
        </is>
      </c>
      <c r="Q529" s="16" t="inlineStr">
        <is>
          <t>v2</t>
        </is>
      </c>
      <c r="R529" s="16" t="inlineStr">
        <is>
          <t>Básico</t>
        </is>
      </c>
    </row>
    <row r="530" ht="15" customHeight="1" s="12">
      <c r="A530" s="16" t="inlineStr">
        <is>
          <t>F177-1</t>
        </is>
      </c>
      <c r="B530" s="16" t="inlineStr">
        <is>
          <t>comun</t>
        </is>
      </c>
      <c r="C530" s="16" t="inlineStr">
        <is>
          <t>Régimen disciplinario</t>
        </is>
      </c>
      <c r="D530" s="16" t="inlineStr">
        <is>
          <t>C177</t>
        </is>
      </c>
      <c r="E530" s="16" t="inlineStr">
        <is>
          <t>Caso 182</t>
        </is>
      </c>
      <c r="F530" s="16" t="inlineStr">
        <is>
          <t>Un servidor con veintidós años en la entidad y sin antecedentes disciplinarios incurre en una falta grave culposa: omitió reportar a tiempo una novedad que causó un retraso administrativo, sin daño patrimonial. El operador disciplinario debe dosificar la sanción y el jefe de la dependencia pide «mano dura» para dar ejemplo al resto del equipo.</t>
        </is>
      </c>
      <c r="G530" s="16" t="inlineStr">
        <is>
          <t>¿Cómo debe dosificarse la sanción?</t>
        </is>
      </c>
      <c r="H530" s="16" t="inlineStr">
        <is>
          <t>Aplicar la sanción máxima prevista, conforme a la finalidad preventiva del régimen</t>
        </is>
      </c>
      <c r="I530" s="16" t="inlineStr">
        <is>
          <t>Aplicar la sanción mínima, conforme a la antigüedad y la hoja de vida del servidor</t>
        </is>
      </c>
      <c r="J530" s="16" t="inlineStr">
        <is>
          <t>Graduarla valorando los criterios legales, entre ellos la ausencia de antecedentes</t>
        </is>
      </c>
      <c r="K530" s="16" t="inlineStr">
        <is>
          <t>C</t>
        </is>
      </c>
      <c r="L530" s="16" t="inlineStr">
        <is>
          <t>La dosificación exige valorar los criterios legales de graduación, como la modalidad de la conducta, el perjuicio causado y los antecedentes, sin partir del extremo.</t>
        </is>
      </c>
      <c r="M530" s="16" t="inlineStr">
        <is>
          <t>Partir del extremo, sea por el efecto ejemplarizante o por la hoja de vida, reemplaza la ponderación que la ley ordena hacer.</t>
        </is>
      </c>
      <c r="N530" s="16" t="inlineStr">
        <is>
          <t>Ley 1952 de 2019, arts. 47 y 49</t>
        </is>
      </c>
      <c r="O530" s="16" t="inlineStr">
        <is>
          <t>SI</t>
        </is>
      </c>
      <c r="P530" s="16" t="inlineStr">
        <is>
          <t>Media</t>
        </is>
      </c>
      <c r="Q530" s="16" t="inlineStr">
        <is>
          <t>v2</t>
        </is>
      </c>
      <c r="R530" s="16" t="inlineStr">
        <is>
          <t>Básico</t>
        </is>
      </c>
    </row>
    <row r="531" ht="15" customHeight="1" s="12">
      <c r="A531" s="16" t="inlineStr">
        <is>
          <t>F177-2</t>
        </is>
      </c>
      <c r="B531" s="16" t="inlineStr">
        <is>
          <t>comun</t>
        </is>
      </c>
      <c r="C531" s="16" t="inlineStr">
        <is>
          <t>Régimen disciplinario</t>
        </is>
      </c>
      <c r="D531" s="16" t="inlineStr">
        <is>
          <t>C177</t>
        </is>
      </c>
      <c r="E531" s="16" t="inlineStr">
        <is>
          <t>Caso 182</t>
        </is>
      </c>
      <c r="F531" s="16" t="inlineStr">
        <is>
          <t>Un servidor con veintidós años en la entidad y sin antecedentes disciplinarios incurre en una falta grave culposa: omitió reportar a tiempo una novedad que causó un retraso administrativo, sin daño patrimonial. El operador disciplinario debe dosificar la sanción y el jefe de la dependencia pide «mano dura» para dar ejemplo al resto del equipo.</t>
        </is>
      </c>
      <c r="G531" s="16" t="inlineStr">
        <is>
          <t>A una falta grave culposa le corresponde, como regla, la sanción de:</t>
        </is>
      </c>
      <c r="H531" s="16" t="inlineStr">
        <is>
          <t>Multa, que se liquida conforme al salario devengado al momento de la falta</t>
        </is>
      </c>
      <c r="I531" s="16" t="inlineStr">
        <is>
          <t>Destitución e inhabilidad general, conforme al término que fije la ley</t>
        </is>
      </c>
      <c r="J531" s="16" t="inlineStr">
        <is>
          <t>Suspensión en el cargo, sin inhabilidad especial, previa graduación</t>
        </is>
      </c>
      <c r="K531" s="16" t="inlineStr">
        <is>
          <t>A</t>
        </is>
      </c>
      <c r="L531" s="16" t="inlineStr">
        <is>
          <t>A las faltas graves culposas les corresponde multa; la suspensión e inhabilidad especial aplican a las graves dolosas o gravísimas culposas.</t>
        </is>
      </c>
      <c r="M531" s="16" t="inlineStr">
        <is>
          <t>La destitución corresponde a las gravísimas dolosas, y la suspensión a las graves dolosas o gravísimas culposas.</t>
        </is>
      </c>
      <c r="N531" s="16" t="inlineStr">
        <is>
          <t>Ley 1952 de 2019, art. 48</t>
        </is>
      </c>
      <c r="O531" s="16" t="inlineStr">
        <is>
          <t>SI</t>
        </is>
      </c>
      <c r="P531" s="16" t="inlineStr">
        <is>
          <t>Media</t>
        </is>
      </c>
      <c r="Q531" s="16" t="inlineStr">
        <is>
          <t>v2</t>
        </is>
      </c>
      <c r="R531" s="16" t="inlineStr">
        <is>
          <t>Básico</t>
        </is>
      </c>
    </row>
    <row r="532" ht="15" customHeight="1" s="12">
      <c r="A532" s="16" t="inlineStr">
        <is>
          <t>F177-3</t>
        </is>
      </c>
      <c r="B532" s="16" t="inlineStr">
        <is>
          <t>comun</t>
        </is>
      </c>
      <c r="C532" s="16" t="inlineStr">
        <is>
          <t>Régimen disciplinario</t>
        </is>
      </c>
      <c r="D532" s="16" t="inlineStr">
        <is>
          <t>C177</t>
        </is>
      </c>
      <c r="E532" s="16" t="inlineStr">
        <is>
          <t>Caso 182</t>
        </is>
      </c>
      <c r="F532" s="16" t="inlineStr">
        <is>
          <t>Un servidor con veintidós años en la entidad y sin antecedentes disciplinarios incurre en una falta grave culposa: omitió reportar a tiempo una novedad que causó un retraso administrativo, sin daño patrimonial. El operador disciplinario debe dosificar la sanción y el jefe de la dependencia pide «mano dura» para dar ejemplo al resto del equipo.</t>
        </is>
      </c>
      <c r="G532" s="16" t="inlineStr">
        <is>
          <t>El jefe insiste en que la sanción se divulgue en cartelera para «sentar precedente». Eso:</t>
        </is>
      </c>
      <c r="H532" s="16" t="inlineStr">
        <is>
          <t>Procede, dejando constancia de la publicación en el expediente del servidor</t>
        </is>
      </c>
      <c r="I532" s="16" t="inlineStr">
        <is>
          <t>No procede: la sanción se anota en el registro de ley, no se expone al personal</t>
        </is>
      </c>
      <c r="J532" s="16" t="inlineStr">
        <is>
          <t>Procede si el servidor autoriza por escrito la divulgación de la decisión</t>
        </is>
      </c>
      <c r="K532" s="16" t="inlineStr">
        <is>
          <t>B</t>
        </is>
      </c>
      <c r="L532" s="16" t="inlineStr">
        <is>
          <t>La sanción se anota en el registro de sanciones y no se divulga en carteleras, por el tratamiento de datos personales. Ley 1952 de 2019, artículo 174; Ley 1581 de 2012, artículo 4.</t>
        </is>
      </c>
      <c r="M532" s="16" t="inlineStr">
        <is>
          <t>Un formalismo no vuelve legítima la exposición, y someterla a la autorización del sancionado normaliza una práctica que no debe hacerse.</t>
        </is>
      </c>
      <c r="N532" s="16" t="inlineStr">
        <is>
          <t>Ley 1952 de 2019, art. 174; Ley 1581 de 2012, art. 4</t>
        </is>
      </c>
      <c r="O532" s="16" t="inlineStr">
        <is>
          <t>SI</t>
        </is>
      </c>
      <c r="P532" s="16" t="inlineStr">
        <is>
          <t>Media</t>
        </is>
      </c>
      <c r="Q532" s="16" t="inlineStr">
        <is>
          <t>v2</t>
        </is>
      </c>
      <c r="R532" s="16" t="inlineStr">
        <is>
          <t>Básico</t>
        </is>
      </c>
    </row>
    <row r="533" ht="15" customHeight="1" s="12">
      <c r="A533" s="16" t="inlineStr">
        <is>
          <t>F178-1</t>
        </is>
      </c>
      <c r="B533" s="16" t="inlineStr">
        <is>
          <t>comun</t>
        </is>
      </c>
      <c r="C533" s="16" t="inlineStr">
        <is>
          <t>Régimen disciplinario</t>
        </is>
      </c>
      <c r="D533" s="16" t="inlineStr">
        <is>
          <t>C178</t>
        </is>
      </c>
      <c r="E533" s="16" t="inlineStr">
        <is>
          <t>Caso 183</t>
        </is>
      </c>
      <c r="F533" s="16" t="inlineStr">
        <is>
          <t>Durante una investigación, el operador disciplinario advierte que la conducta ocurrió hace cuatro años y siete meses y que aún no se ha proferido el auto de apertura. El quejoso presiona para que se avance y el jefe pide «no dejar impune el caso». El expediente está completo y la prueba es sólida.</t>
        </is>
      </c>
      <c r="G533" s="16" t="inlineStr">
        <is>
          <t>¿Qué debe hacer el operador disciplinario?</t>
        </is>
      </c>
      <c r="H533" s="16" t="inlineStr">
        <is>
          <t>Verificar la caducidad y, si se cumplió, declararla mediante decisión motivada</t>
        </is>
      </c>
      <c r="I533" s="16" t="inlineStr">
        <is>
          <t>Suspenderla y requerir al quejoso que ratifique por escrito su interés</t>
        </is>
      </c>
      <c r="J533" s="16" t="inlineStr">
        <is>
          <t>Continuar la actuación, conforme a la prueba que obra en el expediente</t>
        </is>
      </c>
      <c r="K533" s="16" t="inlineStr">
        <is>
          <t>A</t>
        </is>
      </c>
      <c r="L533" s="16" t="inlineStr">
        <is>
          <t>La caducidad opera por el transcurso del término legal desde la ocurrencia de la falta sin que se haya proferido el auto de apertura, y debe declararse aunque la prueba sea sólida.</t>
        </is>
      </c>
      <c r="M533" s="16" t="inlineStr">
        <is>
          <t>La solidez de la prueba no revive un término de orden público, y la voluntad del quejoso no gobierna la actuación.</t>
        </is>
      </c>
      <c r="N533" s="16" t="inlineStr">
        <is>
          <t>Ley 1952 de 2019, art. 33</t>
        </is>
      </c>
      <c r="O533" s="16" t="inlineStr">
        <is>
          <t>SI</t>
        </is>
      </c>
      <c r="P533" s="16" t="inlineStr">
        <is>
          <t>Alta</t>
        </is>
      </c>
      <c r="Q533" s="16" t="inlineStr">
        <is>
          <t>repaso</t>
        </is>
      </c>
      <c r="R533" s="16" t="inlineStr">
        <is>
          <t>Básico</t>
        </is>
      </c>
    </row>
    <row r="534" ht="15" customHeight="1" s="12">
      <c r="A534" s="16" t="inlineStr">
        <is>
          <t>F178-2</t>
        </is>
      </c>
      <c r="B534" s="16" t="inlineStr">
        <is>
          <t>comun</t>
        </is>
      </c>
      <c r="C534" s="16" t="inlineStr">
        <is>
          <t>Régimen disciplinario</t>
        </is>
      </c>
      <c r="D534" s="16" t="inlineStr">
        <is>
          <t>C178</t>
        </is>
      </c>
      <c r="E534" s="16" t="inlineStr">
        <is>
          <t>Caso 183</t>
        </is>
      </c>
      <c r="F534" s="16" t="inlineStr">
        <is>
          <t>Durante una investigación, el operador disciplinario advierte que la conducta ocurrió hace cuatro años y siete meses y que aún no se ha proferido el auto de apertura. El quejoso presiona para que se avance y el jefe pide «no dejar impune el caso». El expediente está completo y la prueba es sólida.</t>
        </is>
      </c>
      <c r="G534" s="16" t="inlineStr">
        <is>
          <t>La diferencia entre caducidad y prescripción, en materia disciplinaria, es que:</t>
        </is>
      </c>
      <c r="H534" s="16" t="inlineStr">
        <is>
          <t>La caducidad opera de oficio y la prescripción solo a solicitud del investigado</t>
        </is>
      </c>
      <c r="I534" s="16" t="inlineStr">
        <is>
          <t>La caducidad extingue la sanción impuesta y la prescripción impide ejecutarla</t>
        </is>
      </c>
      <c r="J534" s="16" t="inlineStr">
        <is>
          <t>La caducidad impide iniciar la actuación y la prescripción extingue la iniciada</t>
        </is>
      </c>
      <c r="K534" s="16" t="inlineStr">
        <is>
          <t>C</t>
        </is>
      </c>
      <c r="L534" s="16" t="inlineStr">
        <is>
          <t>La caducidad impide iniciar la actuación por el paso del tiempo desde el hecho; la prescripción extingue la acción ya iniciada.</t>
        </is>
      </c>
      <c r="M534" s="16" t="inlineStr">
        <is>
          <t>La primera traslada ambas figuras a la ejecución y la segunda las distingue por quién las alega, que no es el criterio legal.</t>
        </is>
      </c>
      <c r="N534" s="16" t="inlineStr">
        <is>
          <t>Ley 1952 de 2019, art. 33</t>
        </is>
      </c>
      <c r="O534" s="16" t="inlineStr">
        <is>
          <t>SI</t>
        </is>
      </c>
      <c r="P534" s="16" t="inlineStr">
        <is>
          <t>Alta</t>
        </is>
      </c>
      <c r="Q534" s="16" t="inlineStr">
        <is>
          <t>v2</t>
        </is>
      </c>
      <c r="R534" s="16" t="inlineStr">
        <is>
          <t>Básico</t>
        </is>
      </c>
    </row>
    <row r="535" ht="15" customHeight="1" s="12">
      <c r="A535" s="16" t="inlineStr">
        <is>
          <t>F178-3</t>
        </is>
      </c>
      <c r="B535" s="16" t="inlineStr">
        <is>
          <t>comun</t>
        </is>
      </c>
      <c r="C535" s="16" t="inlineStr">
        <is>
          <t>Régimen disciplinario</t>
        </is>
      </c>
      <c r="D535" s="16" t="inlineStr">
        <is>
          <t>C178</t>
        </is>
      </c>
      <c r="E535" s="16" t="inlineStr">
        <is>
          <t>Caso 183</t>
        </is>
      </c>
      <c r="F535" s="16" t="inlineStr">
        <is>
          <t>Durante una investigación, el operador disciplinario advierte que la conducta ocurrió hace cuatro años y siete meses y que aún no se ha proferido el auto de apertura. El quejoso presiona para que se avance y el jefe pide «no dejar impune el caso». El expediente está completo y la prueba es sólida.</t>
        </is>
      </c>
      <c r="G535" s="16" t="inlineStr">
        <is>
          <t>Frente a la presión del quejoso, la actuación del operador debe:</t>
        </is>
      </c>
      <c r="H535" s="16" t="inlineStr">
        <is>
          <t>Ajustarse a la instrucción del jefe, que responde por los resultados de la oficina y comunicarlo al área responsable y dejar constancia de la actuación</t>
        </is>
      </c>
      <c r="I535" s="16" t="inlineStr">
        <is>
          <t>Ajustarse a la ley y responder al quejoso explicando la decisión y su fundamento</t>
        </is>
      </c>
      <c r="J535" s="16" t="inlineStr">
        <is>
          <t>Ajustarse al interés del quejoso, que es el titular de la queja que se tramita y dejar constancia de la actuación e informar al jefe inmediato</t>
        </is>
      </c>
      <c r="K535" s="16" t="inlineStr">
        <is>
          <t>B</t>
        </is>
      </c>
      <c r="L535" s="16" t="inlineStr">
        <is>
          <t>El operador disciplinario actúa con independencia y autonomía, con sujeción a la ley, e informa al quejoso el sentido de la decisión.</t>
        </is>
      </c>
      <c r="M535" s="16" t="inlineStr">
        <is>
          <t>Seguir al jefe o al quejoso subordina a la jerarquía o a una parte una decisión que el operador debe tomar con autonomía.</t>
        </is>
      </c>
      <c r="N535" s="16" t="inlineStr">
        <is>
          <t>Ley 1952 de 2019, art. 92</t>
        </is>
      </c>
      <c r="O535" s="16" t="inlineStr">
        <is>
          <t>SI</t>
        </is>
      </c>
      <c r="P535" s="16" t="inlineStr">
        <is>
          <t>Alta</t>
        </is>
      </c>
      <c r="Q535" s="16" t="inlineStr">
        <is>
          <t>v2</t>
        </is>
      </c>
      <c r="R535" s="16" t="inlineStr">
        <is>
          <t>Básico</t>
        </is>
      </c>
    </row>
    <row r="536" ht="15" customHeight="1" s="12">
      <c r="A536" s="16" t="inlineStr">
        <is>
          <t>F179-1</t>
        </is>
      </c>
      <c r="B536" s="16" t="inlineStr">
        <is>
          <t>comun</t>
        </is>
      </c>
      <c r="C536" s="16" t="inlineStr">
        <is>
          <t>Régimen disciplinario</t>
        </is>
      </c>
      <c r="D536" s="16" t="inlineStr">
        <is>
          <t>C179</t>
        </is>
      </c>
      <c r="E536" s="16" t="inlineStr">
        <is>
          <t>Caso 184</t>
        </is>
      </c>
      <c r="F536" s="16" t="inlineStr">
        <is>
          <t>la entidad notifica personalmente a un contratista una decisión que le impone una multa. El contratista firma la notificación el 10 de mayo y el 27 de mayo radica recurso de reposición. El área jurídica debe decidir si lo tramita o lo rechaza por extemporáneo, y el contratista alega que estuvo incapacitado.</t>
        </is>
      </c>
      <c r="G536" s="16" t="inlineStr">
        <is>
          <t>¿Qué procede con el recurso radicado el 27 de mayo?</t>
        </is>
      </c>
      <c r="H536" s="16" t="inlineStr">
        <is>
          <t>Rechazarlo por extemporáneo, dejando constancia de la fecha de notificación y de radicación</t>
        </is>
      </c>
      <c r="I536" s="16" t="inlineStr">
        <is>
          <t>Tramitarlo, previa verificación de que la incapacidad suspende los términos</t>
        </is>
      </c>
      <c r="J536" s="16" t="inlineStr">
        <is>
          <t>Tramitarlo, conforme al principio de favorabilidad aplicable al régimen sancionatorio y citar la norma que la respalda</t>
        </is>
      </c>
      <c r="K536" s="16" t="inlineStr">
        <is>
          <t>A</t>
        </is>
      </c>
      <c r="L536" s="16" t="inlineStr">
        <is>
          <t>El recurso debe interponerse dentro de los diez días siguientes a la notificación; vencido el término, la decisión queda en firme y el recurso se rechaza.</t>
        </is>
      </c>
      <c r="M536" s="16" t="inlineStr">
        <is>
          <t>La opción «Tramitarlo, dado que la incapacidad…» atribuye a la incapacidad un efecto suspensivo que la norma no prevé y La opción «Tramitarlo, conforme al principio de…» invoca un principio que no amplía términos.</t>
        </is>
      </c>
      <c r="N536" s="16" t="inlineStr">
        <is>
          <t>Ley 1437 de 2011, arts. 76 y 87</t>
        </is>
      </c>
      <c r="O536" s="16" t="inlineStr">
        <is>
          <t>SI</t>
        </is>
      </c>
      <c r="P536" s="16" t="inlineStr">
        <is>
          <t>Alta</t>
        </is>
      </c>
      <c r="Q536" s="16" t="inlineStr">
        <is>
          <t>v2</t>
        </is>
      </c>
      <c r="R536" s="16" t="inlineStr">
        <is>
          <t>Básico</t>
        </is>
      </c>
    </row>
    <row r="537" ht="15" customHeight="1" s="12">
      <c r="A537" s="16" t="inlineStr">
        <is>
          <t>F179-2</t>
        </is>
      </c>
      <c r="B537" s="16" t="inlineStr">
        <is>
          <t>comun</t>
        </is>
      </c>
      <c r="C537" s="16" t="inlineStr">
        <is>
          <t>Régimen disciplinario</t>
        </is>
      </c>
      <c r="D537" s="16" t="inlineStr">
        <is>
          <t>C179</t>
        </is>
      </c>
      <c r="E537" s="16" t="inlineStr">
        <is>
          <t>Caso 184</t>
        </is>
      </c>
      <c r="F537" s="16" t="inlineStr">
        <is>
          <t>la entidad notifica personalmente a un contratista una decisión que le impone una multa. El contratista firma la notificación el 10 de mayo y el 27 de mayo radica recurso de reposición. El área jurídica debe decidir si lo tramita o lo rechaza por extemporáneo, y el contratista alega que estuvo incapacitado.</t>
        </is>
      </c>
      <c r="G537" s="16" t="inlineStr">
        <is>
          <t>Firme la decisión, la administración puede:</t>
        </is>
      </c>
      <c r="H537" s="16" t="inlineStr">
        <is>
          <t>Ejecutarla, previa autorización del juez administrativo del circuito</t>
        </is>
      </c>
      <c r="I537" s="16" t="inlineStr">
        <is>
          <t>Ejecutarla, sin necesidad de acudir al juez para hacerla efectiva</t>
        </is>
      </c>
      <c r="J537" s="16" t="inlineStr">
        <is>
          <t>Ejecutarla, previa conciliación prejudicial con el contratista sancionado</t>
        </is>
      </c>
      <c r="K537" s="16" t="inlineStr">
        <is>
          <t>B</t>
        </is>
      </c>
      <c r="L537" s="16" t="inlineStr">
        <is>
          <t>La administración goza del privilegio de ejecución oficiosa de sus propios actos una vez quedan en firme.</t>
        </is>
      </c>
      <c r="M537" s="16" t="inlineStr">
        <is>
          <t>Las otras opciones, «Ejecutarla, previa autorización del juez…» y «Ejecutarla, previa conciliación prejudicial con…», exigen intervenciones previas que no condicionan la ejecución del acto en firme.</t>
        </is>
      </c>
      <c r="N537" s="16" t="inlineStr">
        <is>
          <t>Ley 1437 de 2011, arts. 87 y 89</t>
        </is>
      </c>
      <c r="O537" s="16" t="inlineStr">
        <is>
          <t>SI</t>
        </is>
      </c>
      <c r="P537" s="16" t="inlineStr">
        <is>
          <t>Alta</t>
        </is>
      </c>
      <c r="Q537" s="16" t="inlineStr">
        <is>
          <t>v2</t>
        </is>
      </c>
      <c r="R537" s="16" t="inlineStr">
        <is>
          <t>Básico</t>
        </is>
      </c>
    </row>
    <row r="538" ht="15" customHeight="1" s="12">
      <c r="A538" s="16" t="inlineStr">
        <is>
          <t>F179-3</t>
        </is>
      </c>
      <c r="B538" s="16" t="inlineStr">
        <is>
          <t>comun</t>
        </is>
      </c>
      <c r="C538" s="16" t="inlineStr">
        <is>
          <t>Régimen disciplinario</t>
        </is>
      </c>
      <c r="D538" s="16" t="inlineStr">
        <is>
          <t>C179</t>
        </is>
      </c>
      <c r="E538" s="16" t="inlineStr">
        <is>
          <t>Caso 184</t>
        </is>
      </c>
      <c r="F538" s="16" t="inlineStr">
        <is>
          <t>la entidad notifica personalmente a un contratista una decisión que le impone una multa. El contratista firma la notificación el 10 de mayo y el 27 de mayo radica recurso de reposición. El área jurídica debe decidir si lo tramita o lo rechaza por extemporáneo, y el contratista alega que estuvo incapacitado.</t>
        </is>
      </c>
      <c r="G538" s="16" t="inlineStr">
        <is>
          <t>Si el contratista demanda, el término de caducidad del medio de control es de:</t>
        </is>
      </c>
      <c r="H538" s="16" t="inlineStr">
        <is>
          <t>Seis meses contados desde el día siguiente a la notificación del acto</t>
        </is>
      </c>
      <c r="I538" s="16" t="inlineStr">
        <is>
          <t>Dos años contados desde el día siguiente a la notificación del acto</t>
        </is>
      </c>
      <c r="J538" s="16" t="inlineStr">
        <is>
          <t>Cuatro meses contados desde el día siguiente a la notificación del acto</t>
        </is>
      </c>
      <c r="K538" s="16" t="inlineStr">
        <is>
          <t>C</t>
        </is>
      </c>
      <c r="L538" s="16" t="inlineStr">
        <is>
          <t>Cuatro (4) meses contados desde el día siguiente a la notificación del acto. Ley 1437 de 2011, artículo 164, literal d.</t>
        </is>
      </c>
      <c r="M538" s="16" t="inlineStr">
        <is>
          <t>Los términos de seis meses y dos años corresponden a otros medios de control previstos en el código.</t>
        </is>
      </c>
      <c r="N538" s="16" t="inlineStr">
        <is>
          <t>Ley 1437 de 2011, art. 164, lit. d</t>
        </is>
      </c>
      <c r="O538" s="16" t="inlineStr">
        <is>
          <t>SI</t>
        </is>
      </c>
      <c r="P538" s="16" t="inlineStr">
        <is>
          <t>Alta</t>
        </is>
      </c>
      <c r="Q538" s="16" t="inlineStr">
        <is>
          <t>v2</t>
        </is>
      </c>
      <c r="R538" s="16" t="inlineStr">
        <is>
          <t>Básico</t>
        </is>
      </c>
    </row>
    <row r="539" ht="15" customHeight="1" s="12">
      <c r="A539" s="16" t="inlineStr">
        <is>
          <t>F180-1</t>
        </is>
      </c>
      <c r="B539" s="16" t="inlineStr">
        <is>
          <t>comun</t>
        </is>
      </c>
      <c r="C539" s="16" t="inlineStr">
        <is>
          <t>Régimen disciplinario</t>
        </is>
      </c>
      <c r="D539" s="16" t="inlineStr">
        <is>
          <t>C180</t>
        </is>
      </c>
      <c r="E539" s="16" t="inlineStr">
        <is>
          <t>Caso 185</t>
        </is>
      </c>
      <c r="F539" s="16" t="inlineStr">
        <is>
          <t>Un ciudadano presenta un derecho de petición el 2 de junio solicitando información sobre un trámite propio. El 20 de junio no ha recibido respuesta. El 25 de junio radica una segunda petición reclamando por el silencio y anunciando tutela. La dependencia responsable estuvo con el personal en comisión toda la quincena.</t>
        </is>
      </c>
      <c r="G539" s="16" t="inlineStr">
        <is>
          <t>¿Cuál es la actuación prioritaria de la entidad?</t>
        </is>
      </c>
      <c r="H539" s="16" t="inlineStr">
        <is>
          <t>Responder primero el reclamo del 25 de junio, explicando la comisión del personal</t>
        </is>
      </c>
      <c r="I539" s="16" t="inlineStr">
        <is>
          <t>Responder de fondo la petición inicial y explicar allí mismo la demora</t>
        </is>
      </c>
      <c r="J539" s="16" t="inlineStr">
        <is>
          <t>Esperar el pronunciamiento del juez de tutela</t>
        </is>
      </c>
      <c r="K539" s="16" t="inlineStr">
        <is>
          <t>B</t>
        </is>
      </c>
      <c r="L539" s="16" t="inlineStr">
        <is>
          <t>Lo que resuelve la vulneración es responder de fondo la petición inicial; la explicación de la demora acompaña esa respuesta, no la sustituye.</t>
        </is>
      </c>
      <c r="M539" s="16" t="inlineStr">
        <is>
          <t>Atender solo el reclamo deja sin resolver lo que se pidió, y esperar la tutela aplaza una obligación que ya está vencida.</t>
        </is>
      </c>
      <c r="N539" s="16" t="inlineStr">
        <is>
          <t>Ley 1755 de 2015, art. 14</t>
        </is>
      </c>
      <c r="O539" s="16" t="inlineStr">
        <is>
          <t>SI</t>
        </is>
      </c>
      <c r="P539" s="16" t="inlineStr">
        <is>
          <t>Media</t>
        </is>
      </c>
      <c r="Q539" s="16" t="inlineStr">
        <is>
          <t>v2</t>
        </is>
      </c>
      <c r="R539" s="16" t="inlineStr">
        <is>
          <t>Básico</t>
        </is>
      </c>
    </row>
    <row r="540" ht="15" customHeight="1" s="12">
      <c r="A540" s="16" t="inlineStr">
        <is>
          <t>F180-2</t>
        </is>
      </c>
      <c r="B540" s="16" t="inlineStr">
        <is>
          <t>comun</t>
        </is>
      </c>
      <c r="C540" s="16" t="inlineStr">
        <is>
          <t>Régimen disciplinario</t>
        </is>
      </c>
      <c r="D540" s="16" t="inlineStr">
        <is>
          <t>C180</t>
        </is>
      </c>
      <c r="E540" s="16" t="inlineStr">
        <is>
          <t>Caso 185</t>
        </is>
      </c>
      <c r="F540" s="16" t="inlineStr">
        <is>
          <t>Un ciudadano presenta un derecho de petición el 2 de junio solicitando información sobre un trámite propio. El 20 de junio no ha recibido respuesta. El 25 de junio radica una segunda petición reclamando por el silencio y anunciando tutela. La dependencia responsable estuvo con el personal en comisión toda la quincena.</t>
        </is>
      </c>
      <c r="G540" s="16" t="inlineStr">
        <is>
          <t>La ausencia de personal por comisión, como justificación:</t>
        </is>
      </c>
      <c r="H540" s="16" t="inlineStr">
        <is>
          <t>Exonera a la entidad frente al ciudadano, pero no frente al control disciplinario</t>
        </is>
      </c>
      <c r="I540" s="16" t="inlineStr">
        <is>
          <t>Exonera a la entidad, si la omisión se documenta en el expediente de la petición</t>
        </is>
      </c>
      <c r="J540" s="16" t="inlineStr">
        <is>
          <t>Exonera a la entidad y cierra cualquier actuación posterior sobre el caso</t>
        </is>
      </c>
      <c r="K540" s="16" t="inlineStr">
        <is>
          <t>A</t>
        </is>
      </c>
      <c r="L540" s="16" t="inlineStr">
        <is>
          <t>La organización interna del servicio es responsabilidad de la entidad y no constituye excusa frente al derecho de petición.</t>
        </is>
      </c>
      <c r="M540" s="16" t="inlineStr">
        <is>
          <t>Las otras opciones, «Exonera a la entidad, siempre…» y «Exonera a la entidad frente…», convierten un problema de organización en causal de exoneración total o parcial.</t>
        </is>
      </c>
      <c r="N540" s="16" t="inlineStr">
        <is>
          <t>Ley 1755 de 2015; Ley 1437 de 2011, art. 3</t>
        </is>
      </c>
      <c r="O540" s="16" t="inlineStr">
        <is>
          <t>SI</t>
        </is>
      </c>
      <c r="P540" s="16" t="inlineStr">
        <is>
          <t>Media</t>
        </is>
      </c>
      <c r="Q540" s="16" t="inlineStr">
        <is>
          <t>v2</t>
        </is>
      </c>
      <c r="R540" s="16" t="inlineStr">
        <is>
          <t>Básico</t>
        </is>
      </c>
    </row>
    <row r="541" ht="15" customHeight="1" s="12">
      <c r="A541" s="16" t="inlineStr">
        <is>
          <t>F180-3</t>
        </is>
      </c>
      <c r="B541" s="16" t="inlineStr">
        <is>
          <t>comun</t>
        </is>
      </c>
      <c r="C541" s="16" t="inlineStr">
        <is>
          <t>Régimen disciplinario</t>
        </is>
      </c>
      <c r="D541" s="16" t="inlineStr">
        <is>
          <t>C180</t>
        </is>
      </c>
      <c r="E541" s="16" t="inlineStr">
        <is>
          <t>Caso 185</t>
        </is>
      </c>
      <c r="F541" s="16" t="inlineStr">
        <is>
          <t>Un ciudadano presenta un derecho de petición el 2 de junio solicitando información sobre un trámite propio. El 20 de junio no ha recibido respuesta. El 25 de junio radica una segunda petición reclamando por el silencio y anunciando tutela. La dependencia responsable estuvo con el personal en comisión toda la quincena.</t>
        </is>
      </c>
      <c r="G541" s="16" t="inlineStr">
        <is>
          <t>La conducta del servidor que dejó vencer el término puede constituir:</t>
        </is>
      </c>
      <c r="H541" s="16" t="inlineStr">
        <is>
          <t>Falta disciplinaria, si el ciudadano interpone y gana la acción de tutela</t>
        </is>
      </c>
      <c r="I541" s="16" t="inlineStr">
        <is>
          <t>Falta disciplinaria, cuando la omisión se repite en tres o más casos</t>
        </is>
      </c>
      <c r="J541" s="16" t="inlineStr">
        <is>
          <t>Falta disciplinaria, con independencia de que el ciudadano acuda a la tutela</t>
        </is>
      </c>
      <c r="K541" s="16" t="inlineStr">
        <is>
          <t>C</t>
        </is>
      </c>
      <c r="L541" s="16" t="inlineStr">
        <is>
          <t>Incumplir el término del derecho de petición afecta el deber funcional y puede constituir falta disciplinaria, con independencia de la tutela.</t>
        </is>
      </c>
      <c r="M541" s="16" t="inlineStr">
        <is>
          <t>Las otras opciones, «Falta disciplinaria, únicamente si el…» y «Falta disciplinaria, solo cuando la…», condicionan la falta a un resultado judicial o a una reincidencia que la ley no exige.</t>
        </is>
      </c>
      <c r="N541" s="16" t="inlineStr">
        <is>
          <t>Ley 1952 de 2019, art. 38</t>
        </is>
      </c>
      <c r="O541" s="16" t="inlineStr">
        <is>
          <t>SI</t>
        </is>
      </c>
      <c r="P541" s="16" t="inlineStr">
        <is>
          <t>Media</t>
        </is>
      </c>
      <c r="Q541" s="16" t="inlineStr">
        <is>
          <t>v2</t>
        </is>
      </c>
      <c r="R541" s="16" t="inlineStr">
        <is>
          <t>Básico</t>
        </is>
      </c>
    </row>
    <row r="542" ht="15" customHeight="1" s="12">
      <c r="A542" s="16" t="inlineStr">
        <is>
          <t>F181-1</t>
        </is>
      </c>
      <c r="B542" s="16" t="inlineStr">
        <is>
          <t>comun</t>
        </is>
      </c>
      <c r="C542" s="16" t="inlineStr">
        <is>
          <t>Régimen disciplinario</t>
        </is>
      </c>
      <c r="D542" s="16" t="inlineStr">
        <is>
          <t>C181</t>
        </is>
      </c>
      <c r="E542" s="16" t="inlineStr">
        <is>
          <t>Caso 186</t>
        </is>
      </c>
      <c r="F542" s="16" t="inlineStr">
        <is>
          <t>Un servidor es sancionado con suspensión. Interpone recurso, que resuelve el mismo funcionario que lo sancionó, confirmando la decisión. El servidor alega que su derecho a impugnar quedó vacío porque nadie distinto revisó el caso, y la oficina jurídica debe conceptuar antes de ejecutar la sanción.</t>
        </is>
      </c>
      <c r="G542" s="16" t="inlineStr">
        <is>
          <t>¿Cómo debe conceptuar la oficina jurídica?</t>
        </is>
      </c>
      <c r="H542" s="16" t="inlineStr">
        <is>
          <t>La actuación es válida: el recurso de reposición lo resuelve quien profirió el acto</t>
        </is>
      </c>
      <c r="I542" s="16" t="inlineStr">
        <is>
          <t>La actuación es válida</t>
        </is>
      </c>
      <c r="J542" s="16" t="inlineStr">
        <is>
          <t>La actuación desconoce la doble conformidad, que exige autoridad distinta</t>
        </is>
      </c>
      <c r="K542" s="16" t="inlineStr">
        <is>
          <t>C</t>
        </is>
      </c>
      <c r="L542" s="16" t="inlineStr">
        <is>
          <t>La reforma al régimen disciplinario incorporó la garantía de impugnar la primera decisión sancionatoria ante una autoridad diferente de la que la profirió.</t>
        </is>
      </c>
      <c r="M542" s="16" t="inlineStr">
        <is>
          <t>Ambas aplican reglas generales del procedimiento administrativo que la garantía de doble conformidad desplazó en materia disciplinaria.</t>
        </is>
      </c>
      <c r="N542" s="16" t="inlineStr">
        <is>
          <t>Ley 2094 de 2021; Constitución Política de 1991, art. 29</t>
        </is>
      </c>
      <c r="O542" s="16" t="inlineStr">
        <is>
          <t>SI</t>
        </is>
      </c>
      <c r="P542" s="16" t="inlineStr">
        <is>
          <t>Media</t>
        </is>
      </c>
      <c r="Q542" s="16" t="inlineStr">
        <is>
          <t>v2</t>
        </is>
      </c>
      <c r="R542" s="16" t="inlineStr">
        <is>
          <t>Básico</t>
        </is>
      </c>
    </row>
    <row r="543" ht="15" customHeight="1" s="12">
      <c r="A543" s="16" t="inlineStr">
        <is>
          <t>F181-2</t>
        </is>
      </c>
      <c r="B543" s="16" t="inlineStr">
        <is>
          <t>comun</t>
        </is>
      </c>
      <c r="C543" s="16" t="inlineStr">
        <is>
          <t>Régimen disciplinario</t>
        </is>
      </c>
      <c r="D543" s="16" t="inlineStr">
        <is>
          <t>C181</t>
        </is>
      </c>
      <c r="E543" s="16" t="inlineStr">
        <is>
          <t>Caso 186</t>
        </is>
      </c>
      <c r="F543" s="16" t="inlineStr">
        <is>
          <t>Un servidor es sancionado con suspensión. Interpone recurso, que resuelve el mismo funcionario que lo sancionó, confirmando la decisión. El servidor alega que su derecho a impugnar quedó vacío porque nadie distinto revisó el caso, y la oficina jurídica debe conceptuar antes de ejecutar la sanción.</t>
        </is>
      </c>
      <c r="G543" s="16" t="inlineStr">
        <is>
          <t>La finalidad de esa garantía es:</t>
        </is>
      </c>
      <c r="H543" s="16" t="inlineStr">
        <is>
          <t>Asegurar que la primera sanción la revise quien no participó en la decisión</t>
        </is>
      </c>
      <c r="I543" s="16" t="inlineStr">
        <is>
          <t>Asegurar que la sanción se ejecute cuando la decisión quede debidamente ejecutoriada</t>
        </is>
      </c>
      <c r="J543" s="16" t="inlineStr">
        <is>
          <t>Asegurar que el investigado cuente con defensa técnica durante toda la actuación</t>
        </is>
      </c>
      <c r="K543" s="16" t="inlineStr">
        <is>
          <t>A</t>
        </is>
      </c>
      <c r="L543" s="16" t="inlineStr">
        <is>
          <t>La doble conformidad asegura que la primera sanción sea revisada por una autoridad distinta y de mayor jerarquía. Ley 2094 de 2021, artículo 1.</t>
        </is>
      </c>
      <c r="M543" s="16" t="inlineStr">
        <is>
          <t>Las dos primeras describen garantías reales, pero corresponden a la defensa técnica y a la firmeza del acto, no a la doble conformidad.</t>
        </is>
      </c>
      <c r="N543" s="16" t="inlineStr">
        <is>
          <t>Ley 2094 de 2021, art. 1</t>
        </is>
      </c>
      <c r="O543" s="16" t="inlineStr">
        <is>
          <t>SI</t>
        </is>
      </c>
      <c r="P543" s="16" t="inlineStr">
        <is>
          <t>Media</t>
        </is>
      </c>
      <c r="Q543" s="16" t="inlineStr">
        <is>
          <t>v2</t>
        </is>
      </c>
      <c r="R543" s="16" t="inlineStr">
        <is>
          <t>Básico</t>
        </is>
      </c>
    </row>
    <row r="544" ht="15" customHeight="1" s="12">
      <c r="A544" s="16" t="inlineStr">
        <is>
          <t>F181-3</t>
        </is>
      </c>
      <c r="B544" s="16" t="inlineStr">
        <is>
          <t>comun</t>
        </is>
      </c>
      <c r="C544" s="16" t="inlineStr">
        <is>
          <t>Régimen disciplinario</t>
        </is>
      </c>
      <c r="D544" s="16" t="inlineStr">
        <is>
          <t>C181</t>
        </is>
      </c>
      <c r="E544" s="16" t="inlineStr">
        <is>
          <t>Caso 186</t>
        </is>
      </c>
      <c r="F544" s="16" t="inlineStr">
        <is>
          <t>Un servidor es sancionado con suspensión. Interpone recurso, que resuelve el mismo funcionario que lo sancionó, confirmando la decisión. El servidor alega que su derecho a impugnar quedó vacío porque nadie distinto revisó el caso, y la oficina jurídica debe conceptuar antes de ejecutar la sanción.</t>
        </is>
      </c>
      <c r="G544" s="16" t="inlineStr">
        <is>
          <t>Mientras no se resuelva esa impugnación, la sanción:</t>
        </is>
      </c>
      <c r="H544" s="16" t="inlineStr">
        <is>
          <t>Se ejecuta, dejando constancia de que la impugnación se encuentra en curso</t>
        </is>
      </c>
      <c r="I544" s="16" t="inlineStr">
        <is>
          <t>No se ejecuta, porque la decisión no ha quedado en firme</t>
        </is>
      </c>
      <c r="J544" s="16" t="inlineStr">
        <is>
          <t>Se ejecuta parcialmente</t>
        </is>
      </c>
      <c r="K544" s="16" t="inlineStr">
        <is>
          <t>B</t>
        </is>
      </c>
      <c r="L544" s="16" t="inlineStr">
        <is>
          <t>La sanción solo se ejecuta cuando la decisión queda en firme, y la impugnación pendiente lo impide.</t>
        </is>
      </c>
      <c r="M544" s="16" t="inlineStr">
        <is>
          <t>Las otras opciones, «Se ejecuta, dejando constancia de…» y «Se ejecuta parcialmente, conforme al…», ejecutan total o parcialmente una decisión que aún no está en firme.</t>
        </is>
      </c>
      <c r="N544" s="16" t="inlineStr">
        <is>
          <t>Ley 1437 de 2011, art. 87; Ley 1952 de 2019</t>
        </is>
      </c>
      <c r="O544" s="16" t="inlineStr">
        <is>
          <t>SI</t>
        </is>
      </c>
      <c r="P544" s="16" t="inlineStr">
        <is>
          <t>Media</t>
        </is>
      </c>
      <c r="Q544" s="16" t="inlineStr">
        <is>
          <t>v2</t>
        </is>
      </c>
      <c r="R544" s="16" t="inlineStr">
        <is>
          <t>Básico</t>
        </is>
      </c>
    </row>
    <row r="545" ht="15" customHeight="1" s="12">
      <c r="A545" s="16" t="inlineStr">
        <is>
          <t>F182-1</t>
        </is>
      </c>
      <c r="B545" s="16" t="inlineStr">
        <is>
          <t>comun</t>
        </is>
      </c>
      <c r="C545" s="16" t="inlineStr">
        <is>
          <t>Régimen disciplinario</t>
        </is>
      </c>
      <c r="D545" s="16" t="inlineStr">
        <is>
          <t>C182</t>
        </is>
      </c>
      <c r="E545" s="16" t="inlineStr">
        <is>
          <t>Caso 187</t>
        </is>
      </c>
      <c r="F545" s="16" t="inlineStr">
        <is>
          <t>Una servidora de la oficina de talento humano recibe la solicitud de un compañero para que le «ayude» a corregir una fecha en su historia laboral, porque esa fecha le impide cumplir el requisito de experiencia de un encargo. Le asegura que es un error de digitación y que él tiene los soportes en la casa.</t>
        </is>
      </c>
      <c r="G545" s="16" t="inlineStr">
        <is>
          <t>¿Cómo debe proceder la servidora de talento humano?</t>
        </is>
      </c>
      <c r="H545" s="16" t="inlineStr">
        <is>
          <t>Corregir la fecha con el soporte documental que acredite el dato real</t>
        </is>
      </c>
      <c r="I545" s="16" t="inlineStr">
        <is>
          <t>Corregir la fecha si el jefe de talento humano lo autoriza de manera verbal</t>
        </is>
      </c>
      <c r="J545" s="16" t="inlineStr">
        <is>
          <t>Corregir la fecha y pedirle que allegue después los soportes que la respaldan</t>
        </is>
      </c>
      <c r="K545" s="16" t="inlineStr">
        <is>
          <t>A</t>
        </is>
      </c>
      <c r="L545" s="16" t="inlineStr">
        <is>
          <t>El error en el registro se corrige con el soporte documental, dejando la constancia respectiva. Ley 594 de 2000, artículo 11; Ley 1952 de 2019, artículo 38.</t>
        </is>
      </c>
      <c r="M545" s="16" t="inlineStr">
        <is>
          <t>Modificar primero y pedir soportes después altera un documento público, y una autorización verbal no sustituye la prueba del dato.</t>
        </is>
      </c>
      <c r="N545" s="16" t="inlineStr">
        <is>
          <t>Ley 594 de 2000, art. 11; Ley 1952 de 2019, art. 38</t>
        </is>
      </c>
      <c r="O545" s="16" t="inlineStr">
        <is>
          <t>SI</t>
        </is>
      </c>
      <c r="P545" s="16" t="inlineStr">
        <is>
          <t>Media</t>
        </is>
      </c>
      <c r="Q545" s="16" t="inlineStr">
        <is>
          <t>v2</t>
        </is>
      </c>
      <c r="R545" s="16" t="inlineStr">
        <is>
          <t>Básico</t>
        </is>
      </c>
    </row>
    <row r="546" ht="15" customHeight="1" s="12">
      <c r="A546" s="16" t="inlineStr">
        <is>
          <t>F182-2</t>
        </is>
      </c>
      <c r="B546" s="16" t="inlineStr">
        <is>
          <t>comun</t>
        </is>
      </c>
      <c r="C546" s="16" t="inlineStr">
        <is>
          <t>Régimen disciplinario</t>
        </is>
      </c>
      <c r="D546" s="16" t="inlineStr">
        <is>
          <t>C182</t>
        </is>
      </c>
      <c r="E546" s="16" t="inlineStr">
        <is>
          <t>Caso 187</t>
        </is>
      </c>
      <c r="F546" s="16" t="inlineStr">
        <is>
          <t>Una servidora de la oficina de talento humano recibe la solicitud de un compañero para que le «ayude» a corregir una fecha en su historia laboral, porque esa fecha le impide cumplir el requisito de experiencia de un encargo. Le asegura que es un error de digitación y que él tiene los soportes en la casa.</t>
        </is>
      </c>
      <c r="G546" s="16" t="inlineStr">
        <is>
          <t>Si accede a corregir sin soporte, la conducta puede constituir:</t>
        </is>
      </c>
      <c r="H546" s="16" t="inlineStr">
        <is>
          <t>Falta leve, por tratarse de un error de digitación advertido por el interesado</t>
        </is>
      </c>
      <c r="I546" s="16" t="inlineStr">
        <is>
          <t>Falta grave, si el compañero llega a obtener el encargo solicitado</t>
        </is>
      </c>
      <c r="J546" s="16" t="inlineStr">
        <is>
          <t>Falta grave, por afectar la igualdad entre aspirantes en el proceso</t>
        </is>
      </c>
      <c r="K546" s="16" t="inlineStr">
        <is>
          <t>C</t>
        </is>
      </c>
      <c r="L546" s="16" t="inlineStr">
        <is>
          <t>Alterar un documento que produce efectos en la provisión de un empleo constituye falta gravísima, con independencia del resultado.</t>
        </is>
      </c>
      <c r="M546" s="16" t="inlineStr">
        <is>
          <t>Llamarlo error de digitación minimiza una alteración documental, y hacer depender la calificación del resultado desconoce la conducta en sí.</t>
        </is>
      </c>
      <c r="N546" s="16" t="inlineStr">
        <is>
          <t>Ley 1952 de 2019, art. 52</t>
        </is>
      </c>
      <c r="O546" s="16" t="inlineStr">
        <is>
          <t>SI</t>
        </is>
      </c>
      <c r="P546" s="16" t="inlineStr">
        <is>
          <t>Media</t>
        </is>
      </c>
      <c r="Q546" s="16" t="inlineStr">
        <is>
          <t>v2</t>
        </is>
      </c>
      <c r="R546" s="16" t="inlineStr">
        <is>
          <t>Básico</t>
        </is>
      </c>
    </row>
    <row r="547" ht="15" customHeight="1" s="12">
      <c r="A547" s="16" t="inlineStr">
        <is>
          <t>F182-3</t>
        </is>
      </c>
      <c r="B547" s="16" t="inlineStr">
        <is>
          <t>comun</t>
        </is>
      </c>
      <c r="C547" s="16" t="inlineStr">
        <is>
          <t>Régimen disciplinario</t>
        </is>
      </c>
      <c r="D547" s="16" t="inlineStr">
        <is>
          <t>C182</t>
        </is>
      </c>
      <c r="E547" s="16" t="inlineStr">
        <is>
          <t>Caso 187</t>
        </is>
      </c>
      <c r="F547" s="16" t="inlineStr">
        <is>
          <t>Una servidora de la oficina de talento humano recibe la solicitud de un compañero para que le «ayude» a corregir una fecha en su historia laboral, porque esa fecha le impide cumplir el requisito de experiencia de un encargo. Le asegura que es un error de digitación y que él tiene los soportes en la casa.</t>
        </is>
      </c>
      <c r="G547" s="16" t="inlineStr">
        <is>
          <t>La conducta correcta frente a la solicitud es:</t>
        </is>
      </c>
      <c r="H547" s="16" t="inlineStr">
        <is>
          <t>Explicar el requisito</t>
        </is>
      </c>
      <c r="I547" s="16" t="inlineStr">
        <is>
          <t>Explicar el requisito documental y orientar el trámite formal de corrección</t>
        </is>
      </c>
      <c r="J547" s="16" t="inlineStr">
        <is>
          <t>Explicar el requisito y, si insiste, reportar de inmediato el hecho al jefe y archivar copia de la actuación</t>
        </is>
      </c>
      <c r="K547" s="16" t="inlineStr">
        <is>
          <t>B</t>
        </is>
      </c>
      <c r="L547" s="16" t="inlineStr">
        <is>
          <t>Lo que corresponde es informar el requisito y encauzar la solicitud por el trámite formal, que existe justamente para estos casos.</t>
        </is>
      </c>
      <c r="M547" s="16" t="inlineStr">
        <is>
          <t>Reportar antes de que exista conducta reprochable escala sin motivo, y abstenerse le niega al compañero un trámite que es legítimo.</t>
        </is>
      </c>
      <c r="N547" s="16" t="inlineStr">
        <is>
          <t>Ley 594 de 2000; Ley 1437 de 2011, art. 45</t>
        </is>
      </c>
      <c r="O547" s="16" t="inlineStr">
        <is>
          <t>SI</t>
        </is>
      </c>
      <c r="P547" s="16" t="inlineStr">
        <is>
          <t>Media</t>
        </is>
      </c>
      <c r="Q547" s="16" t="inlineStr">
        <is>
          <t>v2</t>
        </is>
      </c>
      <c r="R547" s="16" t="inlineStr">
        <is>
          <t>Básico</t>
        </is>
      </c>
    </row>
    <row r="548" ht="15" customHeight="1" s="12">
      <c r="A548" s="16" t="inlineStr">
        <is>
          <t>F183-1</t>
        </is>
      </c>
      <c r="B548" s="16" t="inlineStr">
        <is>
          <t>comun</t>
        </is>
      </c>
      <c r="C548" s="16" t="inlineStr">
        <is>
          <t>Régimen disciplinario</t>
        </is>
      </c>
      <c r="D548" s="16" t="inlineStr">
        <is>
          <t>C183</t>
        </is>
      </c>
      <c r="E548" s="16" t="inlineStr">
        <is>
          <t>Caso 188</t>
        </is>
      </c>
      <c r="F548" s="16" t="inlineStr">
        <is>
          <t>la entidad expide una resolución que reconoce un pago a un exfuncionario. Dos meses después, la oficina jurídica advierte que el reconocimiento se hizo sobre una base de liquidación equivocada y que el acto ya fue notificado y está en firme. El exfuncionario ya recibió el dinero.</t>
        </is>
      </c>
      <c r="G548" s="16" t="inlineStr">
        <is>
          <t>¿Qué puede hacer la entidad con entidad acto?</t>
        </is>
      </c>
      <c r="H548" s="16" t="inlineStr">
        <is>
          <t>Revocar directamente el acto, dado que el error es manifiesto y compromete recursos públicos</t>
        </is>
      </c>
      <c r="I548" s="16" t="inlineStr">
        <is>
          <t>Revocar directamente el acto</t>
        </is>
      </c>
      <c r="J548" s="16" t="inlineStr">
        <is>
          <t>Revocar directamente el acto, previo consentimiento expreso y escrito del exfuncionario</t>
        </is>
      </c>
      <c r="K548" s="16" t="inlineStr">
        <is>
          <t>C</t>
        </is>
      </c>
      <c r="L548" s="16" t="inlineStr">
        <is>
          <t>La revocatoria de un acto que creó una situación jurídica particular exige el consentimiento expreso y escrito del titular; sin él, la entidad debe acudir al juez.</t>
        </is>
      </c>
      <c r="M548" s="16" t="inlineStr">
        <is>
          <t>Las otras opciones, «Revocar directamente el acto, dado…» y «Revocar directamente el acto, dejando…», prescinden de entidad consentimiento y convierten en trámite interno una decisión que afecta un derecho reconocido.</t>
        </is>
      </c>
      <c r="N548" s="16" t="inlineStr">
        <is>
          <t>Ley 1437 de 2011, art. 97</t>
        </is>
      </c>
      <c r="O548" s="16" t="inlineStr">
        <is>
          <t>SI</t>
        </is>
      </c>
      <c r="P548" s="16" t="inlineStr">
        <is>
          <t>Alta</t>
        </is>
      </c>
      <c r="Q548" s="16" t="inlineStr">
        <is>
          <t>v2</t>
        </is>
      </c>
      <c r="R548" s="16" t="inlineStr">
        <is>
          <t>Básico</t>
        </is>
      </c>
    </row>
    <row r="549" ht="15" customHeight="1" s="12">
      <c r="A549" s="16" t="inlineStr">
        <is>
          <t>F183-2</t>
        </is>
      </c>
      <c r="B549" s="16" t="inlineStr">
        <is>
          <t>comun</t>
        </is>
      </c>
      <c r="C549" s="16" t="inlineStr">
        <is>
          <t>Régimen disciplinario</t>
        </is>
      </c>
      <c r="D549" s="16" t="inlineStr">
        <is>
          <t>C183</t>
        </is>
      </c>
      <c r="E549" s="16" t="inlineStr">
        <is>
          <t>Caso 188</t>
        </is>
      </c>
      <c r="F549" s="16" t="inlineStr">
        <is>
          <t>la entidad expide una resolución que reconoce un pago a un exfuncionario. Dos meses después, la oficina jurídica advierte que el reconocimiento se hizo sobre una base de liquidación equivocada y que el acto ya fue notificado y está en firme. El exfuncionario ya recibió el dinero.</t>
        </is>
      </c>
      <c r="G549" s="16" t="inlineStr">
        <is>
          <t>Si el exfuncionario no consiente la revocatoria, la entidad debe:</t>
        </is>
      </c>
      <c r="H549" s="16" t="inlineStr">
        <is>
          <t>Descontar el mayor valor de futuros reconocimientos que le corresponda al beneficiario</t>
        </is>
      </c>
      <c r="I549" s="16" t="inlineStr">
        <is>
          <t>Demandar su propio acto ante la jurisdicción de lo contencioso administrativo</t>
        </is>
      </c>
      <c r="J549" s="16" t="inlineStr">
        <is>
          <t>Dejar sin efectos el acto mediante resolución motivada</t>
        </is>
      </c>
      <c r="K549" s="16" t="inlineStr">
        <is>
          <t>B</t>
        </is>
      </c>
      <c r="L549" s="16" t="inlineStr">
        <is>
          <t>Sin consentimiento del titular, la entidad debe demandar su propio acto ante la jurisdicción para obtener su nulidad.</t>
        </is>
      </c>
      <c r="M549" s="16" t="inlineStr">
        <is>
          <t>La opción «Descontar el mayor valor de…» hace justicia por mano propia y La opción «Dejar sin efectos el acto…» revoca sin cumplir el requisito legal, solo que con otro nombre.</t>
        </is>
      </c>
      <c r="N549" s="16" t="inlineStr">
        <is>
          <t>Ley 1437 de 2011, arts. 97 y 141</t>
        </is>
      </c>
      <c r="O549" s="16" t="inlineStr">
        <is>
          <t>SI</t>
        </is>
      </c>
      <c r="P549" s="16" t="inlineStr">
        <is>
          <t>Alta</t>
        </is>
      </c>
      <c r="Q549" s="16" t="inlineStr">
        <is>
          <t>v2</t>
        </is>
      </c>
      <c r="R549" s="16" t="inlineStr">
        <is>
          <t>Básico</t>
        </is>
      </c>
    </row>
    <row r="550" ht="15" customHeight="1" s="12">
      <c r="A550" s="16" t="inlineStr">
        <is>
          <t>F183-3</t>
        </is>
      </c>
      <c r="B550" s="16" t="inlineStr">
        <is>
          <t>comun</t>
        </is>
      </c>
      <c r="C550" s="16" t="inlineStr">
        <is>
          <t>Régimen disciplinario</t>
        </is>
      </c>
      <c r="D550" s="16" t="inlineStr">
        <is>
          <t>C183</t>
        </is>
      </c>
      <c r="E550" s="16" t="inlineStr">
        <is>
          <t>Caso 188</t>
        </is>
      </c>
      <c r="F550" s="16" t="inlineStr">
        <is>
          <t>la entidad expide una resolución que reconoce un pago a un exfuncionario. Dos meses después, la oficina jurídica advierte que el reconocimiento se hizo sobre una base de liquidación equivocada y que el acto ya fue notificado y está en firme. El exfuncionario ya recibió el dinero.</t>
        </is>
      </c>
      <c r="G550" s="16" t="inlineStr">
        <is>
          <t>Frente al servidor que liquidó mal, el hecho:</t>
        </is>
      </c>
      <c r="H550" s="16" t="inlineStr">
        <is>
          <t>Da lugar a responsabilidad disciplinaria y, si hubo daño, también fiscal</t>
        </is>
      </c>
      <c r="I550" s="16" t="inlineStr">
        <is>
          <t>Da lugar a un plan de mejoramiento del proceso de liquidación del área</t>
        </is>
      </c>
      <c r="J550" s="16" t="inlineStr">
        <is>
          <t>Da lugar a responsabilidad fiscal, por tratarse de recursos públicos comprometidos</t>
        </is>
      </c>
      <c r="K550" s="16" t="inlineStr">
        <is>
          <t>A</t>
        </is>
      </c>
      <c r="L550" s="16" t="inlineStr">
        <is>
          <t>La liquidación errónea puede dar lugar a responsabilidad disciplinaria y fiscal. Ley 1952 de 2019, artículo 38; Ley 610 de 2000, artículos 3 y 6.</t>
        </is>
      </c>
      <c r="M550" s="16" t="inlineStr">
        <is>
          <t>Quedarse en lo fiscal omite el examen del deber funcional, y el plan de mejoramiento trata como falla de proceso una conducta individual.</t>
        </is>
      </c>
      <c r="N550" s="16" t="inlineStr">
        <is>
          <t>Ley 1952 de 2019, art. 38; Ley 610 de 2000, arts. 3 y 6</t>
        </is>
      </c>
      <c r="O550" s="16" t="inlineStr">
        <is>
          <t>SI</t>
        </is>
      </c>
      <c r="P550" s="16" t="inlineStr">
        <is>
          <t>Alta</t>
        </is>
      </c>
      <c r="Q550" s="16" t="inlineStr">
        <is>
          <t>v2</t>
        </is>
      </c>
      <c r="R550" s="16" t="inlineStr">
        <is>
          <t>Básico</t>
        </is>
      </c>
    </row>
    <row r="551" ht="15" customHeight="1" s="12">
      <c r="A551" s="16" t="inlineStr">
        <is>
          <t>F184-1</t>
        </is>
      </c>
      <c r="B551" s="16" t="inlineStr">
        <is>
          <t>comun</t>
        </is>
      </c>
      <c r="C551" s="16" t="inlineStr">
        <is>
          <t>Régimen disciplinario</t>
        </is>
      </c>
      <c r="D551" s="16" t="inlineStr">
        <is>
          <t>C184</t>
        </is>
      </c>
      <c r="E551" s="16" t="inlineStr">
        <is>
          <t>Caso 272</t>
        </is>
      </c>
      <c r="F551" s="16" t="inlineStr">
        <is>
          <t>La investigación concluyó que una fábrica de embutidos operó nueve meses sin registro de habilitación y vendió a tres colegios. El representante pregunta cuánto puede costarle y si la multa cierra el asunto.</t>
        </is>
      </c>
      <c r="G551" s="16" t="inlineStr">
        <is>
          <t>Para productos o prestadores de bajo riesgo, el proceso sancionatorio se abre cuando, además de la presunta infracción,</t>
        </is>
      </c>
      <c r="H551" s="16" t="inlineStr">
        <is>
          <t>Hay indicios de que el producto se liberó al mercado</t>
        </is>
      </c>
      <c r="I551" s="16" t="inlineStr">
        <is>
          <t>El vigilado solicita que se adelante la actuación en su contra</t>
        </is>
      </c>
      <c r="J551" s="16" t="inlineStr">
        <is>
          <t>Se completan tres visitas con hallazgos del mismo tipo</t>
        </is>
      </c>
      <c r="K551" s="16" t="inlineStr">
        <is>
          <t>A</t>
        </is>
      </c>
      <c r="L551" s="16" t="inlineStr">
        <is>
          <t>El Decreto Ley 2106 de 2019 introdujo esa condición para el bajo riesgo.</t>
        </is>
      </c>
      <c r="M551" s="16" t="inlineStr">
        <is>
          <t>Las otras dos describen actuaciones que no corresponden al supuesto del caso.</t>
        </is>
      </c>
      <c r="N551" s="16" t="inlineStr">
        <is>
          <t>Ley 9 de 1979, art. 577 (Decreto Ley 2106 de 2019)</t>
        </is>
      </c>
      <c r="O551" s="16" t="inlineStr">
        <is>
          <t>SI</t>
        </is>
      </c>
      <c r="P551" s="16" t="inlineStr">
        <is>
          <t>Media</t>
        </is>
      </c>
      <c r="Q551" s="16" t="inlineStr">
        <is>
          <t>v2</t>
        </is>
      </c>
      <c r="R551" s="16" t="inlineStr">
        <is>
          <t>Básico</t>
        </is>
      </c>
    </row>
    <row r="552" ht="15" customHeight="1" s="12">
      <c r="B552" s="16" t="n"/>
      <c r="K552" s="16" t="n"/>
      <c r="O552" s="16" t="n"/>
      <c r="P552" s="16" t="n"/>
      <c r="Q552" s="16" t="n"/>
      <c r="R552" s="16" t="n"/>
    </row>
    <row r="553" ht="15" customHeight="1" s="12">
      <c r="B553" s="16" t="n"/>
      <c r="K553" s="16" t="n"/>
      <c r="O553" s="16" t="n"/>
      <c r="P553" s="16" t="n"/>
      <c r="Q553" s="16" t="n"/>
      <c r="R553" s="16" t="n"/>
    </row>
    <row r="554" ht="15" customHeight="1" s="12">
      <c r="B554" s="16" t="n"/>
      <c r="K554" s="16" t="n"/>
      <c r="O554" s="16" t="n"/>
      <c r="P554" s="16" t="n"/>
      <c r="Q554" s="16" t="n"/>
      <c r="R554" s="16" t="n"/>
    </row>
    <row r="555" ht="15" customHeight="1" s="12">
      <c r="B555" s="16" t="n"/>
      <c r="K555" s="16" t="n"/>
      <c r="O555" s="16" t="n"/>
      <c r="P555" s="16" t="n"/>
      <c r="Q555" s="16" t="n"/>
      <c r="R555" s="16" t="n"/>
    </row>
    <row r="556" ht="15" customHeight="1" s="12">
      <c r="B556" s="16" t="n"/>
      <c r="K556" s="16" t="n"/>
      <c r="O556" s="16" t="n"/>
      <c r="P556" s="16" t="n"/>
      <c r="Q556" s="16" t="n"/>
      <c r="R556" s="16" t="n"/>
    </row>
    <row r="557" ht="15" customHeight="1" s="12">
      <c r="B557" s="16" t="n"/>
      <c r="K557" s="16" t="n"/>
      <c r="O557" s="16" t="n"/>
      <c r="P557" s="16" t="n"/>
      <c r="Q557" s="16" t="n"/>
      <c r="R557" s="16" t="n"/>
    </row>
    <row r="558" ht="15" customHeight="1" s="12">
      <c r="B558" s="16" t="n"/>
      <c r="K558" s="16" t="n"/>
      <c r="O558" s="16" t="n"/>
      <c r="P558" s="16" t="n"/>
      <c r="Q558" s="16" t="n"/>
      <c r="R558" s="16" t="n"/>
    </row>
    <row r="559" ht="15" customHeight="1" s="12">
      <c r="B559" s="16" t="n"/>
      <c r="K559" s="16" t="n"/>
      <c r="O559" s="16" t="n"/>
      <c r="P559" s="16" t="n"/>
      <c r="Q559" s="16" t="n"/>
      <c r="R559" s="16" t="n"/>
    </row>
    <row r="560" ht="15" customHeight="1" s="12">
      <c r="B560" s="16" t="n"/>
      <c r="K560" s="16" t="n"/>
      <c r="O560" s="16" t="n"/>
      <c r="P560" s="16" t="n"/>
      <c r="Q560" s="16" t="n"/>
      <c r="R560" s="16" t="n"/>
    </row>
    <row r="561" ht="15" customHeight="1" s="12">
      <c r="B561" s="16" t="n"/>
      <c r="K561" s="16" t="n"/>
      <c r="O561" s="16" t="n"/>
      <c r="P561" s="16" t="n"/>
      <c r="Q561" s="16" t="n"/>
      <c r="R561" s="16" t="n"/>
    </row>
    <row r="562" ht="15" customHeight="1" s="12">
      <c r="B562" s="16" t="n"/>
      <c r="K562" s="16" t="n"/>
      <c r="O562" s="16" t="n"/>
      <c r="P562" s="16" t="n"/>
      <c r="Q562" s="16" t="n"/>
      <c r="R562" s="16" t="n"/>
    </row>
    <row r="563" ht="15" customHeight="1" s="12">
      <c r="B563" s="16" t="n"/>
      <c r="K563" s="16" t="n"/>
      <c r="O563" s="16" t="n"/>
      <c r="P563" s="16" t="n"/>
      <c r="Q563" s="16" t="n"/>
      <c r="R563" s="16" t="n"/>
    </row>
    <row r="564" ht="15" customHeight="1" s="12">
      <c r="B564" s="16" t="n"/>
      <c r="K564" s="16" t="n"/>
      <c r="O564" s="16" t="n"/>
      <c r="P564" s="16" t="n"/>
      <c r="Q564" s="16" t="n"/>
      <c r="R564" s="16" t="n"/>
    </row>
    <row r="565" ht="15" customHeight="1" s="12">
      <c r="B565" s="16" t="n"/>
      <c r="K565" s="16" t="n"/>
      <c r="O565" s="16" t="n"/>
      <c r="P565" s="16" t="n"/>
      <c r="Q565" s="16" t="n"/>
      <c r="R565" s="16" t="n"/>
    </row>
    <row r="566" ht="15" customHeight="1" s="12">
      <c r="B566" s="16" t="n"/>
      <c r="K566" s="16" t="n"/>
      <c r="O566" s="16" t="n"/>
      <c r="P566" s="16" t="n"/>
      <c r="Q566" s="16" t="n"/>
      <c r="R566" s="16" t="n"/>
    </row>
    <row r="567" ht="15" customHeight="1" s="12">
      <c r="B567" s="16" t="n"/>
      <c r="K567" s="16" t="n"/>
      <c r="O567" s="16" t="n"/>
      <c r="P567" s="16" t="n"/>
      <c r="Q567" s="16" t="n"/>
      <c r="R567" s="16" t="n"/>
    </row>
    <row r="568" ht="15" customHeight="1" s="12">
      <c r="B568" s="16" t="n"/>
      <c r="K568" s="16" t="n"/>
      <c r="O568" s="16" t="n"/>
      <c r="P568" s="16" t="n"/>
      <c r="Q568" s="16" t="n"/>
      <c r="R568" s="16" t="n"/>
    </row>
    <row r="569" ht="15" customHeight="1" s="12">
      <c r="B569" s="16" t="n"/>
      <c r="K569" s="16" t="n"/>
      <c r="O569" s="16" t="n"/>
      <c r="P569" s="16" t="n"/>
      <c r="Q569" s="16" t="n"/>
      <c r="R569" s="16" t="n"/>
    </row>
    <row r="570" ht="15" customHeight="1" s="12">
      <c r="B570" s="16" t="n"/>
      <c r="K570" s="16" t="n"/>
      <c r="O570" s="16" t="n"/>
      <c r="P570" s="16" t="n"/>
      <c r="Q570" s="16" t="n"/>
      <c r="R570" s="16" t="n"/>
    </row>
    <row r="571" ht="15" customHeight="1" s="12">
      <c r="B571" s="16" t="n"/>
      <c r="K571" s="16" t="n"/>
      <c r="O571" s="16" t="n"/>
      <c r="P571" s="16" t="n"/>
      <c r="Q571" s="16" t="n"/>
      <c r="R571" s="16" t="n"/>
    </row>
    <row r="572" ht="15" customHeight="1" s="12">
      <c r="B572" s="16" t="n"/>
      <c r="K572" s="16" t="n"/>
      <c r="O572" s="16" t="n"/>
      <c r="P572" s="16" t="n"/>
      <c r="Q572" s="16" t="n"/>
      <c r="R572" s="16" t="n"/>
    </row>
    <row r="573" ht="15" customHeight="1" s="12">
      <c r="B573" s="16" t="n"/>
      <c r="K573" s="16" t="n"/>
      <c r="O573" s="16" t="n"/>
      <c r="P573" s="16" t="n"/>
      <c r="Q573" s="16" t="n"/>
      <c r="R573" s="16" t="n"/>
    </row>
    <row r="574" ht="15" customHeight="1" s="12">
      <c r="B574" s="16" t="n"/>
      <c r="K574" s="16" t="n"/>
      <c r="O574" s="16" t="n"/>
      <c r="P574" s="16" t="n"/>
      <c r="Q574" s="16" t="n"/>
      <c r="R574" s="16" t="n"/>
    </row>
    <row r="575" ht="15" customHeight="1" s="12">
      <c r="B575" s="16" t="n"/>
      <c r="K575" s="16" t="n"/>
      <c r="O575" s="16" t="n"/>
      <c r="P575" s="16" t="n"/>
      <c r="Q575" s="16" t="n"/>
      <c r="R575" s="16" t="n"/>
    </row>
    <row r="576" ht="15" customHeight="1" s="12">
      <c r="B576" s="16" t="n"/>
      <c r="K576" s="16" t="n"/>
      <c r="O576" s="16" t="n"/>
      <c r="P576" s="16" t="n"/>
      <c r="Q576" s="16" t="n"/>
      <c r="R576" s="16" t="n"/>
    </row>
    <row r="577" ht="15" customHeight="1" s="12">
      <c r="B577" s="16" t="n"/>
      <c r="K577" s="16" t="n"/>
      <c r="O577" s="16" t="n"/>
      <c r="P577" s="16" t="n"/>
      <c r="Q577" s="16" t="n"/>
      <c r="R577" s="16" t="n"/>
    </row>
    <row r="578" ht="15" customHeight="1" s="12">
      <c r="B578" s="16" t="n"/>
      <c r="K578" s="16" t="n"/>
      <c r="O578" s="16" t="n"/>
      <c r="P578" s="16" t="n"/>
      <c r="Q578" s="16" t="n"/>
      <c r="R578" s="16" t="n"/>
    </row>
    <row r="579" ht="15" customHeight="1" s="12">
      <c r="B579" s="16" t="n"/>
      <c r="K579" s="16" t="n"/>
      <c r="O579" s="16" t="n"/>
      <c r="P579" s="16" t="n"/>
      <c r="Q579" s="16" t="n"/>
      <c r="R579" s="16" t="n"/>
    </row>
    <row r="580" ht="15" customHeight="1" s="12">
      <c r="B580" s="16" t="n"/>
      <c r="K580" s="16" t="n"/>
      <c r="O580" s="16" t="n"/>
      <c r="P580" s="16" t="n"/>
      <c r="Q580" s="16" t="n"/>
      <c r="R580" s="16" t="n"/>
    </row>
    <row r="581" ht="15" customHeight="1" s="12">
      <c r="B581" s="16" t="n"/>
      <c r="K581" s="16" t="n"/>
      <c r="O581" s="16" t="n"/>
      <c r="P581" s="16" t="n"/>
      <c r="Q581" s="16" t="n"/>
      <c r="R581" s="16" t="n"/>
    </row>
    <row r="582" ht="15" customHeight="1" s="12">
      <c r="B582" s="16" t="n"/>
      <c r="K582" s="16" t="n"/>
      <c r="O582" s="16" t="n"/>
      <c r="P582" s="16" t="n"/>
      <c r="Q582" s="16" t="n"/>
      <c r="R582" s="16" t="n"/>
    </row>
    <row r="583" ht="15" customHeight="1" s="12">
      <c r="B583" s="16" t="n"/>
      <c r="K583" s="16" t="n"/>
      <c r="O583" s="16" t="n"/>
      <c r="P583" s="16" t="n"/>
      <c r="Q583" s="16" t="n"/>
      <c r="R583" s="16" t="n"/>
    </row>
    <row r="584" ht="15" customHeight="1" s="12">
      <c r="B584" s="16" t="n"/>
      <c r="K584" s="16" t="n"/>
      <c r="O584" s="16" t="n"/>
      <c r="P584" s="16" t="n"/>
      <c r="Q584" s="16" t="n"/>
      <c r="R584" s="16" t="n"/>
    </row>
    <row r="585" ht="15" customHeight="1" s="12">
      <c r="B585" s="16" t="n"/>
      <c r="K585" s="16" t="n"/>
      <c r="O585" s="16" t="n"/>
      <c r="P585" s="16" t="n"/>
      <c r="Q585" s="16" t="n"/>
      <c r="R585" s="16" t="n"/>
    </row>
    <row r="586" ht="15" customHeight="1" s="12">
      <c r="B586" s="16" t="n"/>
      <c r="K586" s="16" t="n"/>
      <c r="O586" s="16" t="n"/>
      <c r="P586" s="16" t="n"/>
      <c r="Q586" s="16" t="n"/>
      <c r="R586" s="16" t="n"/>
    </row>
    <row r="587" ht="15" customHeight="1" s="12">
      <c r="B587" s="16" t="n"/>
      <c r="K587" s="16" t="n"/>
      <c r="O587" s="16" t="n"/>
      <c r="P587" s="16" t="n"/>
      <c r="Q587" s="16" t="n"/>
      <c r="R587" s="16" t="n"/>
    </row>
    <row r="588" ht="15" customHeight="1" s="12">
      <c r="B588" s="16" t="n"/>
      <c r="K588" s="16" t="n"/>
      <c r="O588" s="16" t="n"/>
      <c r="P588" s="16" t="n"/>
      <c r="Q588" s="16" t="n"/>
      <c r="R588" s="16" t="n"/>
    </row>
    <row r="589" ht="15" customHeight="1" s="12">
      <c r="B589" s="16" t="n"/>
      <c r="K589" s="16" t="n"/>
      <c r="O589" s="16" t="n"/>
      <c r="P589" s="16" t="n"/>
      <c r="Q589" s="16" t="n"/>
      <c r="R589" s="16" t="n"/>
    </row>
    <row r="590" ht="15" customHeight="1" s="12">
      <c r="B590" s="16" t="n"/>
      <c r="K590" s="16" t="n"/>
      <c r="O590" s="16" t="n"/>
      <c r="P590" s="16" t="n"/>
      <c r="Q590" s="16" t="n"/>
      <c r="R590" s="16" t="n"/>
    </row>
    <row r="591" ht="15" customHeight="1" s="12">
      <c r="B591" s="16" t="n"/>
      <c r="K591" s="16" t="n"/>
      <c r="O591" s="16" t="n"/>
      <c r="P591" s="16" t="n"/>
      <c r="Q591" s="16" t="n"/>
      <c r="R591" s="16" t="n"/>
    </row>
    <row r="592" ht="15" customHeight="1" s="12">
      <c r="B592" s="16" t="n"/>
      <c r="K592" s="16" t="n"/>
      <c r="O592" s="16" t="n"/>
      <c r="P592" s="16" t="n"/>
      <c r="Q592" s="16" t="n"/>
      <c r="R592" s="16" t="n"/>
    </row>
    <row r="593" ht="15" customHeight="1" s="12">
      <c r="B593" s="16" t="n"/>
      <c r="K593" s="16" t="n"/>
      <c r="O593" s="16" t="n"/>
      <c r="P593" s="16" t="n"/>
      <c r="Q593" s="16" t="n"/>
      <c r="R593" s="16" t="n"/>
    </row>
    <row r="594" ht="15" customHeight="1" s="12">
      <c r="B594" s="16" t="n"/>
      <c r="K594" s="16" t="n"/>
      <c r="O594" s="16" t="n"/>
      <c r="P594" s="16" t="n"/>
      <c r="Q594" s="16" t="n"/>
      <c r="R594" s="16" t="n"/>
    </row>
    <row r="595" ht="15" customHeight="1" s="12">
      <c r="B595" s="16" t="n"/>
      <c r="K595" s="16" t="n"/>
      <c r="O595" s="16" t="n"/>
      <c r="P595" s="16" t="n"/>
      <c r="Q595" s="16" t="n"/>
      <c r="R595" s="16" t="n"/>
    </row>
    <row r="596" ht="15" customHeight="1" s="12">
      <c r="B596" s="16" t="n"/>
      <c r="K596" s="16" t="n"/>
      <c r="O596" s="16" t="n"/>
      <c r="P596" s="16" t="n"/>
      <c r="Q596" s="16" t="n"/>
      <c r="R596" s="16" t="n"/>
    </row>
    <row r="597" ht="15" customHeight="1" s="12">
      <c r="B597" s="16" t="n"/>
      <c r="K597" s="16" t="n"/>
      <c r="O597" s="16" t="n"/>
      <c r="P597" s="16" t="n"/>
      <c r="Q597" s="16" t="n"/>
      <c r="R597" s="16" t="n"/>
    </row>
    <row r="598" ht="15" customHeight="1" s="12">
      <c r="B598" s="16" t="n"/>
      <c r="K598" s="16" t="n"/>
      <c r="O598" s="16" t="n"/>
      <c r="P598" s="16" t="n"/>
      <c r="Q598" s="16" t="n"/>
      <c r="R598" s="16" t="n"/>
    </row>
    <row r="599" ht="15" customHeight="1" s="12">
      <c r="B599" s="16" t="n"/>
      <c r="K599" s="16" t="n"/>
      <c r="O599" s="16" t="n"/>
      <c r="P599" s="16" t="n"/>
      <c r="Q599" s="16" t="n"/>
      <c r="R599" s="16" t="n"/>
    </row>
    <row r="600" ht="15" customHeight="1" s="12">
      <c r="B600" s="16" t="n"/>
      <c r="K600" s="16" t="n"/>
      <c r="O600" s="16" t="n"/>
      <c r="P600" s="16" t="n"/>
      <c r="Q600" s="16" t="n"/>
      <c r="R600" s="16" t="n"/>
    </row>
    <row r="601" ht="15" customHeight="1" s="12">
      <c r="B601" s="16" t="n"/>
      <c r="K601" s="16" t="n"/>
      <c r="O601" s="16" t="n"/>
      <c r="P601" s="16" t="n"/>
      <c r="Q601" s="16" t="n"/>
      <c r="R601" s="16" t="n"/>
    </row>
    <row r="602" ht="15" customHeight="1" s="12">
      <c r="B602" s="16" t="n"/>
      <c r="K602" s="16" t="n"/>
      <c r="O602" s="16" t="n"/>
      <c r="P602" s="16" t="n"/>
      <c r="Q602" s="16" t="n"/>
      <c r="R602" s="16" t="n"/>
    </row>
    <row r="603" ht="15" customHeight="1" s="12">
      <c r="B603" s="16" t="n"/>
      <c r="K603" s="16" t="n"/>
      <c r="O603" s="16" t="n"/>
      <c r="P603" s="16" t="n"/>
      <c r="Q603" s="16" t="n"/>
      <c r="R603" s="16" t="n"/>
    </row>
    <row r="604" ht="15" customHeight="1" s="12">
      <c r="B604" s="16" t="n"/>
      <c r="K604" s="16" t="n"/>
      <c r="O604" s="16" t="n"/>
      <c r="P604" s="16" t="n"/>
      <c r="Q604" s="16" t="n"/>
      <c r="R604" s="16" t="n"/>
    </row>
    <row r="605" ht="15" customHeight="1" s="12">
      <c r="B605" s="16" t="n"/>
      <c r="K605" s="16" t="n"/>
      <c r="O605" s="16" t="n"/>
      <c r="P605" s="16" t="n"/>
      <c r="Q605" s="16" t="n"/>
      <c r="R605" s="16" t="n"/>
    </row>
    <row r="606" ht="15" customHeight="1" s="12">
      <c r="B606" s="16" t="n"/>
      <c r="K606" s="16" t="n"/>
      <c r="O606" s="16" t="n"/>
      <c r="P606" s="16" t="n"/>
      <c r="Q606" s="16" t="n"/>
      <c r="R606" s="16" t="n"/>
    </row>
    <row r="607" ht="15" customHeight="1" s="12">
      <c r="B607" s="16" t="n"/>
      <c r="K607" s="16" t="n"/>
      <c r="O607" s="16" t="n"/>
      <c r="P607" s="16" t="n"/>
      <c r="Q607" s="16" t="n"/>
      <c r="R607" s="16" t="n"/>
    </row>
    <row r="608" ht="15" customHeight="1" s="12">
      <c r="B608" s="16" t="n"/>
      <c r="K608" s="16" t="n"/>
      <c r="O608" s="16" t="n"/>
      <c r="P608" s="16" t="n"/>
      <c r="Q608" s="16" t="n"/>
      <c r="R608" s="16" t="n"/>
    </row>
    <row r="609" ht="15" customHeight="1" s="12">
      <c r="B609" s="16" t="n"/>
      <c r="K609" s="16" t="n"/>
      <c r="O609" s="16" t="n"/>
      <c r="P609" s="16" t="n"/>
      <c r="Q609" s="16" t="n"/>
      <c r="R609" s="16" t="n"/>
    </row>
    <row r="610" ht="15" customHeight="1" s="12">
      <c r="B610" s="16" t="n"/>
      <c r="K610" s="16" t="n"/>
      <c r="O610" s="16" t="n"/>
      <c r="P610" s="16" t="n"/>
      <c r="Q610" s="16" t="n"/>
      <c r="R610" s="16" t="n"/>
    </row>
    <row r="611" ht="15" customHeight="1" s="12">
      <c r="B611" s="16" t="n"/>
      <c r="K611" s="16" t="n"/>
      <c r="O611" s="16" t="n"/>
      <c r="P611" s="16" t="n"/>
      <c r="Q611" s="16" t="n"/>
      <c r="R611" s="16" t="n"/>
    </row>
    <row r="612" ht="15" customHeight="1" s="12">
      <c r="B612" s="16" t="n"/>
      <c r="K612" s="16" t="n"/>
      <c r="O612" s="16" t="n"/>
      <c r="P612" s="16" t="n"/>
      <c r="Q612" s="16" t="n"/>
      <c r="R612" s="16" t="n"/>
    </row>
    <row r="613" ht="15" customHeight="1" s="12">
      <c r="B613" s="16" t="n"/>
      <c r="K613" s="16" t="n"/>
      <c r="O613" s="16" t="n"/>
      <c r="P613" s="16" t="n"/>
      <c r="Q613" s="16" t="n"/>
      <c r="R613" s="16" t="n"/>
    </row>
    <row r="614" ht="15" customHeight="1" s="12">
      <c r="B614" s="16" t="n"/>
      <c r="K614" s="16" t="n"/>
      <c r="O614" s="16" t="n"/>
      <c r="P614" s="16" t="n"/>
      <c r="Q614" s="16" t="n"/>
      <c r="R614" s="16" t="n"/>
    </row>
    <row r="615" ht="15" customHeight="1" s="12">
      <c r="B615" s="16" t="n"/>
      <c r="K615" s="16" t="n"/>
      <c r="O615" s="16" t="n"/>
      <c r="P615" s="16" t="n"/>
      <c r="Q615" s="16" t="n"/>
      <c r="R615" s="16" t="n"/>
    </row>
    <row r="616" ht="15" customHeight="1" s="12">
      <c r="B616" s="16" t="n"/>
      <c r="K616" s="16" t="n"/>
      <c r="O616" s="16" t="n"/>
      <c r="P616" s="16" t="n"/>
      <c r="Q616" s="16" t="n"/>
      <c r="R616" s="16" t="n"/>
    </row>
    <row r="617" ht="15" customHeight="1" s="12">
      <c r="B617" s="16" t="n"/>
      <c r="K617" s="16" t="n"/>
      <c r="O617" s="16" t="n"/>
      <c r="P617" s="16" t="n"/>
      <c r="Q617" s="16" t="n"/>
      <c r="R617" s="16" t="n"/>
    </row>
    <row r="618" ht="15" customHeight="1" s="12">
      <c r="B618" s="16" t="n"/>
      <c r="K618" s="16" t="n"/>
      <c r="O618" s="16" t="n"/>
      <c r="P618" s="16" t="n"/>
      <c r="Q618" s="16" t="n"/>
      <c r="R618" s="16" t="n"/>
    </row>
    <row r="619" ht="15" customHeight="1" s="12">
      <c r="B619" s="16" t="n"/>
      <c r="K619" s="16" t="n"/>
      <c r="O619" s="16" t="n"/>
      <c r="P619" s="16" t="n"/>
      <c r="Q619" s="16" t="n"/>
      <c r="R619" s="16" t="n"/>
    </row>
    <row r="620" ht="15" customHeight="1" s="12">
      <c r="B620" s="16" t="n"/>
      <c r="K620" s="16" t="n"/>
      <c r="O620" s="16" t="n"/>
      <c r="P620" s="16" t="n"/>
      <c r="Q620" s="16" t="n"/>
      <c r="R620" s="16" t="n"/>
    </row>
    <row r="621" ht="15" customHeight="1" s="12">
      <c r="B621" s="16" t="n"/>
      <c r="K621" s="16" t="n"/>
      <c r="O621" s="16" t="n"/>
      <c r="P621" s="16" t="n"/>
      <c r="Q621" s="16" t="n"/>
      <c r="R621" s="16" t="n"/>
    </row>
    <row r="622" ht="15" customHeight="1" s="12">
      <c r="B622" s="16" t="n"/>
      <c r="K622" s="16" t="n"/>
      <c r="O622" s="16" t="n"/>
      <c r="P622" s="16" t="n"/>
      <c r="Q622" s="16" t="n"/>
      <c r="R622" s="16" t="n"/>
    </row>
    <row r="623" ht="15" customHeight="1" s="12">
      <c r="B623" s="16" t="n"/>
      <c r="K623" s="16" t="n"/>
      <c r="O623" s="16" t="n"/>
      <c r="P623" s="16" t="n"/>
      <c r="Q623" s="16" t="n"/>
      <c r="R623" s="16" t="n"/>
    </row>
    <row r="624" ht="15" customHeight="1" s="12">
      <c r="B624" s="16" t="n"/>
      <c r="K624" s="16" t="n"/>
      <c r="O624" s="16" t="n"/>
      <c r="P624" s="16" t="n"/>
      <c r="Q624" s="16" t="n"/>
      <c r="R624" s="16" t="n"/>
    </row>
    <row r="625" ht="15" customHeight="1" s="12">
      <c r="B625" s="16" t="n"/>
      <c r="K625" s="16" t="n"/>
      <c r="O625" s="16" t="n"/>
      <c r="P625" s="16" t="n"/>
      <c r="Q625" s="16" t="n"/>
      <c r="R625" s="16" t="n"/>
    </row>
    <row r="626" ht="15" customHeight="1" s="12">
      <c r="B626" s="16" t="n"/>
      <c r="K626" s="16" t="n"/>
      <c r="O626" s="16" t="n"/>
      <c r="P626" s="16" t="n"/>
      <c r="Q626" s="16" t="n"/>
      <c r="R626" s="16" t="n"/>
    </row>
    <row r="627" ht="15" customHeight="1" s="12">
      <c r="B627" s="16" t="n"/>
      <c r="K627" s="16" t="n"/>
      <c r="O627" s="16" t="n"/>
      <c r="P627" s="16" t="n"/>
      <c r="Q627" s="16" t="n"/>
      <c r="R627" s="16" t="n"/>
    </row>
    <row r="628" ht="15" customHeight="1" s="12">
      <c r="B628" s="16" t="n"/>
      <c r="K628" s="16" t="n"/>
      <c r="O628" s="16" t="n"/>
      <c r="P628" s="16" t="n"/>
      <c r="Q628" s="16" t="n"/>
      <c r="R628" s="16" t="n"/>
    </row>
    <row r="629" ht="15" customHeight="1" s="12">
      <c r="B629" s="16" t="n"/>
      <c r="K629" s="16" t="n"/>
      <c r="O629" s="16" t="n"/>
      <c r="P629" s="16" t="n"/>
      <c r="Q629" s="16" t="n"/>
      <c r="R629" s="16" t="n"/>
    </row>
    <row r="630" ht="15" customHeight="1" s="12">
      <c r="B630" s="16" t="n"/>
      <c r="K630" s="16" t="n"/>
      <c r="O630" s="16" t="n"/>
      <c r="P630" s="16" t="n"/>
      <c r="Q630" s="16" t="n"/>
      <c r="R630" s="16" t="n"/>
    </row>
    <row r="631" ht="15" customHeight="1" s="12">
      <c r="B631" s="16" t="n"/>
      <c r="K631" s="16" t="n"/>
      <c r="O631" s="16" t="n"/>
      <c r="P631" s="16" t="n"/>
      <c r="Q631" s="16" t="n"/>
      <c r="R631" s="16" t="n"/>
    </row>
    <row r="632" ht="15" customHeight="1" s="12">
      <c r="B632" s="16" t="n"/>
      <c r="K632" s="16" t="n"/>
      <c r="O632" s="16" t="n"/>
      <c r="P632" s="16" t="n"/>
      <c r="Q632" s="16" t="n"/>
      <c r="R632" s="16" t="n"/>
    </row>
    <row r="633" ht="15" customHeight="1" s="12">
      <c r="B633" s="16" t="n"/>
      <c r="K633" s="16" t="n"/>
      <c r="O633" s="16" t="n"/>
      <c r="P633" s="16" t="n"/>
      <c r="Q633" s="16" t="n"/>
      <c r="R633" s="16" t="n"/>
    </row>
    <row r="634" ht="15" customHeight="1" s="12">
      <c r="B634" s="16" t="n"/>
      <c r="K634" s="16" t="n"/>
      <c r="O634" s="16" t="n"/>
      <c r="P634" s="16" t="n"/>
      <c r="Q634" s="16" t="n"/>
      <c r="R634" s="16" t="n"/>
    </row>
    <row r="635" ht="15" customHeight="1" s="12">
      <c r="B635" s="16" t="n"/>
      <c r="K635" s="16" t="n"/>
      <c r="O635" s="16" t="n"/>
      <c r="P635" s="16" t="n"/>
      <c r="Q635" s="16" t="n"/>
      <c r="R635" s="16" t="n"/>
    </row>
    <row r="636" ht="15" customHeight="1" s="12">
      <c r="B636" s="16" t="n"/>
      <c r="K636" s="16" t="n"/>
      <c r="O636" s="16" t="n"/>
      <c r="P636" s="16" t="n"/>
      <c r="Q636" s="16" t="n"/>
      <c r="R636" s="16" t="n"/>
    </row>
    <row r="637" ht="15" customHeight="1" s="12">
      <c r="B637" s="16" t="n"/>
      <c r="K637" s="16" t="n"/>
      <c r="O637" s="16" t="n"/>
      <c r="P637" s="16" t="n"/>
      <c r="Q637" s="16" t="n"/>
      <c r="R637" s="16" t="n"/>
    </row>
    <row r="638" ht="15" customHeight="1" s="12">
      <c r="B638" s="16" t="n"/>
      <c r="K638" s="16" t="n"/>
      <c r="O638" s="16" t="n"/>
      <c r="P638" s="16" t="n"/>
      <c r="Q638" s="16" t="n"/>
      <c r="R638" s="16" t="n"/>
    </row>
    <row r="639" ht="15" customHeight="1" s="12">
      <c r="B639" s="16" t="n"/>
      <c r="K639" s="16" t="n"/>
      <c r="O639" s="16" t="n"/>
      <c r="P639" s="16" t="n"/>
      <c r="Q639" s="16" t="n"/>
      <c r="R639" s="16" t="n"/>
    </row>
    <row r="640" ht="15" customHeight="1" s="12">
      <c r="B640" s="16" t="n"/>
      <c r="K640" s="16" t="n"/>
      <c r="O640" s="16" t="n"/>
      <c r="P640" s="16" t="n"/>
      <c r="Q640" s="16" t="n"/>
      <c r="R640" s="16" t="n"/>
    </row>
    <row r="641" ht="15" customHeight="1" s="12">
      <c r="B641" s="16" t="n"/>
      <c r="K641" s="16" t="n"/>
      <c r="O641" s="16" t="n"/>
      <c r="P641" s="16" t="n"/>
      <c r="Q641" s="16" t="n"/>
      <c r="R641" s="16" t="n"/>
    </row>
    <row r="642" ht="15" customHeight="1" s="12">
      <c r="B642" s="16" t="n"/>
      <c r="K642" s="16" t="n"/>
      <c r="O642" s="16" t="n"/>
      <c r="P642" s="16" t="n"/>
      <c r="Q642" s="16" t="n"/>
      <c r="R642" s="16" t="n"/>
    </row>
    <row r="643" ht="15" customHeight="1" s="12">
      <c r="B643" s="16" t="n"/>
      <c r="K643" s="16" t="n"/>
      <c r="O643" s="16" t="n"/>
      <c r="P643" s="16" t="n"/>
      <c r="Q643" s="16" t="n"/>
      <c r="R643" s="16" t="n"/>
    </row>
    <row r="644" ht="15" customHeight="1" s="12">
      <c r="B644" s="16" t="n"/>
      <c r="K644" s="16" t="n"/>
      <c r="O644" s="16" t="n"/>
      <c r="P644" s="16" t="n"/>
      <c r="Q644" s="16" t="n"/>
      <c r="R644" s="16" t="n"/>
    </row>
    <row r="645" ht="15" customHeight="1" s="12">
      <c r="B645" s="16" t="n"/>
      <c r="K645" s="16" t="n"/>
      <c r="O645" s="16" t="n"/>
      <c r="P645" s="16" t="n"/>
      <c r="Q645" s="16" t="n"/>
      <c r="R645" s="16" t="n"/>
    </row>
    <row r="646" ht="15" customHeight="1" s="12">
      <c r="B646" s="16" t="n"/>
      <c r="K646" s="16" t="n"/>
      <c r="O646" s="16" t="n"/>
      <c r="P646" s="16" t="n"/>
      <c r="Q646" s="16" t="n"/>
      <c r="R646" s="16" t="n"/>
    </row>
    <row r="647" ht="15" customHeight="1" s="12">
      <c r="B647" s="16" t="n"/>
      <c r="K647" s="16" t="n"/>
      <c r="O647" s="16" t="n"/>
      <c r="P647" s="16" t="n"/>
      <c r="Q647" s="16" t="n"/>
      <c r="R647" s="16" t="n"/>
    </row>
    <row r="648" ht="15" customHeight="1" s="12">
      <c r="B648" s="16" t="n"/>
      <c r="K648" s="16" t="n"/>
      <c r="O648" s="16" t="n"/>
      <c r="P648" s="16" t="n"/>
      <c r="Q648" s="16" t="n"/>
      <c r="R648" s="16" t="n"/>
    </row>
    <row r="649" ht="15" customHeight="1" s="12">
      <c r="B649" s="16" t="n"/>
      <c r="K649" s="16" t="n"/>
      <c r="O649" s="16" t="n"/>
      <c r="P649" s="16" t="n"/>
      <c r="Q649" s="16" t="n"/>
      <c r="R649" s="16" t="n"/>
    </row>
    <row r="650" ht="15" customHeight="1" s="12">
      <c r="B650" s="16" t="n"/>
      <c r="K650" s="16" t="n"/>
      <c r="O650" s="16" t="n"/>
      <c r="P650" s="16" t="n"/>
      <c r="Q650" s="16" t="n"/>
      <c r="R650" s="16" t="n"/>
    </row>
    <row r="651" ht="15" customHeight="1" s="12">
      <c r="B651" s="16" t="n"/>
      <c r="K651" s="16" t="n"/>
      <c r="O651" s="16" t="n"/>
      <c r="P651" s="16" t="n"/>
      <c r="Q651" s="16" t="n"/>
      <c r="R651" s="16" t="n"/>
    </row>
    <row r="652" ht="15" customHeight="1" s="12">
      <c r="B652" s="16" t="n"/>
      <c r="K652" s="16" t="n"/>
      <c r="O652" s="16" t="n"/>
      <c r="P652" s="16" t="n"/>
      <c r="Q652" s="16" t="n"/>
      <c r="R652" s="16" t="n"/>
    </row>
    <row r="653" ht="15" customHeight="1" s="12">
      <c r="B653" s="16" t="n"/>
      <c r="K653" s="16" t="n"/>
      <c r="O653" s="16" t="n"/>
      <c r="P653" s="16" t="n"/>
      <c r="Q653" s="16" t="n"/>
      <c r="R653" s="16" t="n"/>
    </row>
    <row r="654" ht="15" customHeight="1" s="12">
      <c r="B654" s="16" t="n"/>
      <c r="K654" s="16" t="n"/>
      <c r="O654" s="16" t="n"/>
      <c r="P654" s="16" t="n"/>
      <c r="Q654" s="16" t="n"/>
      <c r="R654" s="16" t="n"/>
    </row>
    <row r="655" ht="15" customHeight="1" s="12">
      <c r="B655" s="16" t="n"/>
      <c r="K655" s="16" t="n"/>
      <c r="O655" s="16" t="n"/>
      <c r="P655" s="16" t="n"/>
      <c r="Q655" s="16" t="n"/>
      <c r="R655" s="16" t="n"/>
    </row>
    <row r="656" ht="15" customHeight="1" s="12">
      <c r="B656" s="16" t="n"/>
      <c r="K656" s="16" t="n"/>
      <c r="O656" s="16" t="n"/>
      <c r="P656" s="16" t="n"/>
      <c r="Q656" s="16" t="n"/>
      <c r="R656" s="16" t="n"/>
    </row>
    <row r="657" ht="15" customHeight="1" s="12">
      <c r="B657" s="16" t="n"/>
      <c r="K657" s="16" t="n"/>
      <c r="O657" s="16" t="n"/>
      <c r="P657" s="16" t="n"/>
      <c r="Q657" s="16" t="n"/>
      <c r="R657" s="16" t="n"/>
    </row>
    <row r="658" ht="15" customHeight="1" s="12">
      <c r="B658" s="16" t="n"/>
      <c r="K658" s="16" t="n"/>
      <c r="O658" s="16" t="n"/>
      <c r="P658" s="16" t="n"/>
      <c r="Q658" s="16" t="n"/>
      <c r="R658" s="16" t="n"/>
    </row>
    <row r="659" ht="15" customHeight="1" s="12">
      <c r="B659" s="16" t="n"/>
      <c r="K659" s="16" t="n"/>
      <c r="O659" s="16" t="n"/>
      <c r="P659" s="16" t="n"/>
      <c r="Q659" s="16" t="n"/>
      <c r="R659" s="16" t="n"/>
    </row>
    <row r="660" ht="15" customHeight="1" s="12">
      <c r="B660" s="16" t="n"/>
      <c r="K660" s="16" t="n"/>
      <c r="O660" s="16" t="n"/>
      <c r="P660" s="16" t="n"/>
      <c r="Q660" s="16" t="n"/>
      <c r="R660" s="16" t="n"/>
    </row>
    <row r="661" ht="15" customHeight="1" s="12">
      <c r="B661" s="16" t="n"/>
      <c r="K661" s="16" t="n"/>
      <c r="O661" s="16" t="n"/>
      <c r="P661" s="16" t="n"/>
      <c r="Q661" s="16" t="n"/>
      <c r="R661" s="16" t="n"/>
    </row>
    <row r="662" ht="15" customHeight="1" s="12">
      <c r="B662" s="16" t="n"/>
      <c r="K662" s="16" t="n"/>
      <c r="O662" s="16" t="n"/>
      <c r="P662" s="16" t="n"/>
      <c r="Q662" s="16" t="n"/>
      <c r="R662" s="16" t="n"/>
    </row>
    <row r="663" ht="15" customHeight="1" s="12">
      <c r="B663" s="16" t="n"/>
      <c r="K663" s="16" t="n"/>
      <c r="O663" s="16" t="n"/>
      <c r="P663" s="16" t="n"/>
      <c r="Q663" s="16" t="n"/>
      <c r="R663" s="16" t="n"/>
    </row>
    <row r="664" ht="15" customHeight="1" s="12">
      <c r="B664" s="16" t="n"/>
      <c r="K664" s="16" t="n"/>
      <c r="O664" s="16" t="n"/>
      <c r="P664" s="16" t="n"/>
      <c r="Q664" s="16" t="n"/>
      <c r="R664" s="16" t="n"/>
    </row>
    <row r="665" ht="15" customHeight="1" s="12">
      <c r="B665" s="16" t="n"/>
      <c r="K665" s="16" t="n"/>
      <c r="O665" s="16" t="n"/>
      <c r="P665" s="16" t="n"/>
      <c r="Q665" s="16" t="n"/>
      <c r="R665" s="16" t="n"/>
    </row>
    <row r="666" ht="15" customHeight="1" s="12">
      <c r="B666" s="16" t="n"/>
      <c r="K666" s="16" t="n"/>
      <c r="O666" s="16" t="n"/>
      <c r="P666" s="16" t="n"/>
      <c r="Q666" s="16" t="n"/>
      <c r="R666" s="16" t="n"/>
    </row>
    <row r="667" ht="15" customHeight="1" s="12">
      <c r="B667" s="16" t="n"/>
      <c r="K667" s="16" t="n"/>
      <c r="O667" s="16" t="n"/>
      <c r="P667" s="16" t="n"/>
      <c r="Q667" s="16" t="n"/>
      <c r="R667" s="16" t="n"/>
    </row>
    <row r="668" ht="15" customHeight="1" s="12">
      <c r="B668" s="16" t="n"/>
      <c r="K668" s="16" t="n"/>
      <c r="O668" s="16" t="n"/>
      <c r="P668" s="16" t="n"/>
      <c r="Q668" s="16" t="n"/>
      <c r="R668" s="16" t="n"/>
    </row>
    <row r="669" ht="15" customHeight="1" s="12">
      <c r="B669" s="16" t="n"/>
      <c r="K669" s="16" t="n"/>
      <c r="O669" s="16" t="n"/>
      <c r="P669" s="16" t="n"/>
      <c r="Q669" s="16" t="n"/>
      <c r="R669" s="16" t="n"/>
    </row>
    <row r="670" ht="15" customHeight="1" s="12">
      <c r="B670" s="16" t="n"/>
      <c r="K670" s="16" t="n"/>
      <c r="O670" s="16" t="n"/>
      <c r="P670" s="16" t="n"/>
      <c r="Q670" s="16" t="n"/>
      <c r="R670" s="16" t="n"/>
    </row>
    <row r="671" ht="15" customHeight="1" s="12">
      <c r="B671" s="16" t="n"/>
      <c r="K671" s="16" t="n"/>
      <c r="O671" s="16" t="n"/>
      <c r="P671" s="16" t="n"/>
      <c r="Q671" s="16" t="n"/>
      <c r="R671" s="16" t="n"/>
    </row>
    <row r="672" ht="15" customHeight="1" s="12">
      <c r="B672" s="16" t="n"/>
      <c r="K672" s="16" t="n"/>
      <c r="O672" s="16" t="n"/>
      <c r="P672" s="16" t="n"/>
      <c r="Q672" s="16" t="n"/>
      <c r="R672" s="16" t="n"/>
    </row>
    <row r="673" ht="15" customHeight="1" s="12">
      <c r="B673" s="16" t="n"/>
      <c r="K673" s="16" t="n"/>
      <c r="O673" s="16" t="n"/>
      <c r="P673" s="16" t="n"/>
      <c r="Q673" s="16" t="n"/>
      <c r="R673" s="16" t="n"/>
    </row>
    <row r="674" ht="15" customHeight="1" s="12">
      <c r="B674" s="16" t="n"/>
      <c r="K674" s="16" t="n"/>
      <c r="O674" s="16" t="n"/>
      <c r="P674" s="16" t="n"/>
      <c r="Q674" s="16" t="n"/>
      <c r="R674" s="16" t="n"/>
    </row>
    <row r="675" ht="15" customHeight="1" s="12">
      <c r="B675" s="16" t="n"/>
      <c r="K675" s="16" t="n"/>
      <c r="O675" s="16" t="n"/>
      <c r="P675" s="16" t="n"/>
      <c r="Q675" s="16" t="n"/>
      <c r="R675" s="16" t="n"/>
    </row>
    <row r="676" ht="15" customHeight="1" s="12">
      <c r="B676" s="16" t="n"/>
      <c r="K676" s="16" t="n"/>
      <c r="O676" s="16" t="n"/>
      <c r="P676" s="16" t="n"/>
      <c r="Q676" s="16" t="n"/>
      <c r="R676" s="16" t="n"/>
    </row>
    <row r="677" ht="15" customHeight="1" s="12">
      <c r="B677" s="16" t="n"/>
      <c r="K677" s="16" t="n"/>
      <c r="O677" s="16" t="n"/>
      <c r="P677" s="16" t="n"/>
      <c r="Q677" s="16" t="n"/>
      <c r="R677" s="16" t="n"/>
    </row>
    <row r="678" ht="15" customHeight="1" s="12">
      <c r="B678" s="16" t="n"/>
      <c r="K678" s="16" t="n"/>
      <c r="O678" s="16" t="n"/>
      <c r="P678" s="16" t="n"/>
      <c r="Q678" s="16" t="n"/>
      <c r="R678" s="16" t="n"/>
    </row>
    <row r="679" ht="15" customHeight="1" s="12">
      <c r="B679" s="16" t="n"/>
      <c r="K679" s="16" t="n"/>
      <c r="O679" s="16" t="n"/>
      <c r="P679" s="16" t="n"/>
      <c r="Q679" s="16" t="n"/>
      <c r="R679" s="16" t="n"/>
    </row>
    <row r="680" ht="15" customHeight="1" s="12">
      <c r="B680" s="16" t="n"/>
      <c r="K680" s="16" t="n"/>
      <c r="O680" s="16" t="n"/>
      <c r="P680" s="16" t="n"/>
      <c r="Q680" s="16" t="n"/>
      <c r="R680" s="16" t="n"/>
    </row>
    <row r="681" ht="15" customHeight="1" s="12">
      <c r="B681" s="16" t="n"/>
      <c r="K681" s="16" t="n"/>
      <c r="O681" s="16" t="n"/>
      <c r="P681" s="16" t="n"/>
      <c r="Q681" s="16" t="n"/>
      <c r="R681" s="16" t="n"/>
    </row>
    <row r="682" ht="15" customHeight="1" s="12">
      <c r="B682" s="16" t="n"/>
      <c r="K682" s="16" t="n"/>
      <c r="O682" s="16" t="n"/>
      <c r="P682" s="16" t="n"/>
      <c r="Q682" s="16" t="n"/>
      <c r="R682" s="16" t="n"/>
    </row>
    <row r="683" ht="15" customHeight="1" s="12">
      <c r="B683" s="16" t="n"/>
      <c r="K683" s="16" t="n"/>
      <c r="O683" s="16" t="n"/>
      <c r="P683" s="16" t="n"/>
      <c r="Q683" s="16" t="n"/>
      <c r="R683" s="16" t="n"/>
    </row>
    <row r="684" ht="15" customHeight="1" s="12">
      <c r="B684" s="16" t="n"/>
      <c r="K684" s="16" t="n"/>
      <c r="O684" s="16" t="n"/>
      <c r="P684" s="16" t="n"/>
      <c r="Q684" s="16" t="n"/>
      <c r="R684" s="16" t="n"/>
    </row>
    <row r="685" ht="15" customHeight="1" s="12">
      <c r="B685" s="16" t="n"/>
      <c r="K685" s="16" t="n"/>
      <c r="O685" s="16" t="n"/>
      <c r="P685" s="16" t="n"/>
      <c r="Q685" s="16" t="n"/>
      <c r="R685" s="16" t="n"/>
    </row>
    <row r="686" ht="15" customHeight="1" s="12">
      <c r="B686" s="16" t="n"/>
      <c r="K686" s="16" t="n"/>
      <c r="O686" s="16" t="n"/>
      <c r="P686" s="16" t="n"/>
      <c r="Q686" s="16" t="n"/>
      <c r="R686" s="16" t="n"/>
    </row>
    <row r="687" ht="15" customHeight="1" s="12">
      <c r="B687" s="16" t="n"/>
      <c r="K687" s="16" t="n"/>
      <c r="O687" s="16" t="n"/>
      <c r="P687" s="16" t="n"/>
      <c r="Q687" s="16" t="n"/>
      <c r="R687" s="16" t="n"/>
    </row>
    <row r="688" ht="15" customHeight="1" s="12">
      <c r="B688" s="16" t="n"/>
      <c r="K688" s="16" t="n"/>
      <c r="O688" s="16" t="n"/>
      <c r="P688" s="16" t="n"/>
      <c r="Q688" s="16" t="n"/>
      <c r="R688" s="16" t="n"/>
    </row>
    <row r="689" ht="15" customHeight="1" s="12">
      <c r="B689" s="16" t="n"/>
      <c r="K689" s="16" t="n"/>
      <c r="O689" s="16" t="n"/>
      <c r="P689" s="16" t="n"/>
      <c r="Q689" s="16" t="n"/>
      <c r="R689" s="16" t="n"/>
    </row>
    <row r="690" ht="15" customHeight="1" s="12">
      <c r="B690" s="16" t="n"/>
      <c r="K690" s="16" t="n"/>
      <c r="O690" s="16" t="n"/>
      <c r="P690" s="16" t="n"/>
      <c r="Q690" s="16" t="n"/>
      <c r="R690" s="16" t="n"/>
    </row>
    <row r="691" ht="15" customHeight="1" s="12">
      <c r="B691" s="16" t="n"/>
      <c r="K691" s="16" t="n"/>
      <c r="O691" s="16" t="n"/>
      <c r="P691" s="16" t="n"/>
      <c r="Q691" s="16" t="n"/>
      <c r="R691" s="16" t="n"/>
    </row>
    <row r="692" ht="15" customHeight="1" s="12">
      <c r="B692" s="16" t="n"/>
      <c r="K692" s="16" t="n"/>
      <c r="O692" s="16" t="n"/>
      <c r="P692" s="16" t="n"/>
      <c r="Q692" s="16" t="n"/>
      <c r="R692" s="16" t="n"/>
    </row>
    <row r="693" ht="15" customHeight="1" s="12">
      <c r="B693" s="16" t="n"/>
      <c r="K693" s="16" t="n"/>
      <c r="O693" s="16" t="n"/>
      <c r="P693" s="16" t="n"/>
      <c r="Q693" s="16" t="n"/>
      <c r="R693" s="16" t="n"/>
    </row>
    <row r="694" ht="15" customHeight="1" s="12">
      <c r="B694" s="16" t="n"/>
      <c r="K694" s="16" t="n"/>
      <c r="O694" s="16" t="n"/>
      <c r="P694" s="16" t="n"/>
      <c r="Q694" s="16" t="n"/>
      <c r="R694" s="16" t="n"/>
    </row>
    <row r="695" ht="15" customHeight="1" s="12">
      <c r="B695" s="16" t="n"/>
      <c r="K695" s="16" t="n"/>
      <c r="O695" s="16" t="n"/>
      <c r="P695" s="16" t="n"/>
      <c r="Q695" s="16" t="n"/>
      <c r="R695" s="16" t="n"/>
    </row>
    <row r="696" ht="15" customHeight="1" s="12">
      <c r="B696" s="16" t="n"/>
      <c r="K696" s="16" t="n"/>
      <c r="O696" s="16" t="n"/>
      <c r="P696" s="16" t="n"/>
      <c r="Q696" s="16" t="n"/>
      <c r="R696" s="16" t="n"/>
    </row>
    <row r="697" ht="15" customHeight="1" s="12">
      <c r="B697" s="16" t="n"/>
      <c r="K697" s="16" t="n"/>
      <c r="O697" s="16" t="n"/>
      <c r="P697" s="16" t="n"/>
      <c r="Q697" s="16" t="n"/>
      <c r="R697" s="16" t="n"/>
    </row>
    <row r="698" ht="15" customHeight="1" s="12">
      <c r="B698" s="16" t="n"/>
      <c r="K698" s="16" t="n"/>
      <c r="O698" s="16" t="n"/>
      <c r="P698" s="16" t="n"/>
      <c r="Q698" s="16" t="n"/>
      <c r="R698" s="16" t="n"/>
    </row>
    <row r="699" ht="15" customHeight="1" s="12">
      <c r="B699" s="16" t="n"/>
      <c r="K699" s="16" t="n"/>
      <c r="O699" s="16" t="n"/>
      <c r="P699" s="16" t="n"/>
      <c r="Q699" s="16" t="n"/>
      <c r="R699" s="16" t="n"/>
    </row>
    <row r="700" ht="15" customHeight="1" s="12">
      <c r="B700" s="16" t="n"/>
      <c r="K700" s="16" t="n"/>
      <c r="O700" s="16" t="n"/>
      <c r="P700" s="16" t="n"/>
      <c r="Q700" s="16" t="n"/>
      <c r="R700" s="16" t="n"/>
    </row>
    <row r="701" ht="15" customHeight="1" s="12">
      <c r="B701" s="16" t="n"/>
      <c r="K701" s="16" t="n"/>
      <c r="O701" s="16" t="n"/>
      <c r="P701" s="16" t="n"/>
      <c r="Q701" s="16" t="n"/>
      <c r="R701" s="16" t="n"/>
    </row>
    <row r="702" ht="15" customHeight="1" s="12">
      <c r="B702" s="16" t="n"/>
      <c r="K702" s="16" t="n"/>
      <c r="O702" s="16" t="n"/>
      <c r="P702" s="16" t="n"/>
      <c r="Q702" s="16" t="n"/>
      <c r="R702" s="16" t="n"/>
    </row>
    <row r="703" ht="15" customHeight="1" s="12">
      <c r="B703" s="16" t="n"/>
      <c r="K703" s="16" t="n"/>
      <c r="O703" s="16" t="n"/>
      <c r="P703" s="16" t="n"/>
      <c r="Q703" s="16" t="n"/>
      <c r="R703" s="16" t="n"/>
    </row>
    <row r="704" ht="15" customHeight="1" s="12">
      <c r="B704" s="16" t="n"/>
      <c r="K704" s="16" t="n"/>
      <c r="O704" s="16" t="n"/>
      <c r="P704" s="16" t="n"/>
      <c r="Q704" s="16" t="n"/>
      <c r="R704" s="16" t="n"/>
    </row>
    <row r="705" ht="15" customHeight="1" s="12">
      <c r="B705" s="16" t="n"/>
      <c r="K705" s="16" t="n"/>
      <c r="O705" s="16" t="n"/>
      <c r="P705" s="16" t="n"/>
      <c r="Q705" s="16" t="n"/>
      <c r="R705" s="16" t="n"/>
    </row>
    <row r="706" ht="15" customHeight="1" s="12">
      <c r="B706" s="16" t="n"/>
      <c r="K706" s="16" t="n"/>
      <c r="O706" s="16" t="n"/>
      <c r="P706" s="16" t="n"/>
      <c r="Q706" s="16" t="n"/>
      <c r="R706" s="16" t="n"/>
    </row>
    <row r="707" ht="15" customHeight="1" s="12">
      <c r="B707" s="16" t="n"/>
      <c r="K707" s="16" t="n"/>
      <c r="O707" s="16" t="n"/>
      <c r="P707" s="16" t="n"/>
      <c r="Q707" s="16" t="n"/>
      <c r="R707" s="16" t="n"/>
    </row>
    <row r="708" ht="15" customHeight="1" s="12">
      <c r="B708" s="16" t="n"/>
      <c r="K708" s="16" t="n"/>
      <c r="O708" s="16" t="n"/>
      <c r="P708" s="16" t="n"/>
      <c r="Q708" s="16" t="n"/>
      <c r="R708" s="16" t="n"/>
    </row>
    <row r="709" ht="15" customHeight="1" s="12">
      <c r="B709" s="16" t="n"/>
      <c r="K709" s="16" t="n"/>
      <c r="O709" s="16" t="n"/>
      <c r="P709" s="16" t="n"/>
      <c r="Q709" s="16" t="n"/>
      <c r="R709" s="16" t="n"/>
    </row>
    <row r="710" ht="15" customHeight="1" s="12">
      <c r="B710" s="16" t="n"/>
      <c r="K710" s="16" t="n"/>
      <c r="O710" s="16" t="n"/>
      <c r="P710" s="16" t="n"/>
      <c r="Q710" s="16" t="n"/>
      <c r="R710" s="16" t="n"/>
    </row>
    <row r="711" ht="15" customHeight="1" s="12">
      <c r="B711" s="16" t="n"/>
      <c r="K711" s="16" t="n"/>
      <c r="O711" s="16" t="n"/>
      <c r="P711" s="16" t="n"/>
      <c r="Q711" s="16" t="n"/>
      <c r="R711" s="16" t="n"/>
    </row>
    <row r="712" ht="15" customHeight="1" s="12">
      <c r="B712" s="16" t="n"/>
      <c r="K712" s="16" t="n"/>
      <c r="O712" s="16" t="n"/>
      <c r="P712" s="16" t="n"/>
      <c r="Q712" s="16" t="n"/>
      <c r="R712" s="16" t="n"/>
    </row>
    <row r="713" ht="15" customHeight="1" s="12">
      <c r="B713" s="16" t="n"/>
      <c r="K713" s="16" t="n"/>
      <c r="O713" s="16" t="n"/>
      <c r="P713" s="16" t="n"/>
      <c r="Q713" s="16" t="n"/>
      <c r="R713" s="16" t="n"/>
    </row>
    <row r="714" ht="15" customHeight="1" s="12">
      <c r="B714" s="16" t="n"/>
      <c r="K714" s="16" t="n"/>
      <c r="O714" s="16" t="n"/>
      <c r="P714" s="16" t="n"/>
      <c r="Q714" s="16" t="n"/>
      <c r="R714" s="16" t="n"/>
    </row>
    <row r="715" ht="15" customHeight="1" s="12">
      <c r="B715" s="16" t="n"/>
      <c r="K715" s="16" t="n"/>
      <c r="O715" s="16" t="n"/>
      <c r="P715" s="16" t="n"/>
      <c r="Q715" s="16" t="n"/>
      <c r="R715" s="16" t="n"/>
    </row>
    <row r="716" ht="15" customHeight="1" s="12">
      <c r="B716" s="16" t="n"/>
      <c r="K716" s="16" t="n"/>
      <c r="O716" s="16" t="n"/>
      <c r="P716" s="16" t="n"/>
      <c r="Q716" s="16" t="n"/>
      <c r="R716" s="16" t="n"/>
    </row>
    <row r="717" ht="15" customHeight="1" s="12">
      <c r="B717" s="16" t="n"/>
      <c r="K717" s="16" t="n"/>
      <c r="O717" s="16" t="n"/>
      <c r="P717" s="16" t="n"/>
      <c r="Q717" s="16" t="n"/>
      <c r="R717" s="16" t="n"/>
    </row>
    <row r="718" ht="15" customHeight="1" s="12">
      <c r="B718" s="16" t="n"/>
      <c r="K718" s="16" t="n"/>
      <c r="O718" s="16" t="n"/>
      <c r="P718" s="16" t="n"/>
      <c r="Q718" s="16" t="n"/>
      <c r="R718" s="16" t="n"/>
    </row>
    <row r="719" ht="15" customHeight="1" s="12">
      <c r="B719" s="16" t="n"/>
      <c r="K719" s="16" t="n"/>
      <c r="O719" s="16" t="n"/>
      <c r="P719" s="16" t="n"/>
      <c r="Q719" s="16" t="n"/>
      <c r="R719" s="16" t="n"/>
    </row>
    <row r="720" ht="15" customHeight="1" s="12">
      <c r="B720" s="16" t="n"/>
      <c r="K720" s="16" t="n"/>
      <c r="O720" s="16" t="n"/>
      <c r="P720" s="16" t="n"/>
      <c r="Q720" s="16" t="n"/>
      <c r="R720" s="16" t="n"/>
    </row>
    <row r="721" ht="15" customHeight="1" s="12">
      <c r="B721" s="16" t="n"/>
      <c r="K721" s="16" t="n"/>
      <c r="O721" s="16" t="n"/>
      <c r="P721" s="16" t="n"/>
      <c r="Q721" s="16" t="n"/>
      <c r="R721" s="16" t="n"/>
    </row>
    <row r="722" ht="15" customHeight="1" s="12">
      <c r="B722" s="16" t="n"/>
      <c r="K722" s="16" t="n"/>
      <c r="O722" s="16" t="n"/>
      <c r="P722" s="16" t="n"/>
      <c r="Q722" s="16" t="n"/>
      <c r="R722" s="16" t="n"/>
    </row>
    <row r="723" ht="15" customHeight="1" s="12">
      <c r="B723" s="16" t="n"/>
      <c r="K723" s="16" t="n"/>
      <c r="O723" s="16" t="n"/>
      <c r="P723" s="16" t="n"/>
      <c r="Q723" s="16" t="n"/>
      <c r="R723" s="16" t="n"/>
    </row>
    <row r="724" ht="15" customHeight="1" s="12">
      <c r="B724" s="16" t="n"/>
      <c r="K724" s="16" t="n"/>
      <c r="O724" s="16" t="n"/>
      <c r="P724" s="16" t="n"/>
      <c r="Q724" s="16" t="n"/>
      <c r="R724" s="16" t="n"/>
    </row>
    <row r="725" ht="15" customHeight="1" s="12">
      <c r="B725" s="16" t="n"/>
      <c r="K725" s="16" t="n"/>
      <c r="O725" s="16" t="n"/>
      <c r="P725" s="16" t="n"/>
      <c r="Q725" s="16" t="n"/>
      <c r="R725" s="16" t="n"/>
    </row>
    <row r="726" ht="15" customHeight="1" s="12">
      <c r="B726" s="16" t="n"/>
      <c r="K726" s="16" t="n"/>
      <c r="O726" s="16" t="n"/>
      <c r="P726" s="16" t="n"/>
      <c r="Q726" s="16" t="n"/>
      <c r="R726" s="16" t="n"/>
    </row>
    <row r="727" ht="15" customHeight="1" s="12">
      <c r="B727" s="16" t="n"/>
      <c r="K727" s="16" t="n"/>
      <c r="O727" s="16" t="n"/>
      <c r="P727" s="16" t="n"/>
      <c r="Q727" s="16" t="n"/>
      <c r="R727" s="16" t="n"/>
    </row>
    <row r="728" ht="15" customHeight="1" s="12">
      <c r="B728" s="16" t="n"/>
      <c r="K728" s="16" t="n"/>
      <c r="O728" s="16" t="n"/>
      <c r="P728" s="16" t="n"/>
      <c r="Q728" s="16" t="n"/>
      <c r="R728" s="16" t="n"/>
    </row>
    <row r="729" ht="15" customHeight="1" s="12">
      <c r="B729" s="16" t="n"/>
      <c r="K729" s="16" t="n"/>
      <c r="O729" s="16" t="n"/>
      <c r="P729" s="16" t="n"/>
      <c r="Q729" s="16" t="n"/>
      <c r="R729" s="16" t="n"/>
    </row>
    <row r="730" ht="15" customHeight="1" s="12">
      <c r="B730" s="16" t="n"/>
      <c r="K730" s="16" t="n"/>
      <c r="O730" s="16" t="n"/>
      <c r="P730" s="16" t="n"/>
      <c r="Q730" s="16" t="n"/>
      <c r="R730" s="16" t="n"/>
    </row>
    <row r="731" ht="15" customHeight="1" s="12">
      <c r="B731" s="16" t="n"/>
      <c r="K731" s="16" t="n"/>
      <c r="O731" s="16" t="n"/>
      <c r="P731" s="16" t="n"/>
      <c r="Q731" s="16" t="n"/>
      <c r="R731" s="16" t="n"/>
    </row>
    <row r="732" ht="15" customHeight="1" s="12">
      <c r="B732" s="16" t="n"/>
      <c r="K732" s="16" t="n"/>
      <c r="O732" s="16" t="n"/>
      <c r="P732" s="16" t="n"/>
      <c r="Q732" s="16" t="n"/>
      <c r="R732" s="16" t="n"/>
    </row>
    <row r="733" ht="15" customHeight="1" s="12">
      <c r="B733" s="16" t="n"/>
      <c r="K733" s="16" t="n"/>
      <c r="O733" s="16" t="n"/>
      <c r="P733" s="16" t="n"/>
      <c r="Q733" s="16" t="n"/>
      <c r="R733" s="16" t="n"/>
    </row>
    <row r="734" ht="15" customHeight="1" s="12">
      <c r="B734" s="16" t="n"/>
      <c r="K734" s="16" t="n"/>
      <c r="O734" s="16" t="n"/>
      <c r="P734" s="16" t="n"/>
      <c r="Q734" s="16" t="n"/>
      <c r="R734" s="16" t="n"/>
    </row>
    <row r="735" ht="15" customHeight="1" s="12">
      <c r="B735" s="16" t="n"/>
      <c r="K735" s="16" t="n"/>
      <c r="O735" s="16" t="n"/>
      <c r="P735" s="16" t="n"/>
      <c r="Q735" s="16" t="n"/>
      <c r="R735" s="16" t="n"/>
    </row>
    <row r="736" ht="15" customHeight="1" s="12">
      <c r="B736" s="16" t="n"/>
      <c r="K736" s="16" t="n"/>
      <c r="O736" s="16" t="n"/>
      <c r="P736" s="16" t="n"/>
      <c r="Q736" s="16" t="n"/>
      <c r="R736" s="16" t="n"/>
    </row>
    <row r="737" ht="15" customHeight="1" s="12">
      <c r="B737" s="16" t="n"/>
      <c r="K737" s="16" t="n"/>
      <c r="O737" s="16" t="n"/>
      <c r="P737" s="16" t="n"/>
      <c r="Q737" s="16" t="n"/>
      <c r="R737" s="16" t="n"/>
    </row>
    <row r="738" ht="15" customHeight="1" s="12">
      <c r="B738" s="16" t="n"/>
      <c r="K738" s="16" t="n"/>
      <c r="O738" s="16" t="n"/>
      <c r="P738" s="16" t="n"/>
      <c r="Q738" s="16" t="n"/>
      <c r="R738" s="16" t="n"/>
    </row>
    <row r="739" ht="15" customHeight="1" s="12">
      <c r="B739" s="16" t="n"/>
      <c r="K739" s="16" t="n"/>
      <c r="O739" s="16" t="n"/>
      <c r="P739" s="16" t="n"/>
      <c r="Q739" s="16" t="n"/>
      <c r="R739" s="16" t="n"/>
    </row>
    <row r="740" ht="15" customHeight="1" s="12">
      <c r="B740" s="16" t="n"/>
      <c r="K740" s="16" t="n"/>
      <c r="O740" s="16" t="n"/>
      <c r="P740" s="16" t="n"/>
      <c r="Q740" s="16" t="n"/>
      <c r="R740" s="16" t="n"/>
    </row>
    <row r="741" ht="15" customHeight="1" s="12">
      <c r="B741" s="16" t="n"/>
      <c r="K741" s="16" t="n"/>
      <c r="O741" s="16" t="n"/>
      <c r="P741" s="16" t="n"/>
      <c r="Q741" s="16" t="n"/>
      <c r="R741" s="16" t="n"/>
    </row>
    <row r="742" ht="15" customHeight="1" s="12">
      <c r="B742" s="16" t="n"/>
      <c r="K742" s="16" t="n"/>
      <c r="O742" s="16" t="n"/>
      <c r="P742" s="16" t="n"/>
      <c r="Q742" s="16" t="n"/>
      <c r="R742" s="16" t="n"/>
    </row>
    <row r="743" ht="15" customHeight="1" s="12">
      <c r="B743" s="16" t="n"/>
      <c r="K743" s="16" t="n"/>
      <c r="O743" s="16" t="n"/>
      <c r="P743" s="16" t="n"/>
      <c r="Q743" s="16" t="n"/>
      <c r="R743" s="16" t="n"/>
    </row>
    <row r="744" ht="15" customHeight="1" s="12">
      <c r="B744" s="16" t="n"/>
      <c r="K744" s="16" t="n"/>
      <c r="O744" s="16" t="n"/>
      <c r="P744" s="16" t="n"/>
      <c r="Q744" s="16" t="n"/>
      <c r="R744" s="16" t="n"/>
    </row>
    <row r="745" ht="15" customHeight="1" s="12">
      <c r="B745" s="16" t="n"/>
      <c r="K745" s="16" t="n"/>
      <c r="O745" s="16" t="n"/>
      <c r="P745" s="16" t="n"/>
      <c r="Q745" s="16" t="n"/>
      <c r="R745" s="16" t="n"/>
    </row>
    <row r="746" ht="15" customHeight="1" s="12">
      <c r="B746" s="16" t="n"/>
      <c r="K746" s="16" t="n"/>
      <c r="O746" s="16" t="n"/>
      <c r="P746" s="16" t="n"/>
      <c r="Q746" s="16" t="n"/>
      <c r="R746" s="16" t="n"/>
    </row>
    <row r="747" ht="15" customHeight="1" s="12">
      <c r="B747" s="16" t="n"/>
      <c r="K747" s="16" t="n"/>
      <c r="O747" s="16" t="n"/>
      <c r="P747" s="16" t="n"/>
      <c r="Q747" s="16" t="n"/>
      <c r="R747" s="16" t="n"/>
    </row>
    <row r="748" ht="15" customHeight="1" s="12">
      <c r="B748" s="16" t="n"/>
      <c r="K748" s="16" t="n"/>
      <c r="O748" s="16" t="n"/>
      <c r="P748" s="16" t="n"/>
      <c r="Q748" s="16" t="n"/>
      <c r="R748" s="16" t="n"/>
    </row>
    <row r="749" ht="15" customHeight="1" s="12">
      <c r="B749" s="16" t="n"/>
      <c r="K749" s="16" t="n"/>
      <c r="O749" s="16" t="n"/>
      <c r="P749" s="16" t="n"/>
      <c r="Q749" s="16" t="n"/>
      <c r="R749" s="16" t="n"/>
    </row>
    <row r="750" ht="15" customHeight="1" s="12">
      <c r="B750" s="16" t="n"/>
      <c r="K750" s="16" t="n"/>
      <c r="O750" s="16" t="n"/>
      <c r="P750" s="16" t="n"/>
      <c r="Q750" s="16" t="n"/>
      <c r="R750" s="16" t="n"/>
    </row>
    <row r="751" ht="15" customHeight="1" s="12">
      <c r="B751" s="16" t="n"/>
      <c r="K751" s="16" t="n"/>
      <c r="O751" s="16" t="n"/>
      <c r="P751" s="16" t="n"/>
      <c r="Q751" s="16" t="n"/>
      <c r="R751" s="16" t="n"/>
    </row>
    <row r="752" ht="15" customHeight="1" s="12">
      <c r="B752" s="16" t="n"/>
      <c r="K752" s="16" t="n"/>
      <c r="O752" s="16" t="n"/>
      <c r="P752" s="16" t="n"/>
      <c r="Q752" s="16" t="n"/>
      <c r="R752" s="16" t="n"/>
    </row>
    <row r="753" ht="15" customHeight="1" s="12">
      <c r="B753" s="16" t="n"/>
      <c r="K753" s="16" t="n"/>
      <c r="O753" s="16" t="n"/>
      <c r="P753" s="16" t="n"/>
      <c r="Q753" s="16" t="n"/>
      <c r="R753" s="16" t="n"/>
    </row>
    <row r="754" ht="15" customHeight="1" s="12">
      <c r="B754" s="16" t="n"/>
      <c r="K754" s="16" t="n"/>
      <c r="O754" s="16" t="n"/>
      <c r="P754" s="16" t="n"/>
      <c r="Q754" s="16" t="n"/>
      <c r="R754" s="16" t="n"/>
    </row>
    <row r="755" ht="15" customHeight="1" s="12">
      <c r="B755" s="16" t="n"/>
      <c r="K755" s="16" t="n"/>
      <c r="O755" s="16" t="n"/>
      <c r="P755" s="16" t="n"/>
      <c r="Q755" s="16" t="n"/>
      <c r="R755" s="16" t="n"/>
    </row>
    <row r="756" ht="15" customHeight="1" s="12">
      <c r="B756" s="16" t="n"/>
      <c r="K756" s="16" t="n"/>
      <c r="O756" s="16" t="n"/>
      <c r="P756" s="16" t="n"/>
      <c r="Q756" s="16" t="n"/>
      <c r="R756" s="16" t="n"/>
    </row>
    <row r="757" ht="15" customHeight="1" s="12">
      <c r="B757" s="16" t="n"/>
      <c r="K757" s="16" t="n"/>
      <c r="O757" s="16" t="n"/>
      <c r="P757" s="16" t="n"/>
      <c r="Q757" s="16" t="n"/>
      <c r="R757" s="16" t="n"/>
    </row>
    <row r="758" ht="15" customHeight="1" s="12">
      <c r="B758" s="16" t="n"/>
      <c r="K758" s="16" t="n"/>
      <c r="O758" s="16" t="n"/>
      <c r="P758" s="16" t="n"/>
      <c r="Q758" s="16" t="n"/>
      <c r="R758" s="16" t="n"/>
    </row>
    <row r="759" ht="15" customHeight="1" s="12">
      <c r="B759" s="16" t="n"/>
      <c r="K759" s="16" t="n"/>
      <c r="O759" s="16" t="n"/>
      <c r="P759" s="16" t="n"/>
      <c r="Q759" s="16" t="n"/>
      <c r="R759" s="16" t="n"/>
    </row>
    <row r="760" ht="15" customHeight="1" s="12">
      <c r="B760" s="16" t="n"/>
      <c r="K760" s="16" t="n"/>
      <c r="O760" s="16" t="n"/>
      <c r="P760" s="16" t="n"/>
      <c r="Q760" s="16" t="n"/>
      <c r="R760" s="16" t="n"/>
    </row>
    <row r="761" ht="15" customHeight="1" s="12">
      <c r="B761" s="16" t="n"/>
      <c r="K761" s="16" t="n"/>
      <c r="O761" s="16" t="n"/>
      <c r="P761" s="16" t="n"/>
      <c r="Q761" s="16" t="n"/>
      <c r="R761" s="16" t="n"/>
    </row>
    <row r="762" ht="15" customHeight="1" s="12">
      <c r="B762" s="16" t="n"/>
      <c r="K762" s="16" t="n"/>
      <c r="O762" s="16" t="n"/>
      <c r="P762" s="16" t="n"/>
      <c r="Q762" s="16" t="n"/>
      <c r="R762" s="16" t="n"/>
    </row>
    <row r="763" ht="15" customHeight="1" s="12">
      <c r="B763" s="16" t="n"/>
      <c r="K763" s="16" t="n"/>
      <c r="O763" s="16" t="n"/>
      <c r="P763" s="16" t="n"/>
      <c r="Q763" s="16" t="n"/>
      <c r="R763" s="16" t="n"/>
    </row>
    <row r="764" ht="15" customHeight="1" s="12">
      <c r="B764" s="16" t="n"/>
      <c r="K764" s="16" t="n"/>
      <c r="O764" s="16" t="n"/>
      <c r="P764" s="16" t="n"/>
      <c r="Q764" s="16" t="n"/>
      <c r="R764" s="16" t="n"/>
    </row>
    <row r="765" ht="15" customHeight="1" s="12">
      <c r="B765" s="16" t="n"/>
      <c r="K765" s="16" t="n"/>
      <c r="O765" s="16" t="n"/>
      <c r="P765" s="16" t="n"/>
      <c r="Q765" s="16" t="n"/>
      <c r="R765" s="16" t="n"/>
    </row>
    <row r="766" ht="15" customHeight="1" s="12">
      <c r="B766" s="16" t="n"/>
      <c r="K766" s="16" t="n"/>
      <c r="O766" s="16" t="n"/>
      <c r="P766" s="16" t="n"/>
      <c r="Q766" s="16" t="n"/>
      <c r="R766" s="16" t="n"/>
    </row>
    <row r="767" ht="15" customHeight="1" s="12">
      <c r="B767" s="16" t="n"/>
      <c r="K767" s="16" t="n"/>
      <c r="O767" s="16" t="n"/>
      <c r="P767" s="16" t="n"/>
      <c r="Q767" s="16" t="n"/>
      <c r="R767" s="16" t="n"/>
    </row>
    <row r="768" ht="15" customHeight="1" s="12">
      <c r="B768" s="16" t="n"/>
      <c r="K768" s="16" t="n"/>
      <c r="O768" s="16" t="n"/>
      <c r="P768" s="16" t="n"/>
      <c r="Q768" s="16" t="n"/>
      <c r="R768" s="16" t="n"/>
    </row>
    <row r="769" ht="15" customHeight="1" s="12">
      <c r="B769" s="16" t="n"/>
      <c r="K769" s="16" t="n"/>
      <c r="O769" s="16" t="n"/>
      <c r="P769" s="16" t="n"/>
      <c r="Q769" s="16" t="n"/>
      <c r="R769" s="16" t="n"/>
    </row>
    <row r="770" ht="15" customHeight="1" s="12">
      <c r="B770" s="16" t="n"/>
      <c r="K770" s="16" t="n"/>
      <c r="O770" s="16" t="n"/>
      <c r="P770" s="16" t="n"/>
      <c r="Q770" s="16" t="n"/>
      <c r="R770" s="16" t="n"/>
    </row>
    <row r="771" ht="15" customHeight="1" s="12">
      <c r="B771" s="16" t="n"/>
      <c r="K771" s="16" t="n"/>
      <c r="O771" s="16" t="n"/>
      <c r="P771" s="16" t="n"/>
      <c r="Q771" s="16" t="n"/>
      <c r="R771" s="16" t="n"/>
    </row>
    <row r="772" ht="15" customHeight="1" s="12">
      <c r="B772" s="16" t="n"/>
      <c r="K772" s="16" t="n"/>
      <c r="O772" s="16" t="n"/>
      <c r="P772" s="16" t="n"/>
      <c r="Q772" s="16" t="n"/>
      <c r="R772" s="16" t="n"/>
    </row>
    <row r="773" ht="15" customHeight="1" s="12">
      <c r="B773" s="16" t="n"/>
      <c r="K773" s="16" t="n"/>
      <c r="O773" s="16" t="n"/>
      <c r="P773" s="16" t="n"/>
      <c r="Q773" s="16" t="n"/>
      <c r="R773" s="16" t="n"/>
    </row>
    <row r="774" ht="15" customHeight="1" s="12">
      <c r="B774" s="16" t="n"/>
      <c r="K774" s="16" t="n"/>
      <c r="O774" s="16" t="n"/>
      <c r="P774" s="16" t="n"/>
      <c r="Q774" s="16" t="n"/>
      <c r="R774" s="16" t="n"/>
    </row>
    <row r="775" ht="15" customHeight="1" s="12">
      <c r="B775" s="16" t="n"/>
      <c r="K775" s="16" t="n"/>
      <c r="O775" s="16" t="n"/>
      <c r="P775" s="16" t="n"/>
      <c r="Q775" s="16" t="n"/>
      <c r="R775" s="16" t="n"/>
    </row>
    <row r="776" ht="15" customHeight="1" s="12">
      <c r="B776" s="16" t="n"/>
      <c r="K776" s="16" t="n"/>
      <c r="O776" s="16" t="n"/>
      <c r="P776" s="16" t="n"/>
      <c r="Q776" s="16" t="n"/>
      <c r="R776" s="16" t="n"/>
    </row>
    <row r="777" ht="15" customHeight="1" s="12">
      <c r="B777" s="16" t="n"/>
      <c r="K777" s="16" t="n"/>
      <c r="O777" s="16" t="n"/>
      <c r="P777" s="16" t="n"/>
      <c r="Q777" s="16" t="n"/>
      <c r="R777" s="16" t="n"/>
    </row>
    <row r="778" ht="15" customHeight="1" s="12">
      <c r="B778" s="16" t="n"/>
      <c r="K778" s="16" t="n"/>
      <c r="O778" s="16" t="n"/>
      <c r="P778" s="16" t="n"/>
      <c r="Q778" s="16" t="n"/>
      <c r="R778" s="16" t="n"/>
    </row>
    <row r="779" ht="15" customHeight="1" s="12">
      <c r="B779" s="16" t="n"/>
      <c r="K779" s="16" t="n"/>
      <c r="O779" s="16" t="n"/>
      <c r="P779" s="16" t="n"/>
      <c r="Q779" s="16" t="n"/>
      <c r="R779" s="16" t="n"/>
    </row>
    <row r="780" ht="15" customHeight="1" s="12">
      <c r="B780" s="16" t="n"/>
      <c r="K780" s="16" t="n"/>
      <c r="O780" s="16" t="n"/>
      <c r="P780" s="16" t="n"/>
      <c r="Q780" s="16" t="n"/>
      <c r="R780" s="16" t="n"/>
    </row>
    <row r="781" ht="15" customHeight="1" s="12">
      <c r="B781" s="16" t="n"/>
      <c r="K781" s="16" t="n"/>
      <c r="O781" s="16" t="n"/>
      <c r="P781" s="16" t="n"/>
      <c r="Q781" s="16" t="n"/>
      <c r="R781" s="16" t="n"/>
    </row>
    <row r="782" ht="15" customHeight="1" s="12">
      <c r="B782" s="16" t="n"/>
      <c r="K782" s="16" t="n"/>
      <c r="O782" s="16" t="n"/>
      <c r="P782" s="16" t="n"/>
      <c r="Q782" s="16" t="n"/>
      <c r="R782" s="16" t="n"/>
    </row>
    <row r="783" ht="15" customHeight="1" s="12">
      <c r="B783" s="16" t="n"/>
      <c r="K783" s="16" t="n"/>
      <c r="O783" s="16" t="n"/>
      <c r="P783" s="16" t="n"/>
      <c r="Q783" s="16" t="n"/>
      <c r="R783" s="16" t="n"/>
    </row>
    <row r="784" ht="15" customHeight="1" s="12">
      <c r="B784" s="16" t="n"/>
      <c r="K784" s="16" t="n"/>
      <c r="O784" s="16" t="n"/>
      <c r="P784" s="16" t="n"/>
      <c r="Q784" s="16" t="n"/>
      <c r="R784" s="16" t="n"/>
    </row>
    <row r="785" ht="15" customHeight="1" s="12">
      <c r="B785" s="16" t="n"/>
      <c r="K785" s="16" t="n"/>
      <c r="O785" s="16" t="n"/>
      <c r="P785" s="16" t="n"/>
      <c r="Q785" s="16" t="n"/>
      <c r="R785" s="16" t="n"/>
    </row>
    <row r="786" ht="15" customHeight="1" s="12">
      <c r="B786" s="16" t="n"/>
      <c r="K786" s="16" t="n"/>
      <c r="O786" s="16" t="n"/>
      <c r="P786" s="16" t="n"/>
      <c r="Q786" s="16" t="n"/>
      <c r="R786" s="16" t="n"/>
    </row>
    <row r="787" ht="15" customHeight="1" s="12">
      <c r="B787" s="16" t="n"/>
      <c r="K787" s="16" t="n"/>
      <c r="O787" s="16" t="n"/>
      <c r="P787" s="16" t="n"/>
      <c r="Q787" s="16" t="n"/>
      <c r="R787" s="16" t="n"/>
    </row>
    <row r="788" ht="15" customHeight="1" s="12">
      <c r="B788" s="16" t="n"/>
      <c r="K788" s="16" t="n"/>
      <c r="O788" s="16" t="n"/>
      <c r="P788" s="16" t="n"/>
      <c r="Q788" s="16" t="n"/>
      <c r="R788" s="16" t="n"/>
    </row>
    <row r="789" ht="15" customHeight="1" s="12">
      <c r="B789" s="16" t="n"/>
      <c r="K789" s="16" t="n"/>
      <c r="O789" s="16" t="n"/>
      <c r="P789" s="16" t="n"/>
      <c r="Q789" s="16" t="n"/>
      <c r="R789" s="16" t="n"/>
    </row>
    <row r="790" ht="15" customHeight="1" s="12">
      <c r="B790" s="16" t="n"/>
      <c r="K790" s="16" t="n"/>
      <c r="O790" s="16" t="n"/>
      <c r="P790" s="16" t="n"/>
      <c r="Q790" s="16" t="n"/>
      <c r="R790" s="16" t="n"/>
    </row>
    <row r="791" ht="15" customHeight="1" s="12">
      <c r="B791" s="16" t="n"/>
      <c r="K791" s="16" t="n"/>
      <c r="O791" s="16" t="n"/>
      <c r="P791" s="16" t="n"/>
      <c r="Q791" s="16" t="n"/>
      <c r="R791" s="16" t="n"/>
    </row>
    <row r="792" ht="15" customHeight="1" s="12">
      <c r="B792" s="16" t="n"/>
      <c r="K792" s="16" t="n"/>
      <c r="O792" s="16" t="n"/>
      <c r="P792" s="16" t="n"/>
      <c r="Q792" s="16" t="n"/>
      <c r="R792" s="16" t="n"/>
    </row>
    <row r="793" ht="15" customHeight="1" s="12">
      <c r="B793" s="16" t="n"/>
      <c r="K793" s="16" t="n"/>
      <c r="O793" s="16" t="n"/>
      <c r="P793" s="16" t="n"/>
      <c r="Q793" s="16" t="n"/>
      <c r="R793" s="16" t="n"/>
    </row>
    <row r="794" ht="15" customHeight="1" s="12">
      <c r="B794" s="16" t="n"/>
      <c r="K794" s="16" t="n"/>
      <c r="O794" s="16" t="n"/>
      <c r="P794" s="16" t="n"/>
      <c r="Q794" s="16" t="n"/>
      <c r="R794" s="16" t="n"/>
    </row>
    <row r="795" ht="15" customHeight="1" s="12">
      <c r="B795" s="16" t="n"/>
      <c r="K795" s="16" t="n"/>
      <c r="O795" s="16" t="n"/>
      <c r="P795" s="16" t="n"/>
      <c r="Q795" s="16" t="n"/>
      <c r="R795" s="16" t="n"/>
    </row>
    <row r="796" ht="15" customHeight="1" s="12">
      <c r="B796" s="16" t="n"/>
      <c r="K796" s="16" t="n"/>
      <c r="O796" s="16" t="n"/>
      <c r="P796" s="16" t="n"/>
      <c r="Q796" s="16" t="n"/>
      <c r="R796" s="16" t="n"/>
    </row>
    <row r="797" ht="15" customHeight="1" s="12">
      <c r="B797" s="16" t="n"/>
      <c r="K797" s="16" t="n"/>
      <c r="O797" s="16" t="n"/>
      <c r="P797" s="16" t="n"/>
      <c r="Q797" s="16" t="n"/>
      <c r="R797" s="16" t="n"/>
    </row>
    <row r="798" ht="15" customHeight="1" s="12">
      <c r="B798" s="16" t="n"/>
      <c r="K798" s="16" t="n"/>
      <c r="O798" s="16" t="n"/>
      <c r="P798" s="16" t="n"/>
      <c r="Q798" s="16" t="n"/>
      <c r="R798" s="16" t="n"/>
    </row>
    <row r="799" ht="15" customHeight="1" s="12">
      <c r="B799" s="16" t="n"/>
      <c r="K799" s="16" t="n"/>
      <c r="O799" s="16" t="n"/>
      <c r="P799" s="16" t="n"/>
      <c r="Q799" s="16" t="n"/>
      <c r="R799" s="16" t="n"/>
    </row>
    <row r="800" ht="15" customHeight="1" s="12">
      <c r="B800" s="16" t="n"/>
      <c r="K800" s="16" t="n"/>
      <c r="O800" s="16" t="n"/>
      <c r="P800" s="16" t="n"/>
      <c r="Q800" s="16" t="n"/>
      <c r="R800" s="16" t="n"/>
    </row>
    <row r="801" ht="15" customHeight="1" s="12">
      <c r="B801" s="16" t="n"/>
      <c r="K801" s="16" t="n"/>
      <c r="O801" s="16" t="n"/>
      <c r="P801" s="16" t="n"/>
      <c r="Q801" s="16" t="n"/>
      <c r="R801" s="16" t="n"/>
    </row>
    <row r="802" ht="15" customHeight="1" s="12">
      <c r="B802" s="16" t="n"/>
      <c r="K802" s="16" t="n"/>
      <c r="O802" s="16" t="n"/>
      <c r="P802" s="16" t="n"/>
      <c r="Q802" s="16" t="n"/>
      <c r="R802" s="16" t="n"/>
    </row>
    <row r="803" ht="15" customHeight="1" s="12">
      <c r="B803" s="16" t="n"/>
      <c r="K803" s="16" t="n"/>
      <c r="O803" s="16" t="n"/>
      <c r="P803" s="16" t="n"/>
      <c r="Q803" s="16" t="n"/>
      <c r="R803" s="16" t="n"/>
    </row>
    <row r="804" ht="15" customHeight="1" s="12">
      <c r="B804" s="16" t="n"/>
      <c r="K804" s="16" t="n"/>
      <c r="O804" s="16" t="n"/>
      <c r="P804" s="16" t="n"/>
      <c r="Q804" s="16" t="n"/>
      <c r="R804" s="16" t="n"/>
    </row>
    <row r="805" ht="15" customHeight="1" s="12">
      <c r="B805" s="16" t="n"/>
      <c r="K805" s="16" t="n"/>
      <c r="O805" s="16" t="n"/>
      <c r="P805" s="16" t="n"/>
      <c r="Q805" s="16" t="n"/>
      <c r="R805" s="16" t="n"/>
    </row>
    <row r="806" ht="15" customHeight="1" s="12">
      <c r="B806" s="16" t="n"/>
      <c r="K806" s="16" t="n"/>
      <c r="O806" s="16" t="n"/>
      <c r="P806" s="16" t="n"/>
      <c r="Q806" s="16" t="n"/>
      <c r="R806" s="16" t="n"/>
    </row>
    <row r="807" ht="15" customHeight="1" s="12">
      <c r="B807" s="16" t="n"/>
      <c r="K807" s="16" t="n"/>
      <c r="O807" s="16" t="n"/>
      <c r="P807" s="16" t="n"/>
      <c r="Q807" s="16" t="n"/>
      <c r="R807" s="16" t="n"/>
    </row>
    <row r="808" ht="15" customHeight="1" s="12">
      <c r="B808" s="16" t="n"/>
      <c r="K808" s="16" t="n"/>
      <c r="O808" s="16" t="n"/>
      <c r="P808" s="16" t="n"/>
      <c r="Q808" s="16" t="n"/>
      <c r="R808" s="16" t="n"/>
    </row>
    <row r="809" ht="15" customHeight="1" s="12">
      <c r="B809" s="16" t="n"/>
      <c r="K809" s="16" t="n"/>
      <c r="O809" s="16" t="n"/>
      <c r="P809" s="16" t="n"/>
      <c r="Q809" s="16" t="n"/>
      <c r="R809" s="16" t="n"/>
    </row>
    <row r="810" ht="15" customHeight="1" s="12">
      <c r="B810" s="16" t="n"/>
      <c r="K810" s="16" t="n"/>
      <c r="O810" s="16" t="n"/>
      <c r="P810" s="16" t="n"/>
      <c r="Q810" s="16" t="n"/>
      <c r="R810" s="16" t="n"/>
    </row>
    <row r="811" ht="15" customHeight="1" s="12">
      <c r="B811" s="16" t="n"/>
      <c r="K811" s="16" t="n"/>
      <c r="O811" s="16" t="n"/>
      <c r="P811" s="16" t="n"/>
      <c r="Q811" s="16" t="n"/>
      <c r="R811" s="16" t="n"/>
    </row>
    <row r="812" ht="15" customHeight="1" s="12">
      <c r="B812" s="16" t="n"/>
      <c r="K812" s="16" t="n"/>
      <c r="O812" s="16" t="n"/>
      <c r="P812" s="16" t="n"/>
      <c r="Q812" s="16" t="n"/>
      <c r="R812" s="16" t="n"/>
    </row>
    <row r="813" ht="15" customHeight="1" s="12">
      <c r="B813" s="16" t="n"/>
      <c r="K813" s="16" t="n"/>
      <c r="O813" s="16" t="n"/>
      <c r="P813" s="16" t="n"/>
      <c r="Q813" s="16" t="n"/>
      <c r="R813" s="16" t="n"/>
    </row>
    <row r="814" ht="15" customHeight="1" s="12">
      <c r="B814" s="16" t="n"/>
      <c r="K814" s="16" t="n"/>
      <c r="O814" s="16" t="n"/>
      <c r="P814" s="16" t="n"/>
      <c r="Q814" s="16" t="n"/>
      <c r="R814" s="16" t="n"/>
    </row>
    <row r="815" ht="15" customHeight="1" s="12">
      <c r="B815" s="16" t="n"/>
      <c r="K815" s="16" t="n"/>
      <c r="O815" s="16" t="n"/>
      <c r="P815" s="16" t="n"/>
      <c r="Q815" s="16" t="n"/>
      <c r="R815" s="16" t="n"/>
    </row>
    <row r="816" ht="15" customHeight="1" s="12">
      <c r="B816" s="16" t="n"/>
      <c r="K816" s="16" t="n"/>
      <c r="O816" s="16" t="n"/>
      <c r="P816" s="16" t="n"/>
      <c r="Q816" s="16" t="n"/>
      <c r="R816" s="16" t="n"/>
    </row>
    <row r="817" ht="15" customHeight="1" s="12">
      <c r="B817" s="16" t="n"/>
      <c r="K817" s="16" t="n"/>
      <c r="O817" s="16" t="n"/>
      <c r="P817" s="16" t="n"/>
      <c r="Q817" s="16" t="n"/>
      <c r="R817" s="16" t="n"/>
    </row>
    <row r="818" ht="15" customHeight="1" s="12">
      <c r="B818" s="16" t="n"/>
      <c r="K818" s="16" t="n"/>
      <c r="O818" s="16" t="n"/>
      <c r="P818" s="16" t="n"/>
      <c r="Q818" s="16" t="n"/>
      <c r="R818" s="16" t="n"/>
    </row>
    <row r="819" ht="15" customHeight="1" s="12">
      <c r="B819" s="16" t="n"/>
      <c r="K819" s="16" t="n"/>
      <c r="O819" s="16" t="n"/>
      <c r="P819" s="16" t="n"/>
      <c r="Q819" s="16" t="n"/>
      <c r="R819" s="16" t="n"/>
    </row>
    <row r="820" ht="15" customHeight="1" s="12">
      <c r="B820" s="16" t="n"/>
      <c r="K820" s="16" t="n"/>
      <c r="O820" s="16" t="n"/>
      <c r="P820" s="16" t="n"/>
      <c r="Q820" s="16" t="n"/>
      <c r="R820" s="16" t="n"/>
    </row>
    <row r="821" ht="15" customHeight="1" s="12">
      <c r="B821" s="16" t="n"/>
      <c r="K821" s="16" t="n"/>
      <c r="O821" s="16" t="n"/>
      <c r="P821" s="16" t="n"/>
      <c r="Q821" s="16" t="n"/>
      <c r="R821" s="16" t="n"/>
    </row>
    <row r="822" ht="15" customHeight="1" s="12">
      <c r="B822" s="16" t="n"/>
      <c r="K822" s="16" t="n"/>
      <c r="O822" s="16" t="n"/>
      <c r="P822" s="16" t="n"/>
      <c r="Q822" s="16" t="n"/>
      <c r="R822" s="16" t="n"/>
    </row>
    <row r="823" ht="15" customHeight="1" s="12">
      <c r="B823" s="16" t="n"/>
      <c r="K823" s="16" t="n"/>
      <c r="O823" s="16" t="n"/>
      <c r="P823" s="16" t="n"/>
      <c r="Q823" s="16" t="n"/>
      <c r="R823" s="16" t="n"/>
    </row>
    <row r="824" ht="15" customHeight="1" s="12">
      <c r="B824" s="16" t="n"/>
      <c r="K824" s="16" t="n"/>
      <c r="O824" s="16" t="n"/>
      <c r="P824" s="16" t="n"/>
      <c r="Q824" s="16" t="n"/>
      <c r="R824" s="16" t="n"/>
    </row>
    <row r="825" ht="15" customHeight="1" s="12">
      <c r="B825" s="16" t="n"/>
      <c r="K825" s="16" t="n"/>
      <c r="O825" s="16" t="n"/>
      <c r="P825" s="16" t="n"/>
      <c r="Q825" s="16" t="n"/>
      <c r="R825" s="16" t="n"/>
    </row>
    <row r="826" ht="15" customHeight="1" s="12">
      <c r="B826" s="16" t="n"/>
      <c r="K826" s="16" t="n"/>
      <c r="O826" s="16" t="n"/>
      <c r="P826" s="16" t="n"/>
      <c r="Q826" s="16" t="n"/>
      <c r="R826" s="16" t="n"/>
    </row>
    <row r="827" ht="15" customHeight="1" s="12">
      <c r="B827" s="16" t="n"/>
      <c r="K827" s="16" t="n"/>
      <c r="O827" s="16" t="n"/>
      <c r="P827" s="16" t="n"/>
      <c r="Q827" s="16" t="n"/>
      <c r="R827" s="16" t="n"/>
    </row>
    <row r="828" ht="15" customHeight="1" s="12">
      <c r="B828" s="16" t="n"/>
      <c r="K828" s="16" t="n"/>
      <c r="O828" s="16" t="n"/>
      <c r="P828" s="16" t="n"/>
      <c r="Q828" s="16" t="n"/>
      <c r="R828" s="16" t="n"/>
    </row>
    <row r="829" ht="15" customHeight="1" s="12">
      <c r="B829" s="16" t="n"/>
      <c r="K829" s="16" t="n"/>
      <c r="O829" s="16" t="n"/>
      <c r="P829" s="16" t="n"/>
      <c r="Q829" s="16" t="n"/>
      <c r="R829" s="16" t="n"/>
    </row>
    <row r="830" ht="15" customHeight="1" s="12">
      <c r="B830" s="16" t="n"/>
      <c r="K830" s="16" t="n"/>
      <c r="O830" s="16" t="n"/>
      <c r="P830" s="16" t="n"/>
      <c r="Q830" s="16" t="n"/>
      <c r="R830" s="16" t="n"/>
    </row>
    <row r="831" ht="15" customHeight="1" s="12">
      <c r="B831" s="16" t="n"/>
      <c r="K831" s="16" t="n"/>
      <c r="O831" s="16" t="n"/>
      <c r="P831" s="16" t="n"/>
      <c r="Q831" s="16" t="n"/>
      <c r="R831" s="16" t="n"/>
    </row>
    <row r="832" ht="15" customHeight="1" s="12">
      <c r="B832" s="16" t="n"/>
      <c r="K832" s="16" t="n"/>
      <c r="O832" s="16" t="n"/>
      <c r="P832" s="16" t="n"/>
      <c r="Q832" s="16" t="n"/>
      <c r="R832" s="16" t="n"/>
    </row>
    <row r="833" ht="15" customHeight="1" s="12">
      <c r="B833" s="16" t="n"/>
      <c r="K833" s="16" t="n"/>
      <c r="O833" s="16" t="n"/>
      <c r="P833" s="16" t="n"/>
      <c r="Q833" s="16" t="n"/>
      <c r="R833" s="16" t="n"/>
    </row>
    <row r="834" ht="15" customHeight="1" s="12">
      <c r="B834" s="16" t="n"/>
      <c r="K834" s="16" t="n"/>
      <c r="O834" s="16" t="n"/>
      <c r="P834" s="16" t="n"/>
      <c r="Q834" s="16" t="n"/>
      <c r="R834" s="16" t="n"/>
    </row>
    <row r="835" ht="15" customHeight="1" s="12">
      <c r="B835" s="16" t="n"/>
      <c r="K835" s="16" t="n"/>
      <c r="O835" s="16" t="n"/>
      <c r="P835" s="16" t="n"/>
      <c r="Q835" s="16" t="n"/>
      <c r="R835" s="16" t="n"/>
    </row>
    <row r="836" ht="15" customHeight="1" s="12">
      <c r="B836" s="16" t="n"/>
      <c r="K836" s="16" t="n"/>
      <c r="O836" s="16" t="n"/>
      <c r="P836" s="16" t="n"/>
      <c r="Q836" s="16" t="n"/>
      <c r="R836" s="16" t="n"/>
    </row>
    <row r="837" ht="15" customHeight="1" s="12">
      <c r="B837" s="16" t="n"/>
      <c r="K837" s="16" t="n"/>
      <c r="O837" s="16" t="n"/>
      <c r="P837" s="16" t="n"/>
      <c r="Q837" s="16" t="n"/>
      <c r="R837" s="16" t="n"/>
    </row>
    <row r="838" ht="15" customHeight="1" s="12">
      <c r="B838" s="16" t="n"/>
      <c r="K838" s="16" t="n"/>
      <c r="O838" s="16" t="n"/>
      <c r="P838" s="16" t="n"/>
      <c r="Q838" s="16" t="n"/>
      <c r="R838" s="16" t="n"/>
    </row>
    <row r="839" ht="15" customHeight="1" s="12">
      <c r="B839" s="16" t="n"/>
      <c r="K839" s="16" t="n"/>
      <c r="O839" s="16" t="n"/>
      <c r="P839" s="16" t="n"/>
      <c r="Q839" s="16" t="n"/>
      <c r="R839" s="16" t="n"/>
    </row>
    <row r="840" ht="15" customHeight="1" s="12">
      <c r="B840" s="16" t="n"/>
      <c r="K840" s="16" t="n"/>
      <c r="O840" s="16" t="n"/>
      <c r="P840" s="16" t="n"/>
      <c r="Q840" s="16" t="n"/>
      <c r="R840" s="16" t="n"/>
    </row>
    <row r="841" ht="15" customHeight="1" s="12">
      <c r="B841" s="16" t="n"/>
      <c r="K841" s="16" t="n"/>
      <c r="O841" s="16" t="n"/>
      <c r="P841" s="16" t="n"/>
      <c r="Q841" s="16" t="n"/>
      <c r="R841" s="16" t="n"/>
    </row>
    <row r="842" ht="15" customHeight="1" s="12">
      <c r="B842" s="16" t="n"/>
      <c r="K842" s="16" t="n"/>
      <c r="O842" s="16" t="n"/>
      <c r="P842" s="16" t="n"/>
      <c r="Q842" s="16" t="n"/>
      <c r="R842" s="16" t="n"/>
    </row>
    <row r="843" ht="15" customHeight="1" s="12">
      <c r="B843" s="16" t="n"/>
      <c r="K843" s="16" t="n"/>
      <c r="O843" s="16" t="n"/>
      <c r="P843" s="16" t="n"/>
      <c r="Q843" s="16" t="n"/>
      <c r="R843" s="16" t="n"/>
    </row>
    <row r="844" ht="15" customHeight="1" s="12">
      <c r="B844" s="16" t="n"/>
      <c r="K844" s="16" t="n"/>
      <c r="O844" s="16" t="n"/>
      <c r="P844" s="16" t="n"/>
      <c r="Q844" s="16" t="n"/>
      <c r="R844" s="16" t="n"/>
    </row>
    <row r="845" ht="15" customHeight="1" s="12">
      <c r="B845" s="16" t="n"/>
      <c r="K845" s="16" t="n"/>
      <c r="O845" s="16" t="n"/>
      <c r="P845" s="16" t="n"/>
      <c r="Q845" s="16" t="n"/>
      <c r="R845" s="16" t="n"/>
    </row>
    <row r="846" ht="15" customHeight="1" s="12">
      <c r="B846" s="16" t="n"/>
      <c r="K846" s="16" t="n"/>
      <c r="O846" s="16" t="n"/>
      <c r="P846" s="16" t="n"/>
      <c r="Q846" s="16" t="n"/>
      <c r="R846" s="16" t="n"/>
    </row>
    <row r="847" ht="15" customHeight="1" s="12">
      <c r="B847" s="16" t="n"/>
      <c r="K847" s="16" t="n"/>
      <c r="O847" s="16" t="n"/>
      <c r="P847" s="16" t="n"/>
      <c r="Q847" s="16" t="n"/>
      <c r="R847" s="16" t="n"/>
    </row>
    <row r="848" ht="15" customHeight="1" s="12">
      <c r="B848" s="16" t="n"/>
      <c r="K848" s="16" t="n"/>
      <c r="O848" s="16" t="n"/>
      <c r="P848" s="16" t="n"/>
      <c r="Q848" s="16" t="n"/>
      <c r="R848" s="16" t="n"/>
    </row>
    <row r="849" ht="15" customHeight="1" s="12">
      <c r="B849" s="16" t="n"/>
      <c r="K849" s="16" t="n"/>
      <c r="O849" s="16" t="n"/>
      <c r="P849" s="16" t="n"/>
      <c r="Q849" s="16" t="n"/>
      <c r="R849" s="16" t="n"/>
    </row>
    <row r="850" ht="15" customHeight="1" s="12">
      <c r="B850" s="16" t="n"/>
      <c r="K850" s="16" t="n"/>
      <c r="O850" s="16" t="n"/>
      <c r="P850" s="16" t="n"/>
      <c r="Q850" s="16" t="n"/>
      <c r="R850" s="16" t="n"/>
    </row>
    <row r="851" ht="15" customHeight="1" s="12">
      <c r="B851" s="16" t="n"/>
      <c r="K851" s="16" t="n"/>
      <c r="O851" s="16" t="n"/>
      <c r="P851" s="16" t="n"/>
      <c r="Q851" s="16" t="n"/>
      <c r="R851" s="16" t="n"/>
    </row>
    <row r="852" ht="15" customHeight="1" s="12">
      <c r="B852" s="16" t="n"/>
      <c r="K852" s="16" t="n"/>
      <c r="O852" s="16" t="n"/>
      <c r="P852" s="16" t="n"/>
      <c r="Q852" s="16" t="n"/>
      <c r="R852" s="16" t="n"/>
    </row>
    <row r="853" ht="15" customHeight="1" s="12">
      <c r="B853" s="16" t="n"/>
      <c r="K853" s="16" t="n"/>
      <c r="O853" s="16" t="n"/>
      <c r="P853" s="16" t="n"/>
      <c r="Q853" s="16" t="n"/>
      <c r="R853" s="16" t="n"/>
    </row>
    <row r="854" ht="15" customHeight="1" s="12">
      <c r="B854" s="16" t="n"/>
      <c r="K854" s="16" t="n"/>
      <c r="O854" s="16" t="n"/>
      <c r="P854" s="16" t="n"/>
      <c r="Q854" s="16" t="n"/>
      <c r="R854" s="16" t="n"/>
    </row>
    <row r="855" ht="15" customHeight="1" s="12">
      <c r="B855" s="16" t="n"/>
      <c r="K855" s="16" t="n"/>
      <c r="O855" s="16" t="n"/>
      <c r="P855" s="16" t="n"/>
      <c r="Q855" s="16" t="n"/>
      <c r="R855" s="16" t="n"/>
    </row>
    <row r="856" ht="15" customHeight="1" s="12">
      <c r="B856" s="16" t="n"/>
      <c r="K856" s="16" t="n"/>
      <c r="O856" s="16" t="n"/>
      <c r="P856" s="16" t="n"/>
      <c r="Q856" s="16" t="n"/>
      <c r="R856" s="16" t="n"/>
    </row>
    <row r="857" ht="15" customHeight="1" s="12">
      <c r="B857" s="16" t="n"/>
      <c r="K857" s="16" t="n"/>
      <c r="O857" s="16" t="n"/>
      <c r="P857" s="16" t="n"/>
      <c r="Q857" s="16" t="n"/>
      <c r="R857" s="16" t="n"/>
    </row>
    <row r="858" ht="15" customHeight="1" s="12">
      <c r="B858" s="16" t="n"/>
      <c r="K858" s="16" t="n"/>
      <c r="O858" s="16" t="n"/>
      <c r="P858" s="16" t="n"/>
      <c r="Q858" s="16" t="n"/>
      <c r="R858" s="16" t="n"/>
    </row>
    <row r="859" ht="15" customHeight="1" s="12">
      <c r="B859" s="16" t="n"/>
      <c r="K859" s="16" t="n"/>
      <c r="O859" s="16" t="n"/>
      <c r="P859" s="16" t="n"/>
      <c r="Q859" s="16" t="n"/>
      <c r="R859" s="16" t="n"/>
    </row>
    <row r="860" ht="15" customHeight="1" s="12">
      <c r="B860" s="16" t="n"/>
      <c r="K860" s="16" t="n"/>
      <c r="O860" s="16" t="n"/>
      <c r="P860" s="16" t="n"/>
      <c r="Q860" s="16" t="n"/>
      <c r="R860" s="16" t="n"/>
    </row>
    <row r="861" ht="15" customHeight="1" s="12">
      <c r="B861" s="16" t="n"/>
      <c r="K861" s="16" t="n"/>
      <c r="O861" s="16" t="n"/>
      <c r="P861" s="16" t="n"/>
      <c r="Q861" s="16" t="n"/>
      <c r="R861" s="16" t="n"/>
    </row>
    <row r="862" ht="15" customHeight="1" s="12">
      <c r="B862" s="16" t="n"/>
      <c r="K862" s="16" t="n"/>
      <c r="O862" s="16" t="n"/>
      <c r="P862" s="16" t="n"/>
      <c r="Q862" s="16" t="n"/>
      <c r="R862" s="16" t="n"/>
    </row>
    <row r="863" ht="15" customHeight="1" s="12">
      <c r="B863" s="16" t="n"/>
      <c r="K863" s="16" t="n"/>
      <c r="O863" s="16" t="n"/>
      <c r="P863" s="16" t="n"/>
      <c r="Q863" s="16" t="n"/>
      <c r="R863" s="16" t="n"/>
    </row>
    <row r="864" ht="15" customHeight="1" s="12">
      <c r="B864" s="16" t="n"/>
      <c r="K864" s="16" t="n"/>
      <c r="O864" s="16" t="n"/>
      <c r="P864" s="16" t="n"/>
      <c r="Q864" s="16" t="n"/>
      <c r="R864" s="16" t="n"/>
    </row>
    <row r="865" ht="15" customHeight="1" s="12">
      <c r="B865" s="16" t="n"/>
      <c r="K865" s="16" t="n"/>
      <c r="O865" s="16" t="n"/>
      <c r="P865" s="16" t="n"/>
      <c r="Q865" s="16" t="n"/>
      <c r="R865" s="16" t="n"/>
    </row>
    <row r="866" ht="15" customHeight="1" s="12">
      <c r="B866" s="16" t="n"/>
      <c r="K866" s="16" t="n"/>
      <c r="O866" s="16" t="n"/>
      <c r="P866" s="16" t="n"/>
      <c r="Q866" s="16" t="n"/>
      <c r="R866" s="16" t="n"/>
    </row>
    <row r="867" ht="15" customHeight="1" s="12">
      <c r="B867" s="16" t="n"/>
      <c r="K867" s="16" t="n"/>
      <c r="O867" s="16" t="n"/>
      <c r="P867" s="16" t="n"/>
      <c r="Q867" s="16" t="n"/>
      <c r="R867" s="16" t="n"/>
    </row>
    <row r="868" ht="15" customHeight="1" s="12">
      <c r="B868" s="16" t="n"/>
      <c r="K868" s="16" t="n"/>
      <c r="O868" s="16" t="n"/>
      <c r="P868" s="16" t="n"/>
      <c r="Q868" s="16" t="n"/>
      <c r="R868" s="16" t="n"/>
    </row>
    <row r="869" ht="15" customHeight="1" s="12">
      <c r="B869" s="16" t="n"/>
      <c r="K869" s="16" t="n"/>
      <c r="O869" s="16" t="n"/>
      <c r="P869" s="16" t="n"/>
      <c r="Q869" s="16" t="n"/>
      <c r="R869" s="16" t="n"/>
    </row>
    <row r="870" ht="15" customHeight="1" s="12">
      <c r="B870" s="16" t="n"/>
      <c r="K870" s="16" t="n"/>
      <c r="O870" s="16" t="n"/>
      <c r="P870" s="16" t="n"/>
      <c r="Q870" s="16" t="n"/>
      <c r="R870" s="16" t="n"/>
    </row>
    <row r="871" ht="15" customHeight="1" s="12">
      <c r="B871" s="16" t="n"/>
      <c r="K871" s="16" t="n"/>
      <c r="O871" s="16" t="n"/>
      <c r="P871" s="16" t="n"/>
      <c r="Q871" s="16" t="n"/>
      <c r="R871" s="16" t="n"/>
    </row>
    <row r="872" ht="15" customHeight="1" s="12">
      <c r="B872" s="16" t="n"/>
      <c r="K872" s="16" t="n"/>
      <c r="O872" s="16" t="n"/>
      <c r="P872" s="16" t="n"/>
      <c r="Q872" s="16" t="n"/>
      <c r="R872" s="16" t="n"/>
    </row>
    <row r="873" ht="15" customHeight="1" s="12">
      <c r="B873" s="16" t="n"/>
      <c r="K873" s="16" t="n"/>
      <c r="O873" s="16" t="n"/>
      <c r="P873" s="16" t="n"/>
      <c r="Q873" s="16" t="n"/>
      <c r="R873" s="16" t="n"/>
    </row>
    <row r="874" ht="15" customHeight="1" s="12">
      <c r="B874" s="16" t="n"/>
      <c r="K874" s="16" t="n"/>
      <c r="O874" s="16" t="n"/>
      <c r="P874" s="16" t="n"/>
      <c r="Q874" s="16" t="n"/>
      <c r="R874" s="16" t="n"/>
    </row>
    <row r="875" ht="15" customHeight="1" s="12">
      <c r="B875" s="16" t="n"/>
      <c r="K875" s="16" t="n"/>
      <c r="O875" s="16" t="n"/>
      <c r="P875" s="16" t="n"/>
      <c r="Q875" s="16" t="n"/>
      <c r="R875" s="16" t="n"/>
    </row>
    <row r="876" ht="15" customHeight="1" s="12">
      <c r="B876" s="16" t="n"/>
      <c r="K876" s="16" t="n"/>
      <c r="O876" s="16" t="n"/>
      <c r="P876" s="16" t="n"/>
      <c r="Q876" s="16" t="n"/>
      <c r="R876" s="16" t="n"/>
    </row>
    <row r="877" ht="15" customHeight="1" s="12">
      <c r="B877" s="16" t="n"/>
      <c r="K877" s="16" t="n"/>
      <c r="O877" s="16" t="n"/>
      <c r="P877" s="16" t="n"/>
      <c r="Q877" s="16" t="n"/>
      <c r="R877" s="16" t="n"/>
    </row>
    <row r="878" ht="15" customHeight="1" s="12">
      <c r="B878" s="16" t="n"/>
      <c r="K878" s="16" t="n"/>
      <c r="O878" s="16" t="n"/>
      <c r="P878" s="16" t="n"/>
      <c r="Q878" s="16" t="n"/>
      <c r="R878" s="16" t="n"/>
    </row>
    <row r="879" ht="15" customHeight="1" s="12">
      <c r="B879" s="16" t="n"/>
      <c r="K879" s="16" t="n"/>
      <c r="O879" s="16" t="n"/>
      <c r="P879" s="16" t="n"/>
      <c r="Q879" s="16" t="n"/>
      <c r="R879" s="16" t="n"/>
    </row>
    <row r="880" ht="15" customHeight="1" s="12">
      <c r="B880" s="16" t="n"/>
      <c r="K880" s="16" t="n"/>
      <c r="O880" s="16" t="n"/>
      <c r="P880" s="16" t="n"/>
      <c r="Q880" s="16" t="n"/>
      <c r="R880" s="16" t="n"/>
    </row>
    <row r="881" ht="15" customHeight="1" s="12">
      <c r="B881" s="16" t="n"/>
      <c r="K881" s="16" t="n"/>
      <c r="O881" s="16" t="n"/>
      <c r="P881" s="16" t="n"/>
      <c r="Q881" s="16" t="n"/>
      <c r="R881" s="16" t="n"/>
    </row>
    <row r="882" ht="15" customHeight="1" s="12">
      <c r="B882" s="16" t="n"/>
      <c r="K882" s="16" t="n"/>
      <c r="O882" s="16" t="n"/>
      <c r="P882" s="16" t="n"/>
      <c r="Q882" s="16" t="n"/>
      <c r="R882" s="16" t="n"/>
    </row>
    <row r="883" ht="15" customHeight="1" s="12">
      <c r="B883" s="16" t="n"/>
      <c r="K883" s="16" t="n"/>
      <c r="O883" s="16" t="n"/>
      <c r="P883" s="16" t="n"/>
      <c r="Q883" s="16" t="n"/>
      <c r="R883" s="16" t="n"/>
    </row>
    <row r="884" ht="15" customHeight="1" s="12">
      <c r="B884" s="16" t="n"/>
      <c r="K884" s="16" t="n"/>
      <c r="O884" s="16" t="n"/>
      <c r="P884" s="16" t="n"/>
      <c r="Q884" s="16" t="n"/>
      <c r="R884" s="16" t="n"/>
    </row>
    <row r="885" ht="15" customHeight="1" s="12">
      <c r="B885" s="16" t="n"/>
      <c r="K885" s="16" t="n"/>
      <c r="O885" s="16" t="n"/>
      <c r="P885" s="16" t="n"/>
      <c r="Q885" s="16" t="n"/>
      <c r="R885" s="16" t="n"/>
    </row>
    <row r="886" ht="15" customHeight="1" s="12">
      <c r="B886" s="16" t="n"/>
      <c r="K886" s="16" t="n"/>
      <c r="O886" s="16" t="n"/>
      <c r="P886" s="16" t="n"/>
      <c r="Q886" s="16" t="n"/>
      <c r="R886" s="16" t="n"/>
    </row>
    <row r="887" ht="15" customHeight="1" s="12">
      <c r="B887" s="16" t="n"/>
      <c r="K887" s="16" t="n"/>
      <c r="O887" s="16" t="n"/>
      <c r="P887" s="16" t="n"/>
      <c r="Q887" s="16" t="n"/>
      <c r="R887" s="16" t="n"/>
    </row>
    <row r="888" ht="15" customHeight="1" s="12">
      <c r="B888" s="16" t="n"/>
      <c r="K888" s="16" t="n"/>
      <c r="O888" s="16" t="n"/>
      <c r="P888" s="16" t="n"/>
      <c r="Q888" s="16" t="n"/>
      <c r="R888" s="16" t="n"/>
    </row>
    <row r="889" ht="15" customHeight="1" s="12">
      <c r="B889" s="16" t="n"/>
      <c r="K889" s="16" t="n"/>
      <c r="O889" s="16" t="n"/>
      <c r="P889" s="16" t="n"/>
      <c r="Q889" s="16" t="n"/>
      <c r="R889" s="16" t="n"/>
    </row>
    <row r="890" ht="15" customHeight="1" s="12">
      <c r="B890" s="16" t="n"/>
      <c r="K890" s="16" t="n"/>
      <c r="O890" s="16" t="n"/>
      <c r="P890" s="16" t="n"/>
      <c r="Q890" s="16" t="n"/>
      <c r="R890" s="16" t="n"/>
    </row>
    <row r="891" ht="15" customHeight="1" s="12">
      <c r="B891" s="16" t="n"/>
      <c r="K891" s="16" t="n"/>
      <c r="O891" s="16" t="n"/>
      <c r="P891" s="16" t="n"/>
      <c r="Q891" s="16" t="n"/>
      <c r="R891" s="16" t="n"/>
    </row>
    <row r="892" ht="15" customHeight="1" s="12">
      <c r="B892" s="16" t="n"/>
      <c r="K892" s="16" t="n"/>
      <c r="O892" s="16" t="n"/>
      <c r="P892" s="16" t="n"/>
      <c r="Q892" s="16" t="n"/>
      <c r="R892" s="16" t="n"/>
    </row>
    <row r="893" ht="15" customHeight="1" s="12">
      <c r="B893" s="16" t="n"/>
      <c r="K893" s="16" t="n"/>
      <c r="O893" s="16" t="n"/>
      <c r="P893" s="16" t="n"/>
      <c r="Q893" s="16" t="n"/>
      <c r="R893" s="16" t="n"/>
    </row>
    <row r="894" ht="15" customHeight="1" s="12">
      <c r="B894" s="16" t="n"/>
      <c r="K894" s="16" t="n"/>
      <c r="O894" s="16" t="n"/>
      <c r="P894" s="16" t="n"/>
      <c r="Q894" s="16" t="n"/>
      <c r="R894" s="16" t="n"/>
    </row>
    <row r="895" ht="15" customHeight="1" s="12">
      <c r="B895" s="16" t="n"/>
      <c r="K895" s="16" t="n"/>
      <c r="O895" s="16" t="n"/>
      <c r="P895" s="16" t="n"/>
      <c r="Q895" s="16" t="n"/>
      <c r="R895" s="16" t="n"/>
    </row>
    <row r="896" ht="15" customHeight="1" s="12">
      <c r="B896" s="16" t="n"/>
      <c r="K896" s="16" t="n"/>
      <c r="O896" s="16" t="n"/>
      <c r="P896" s="16" t="n"/>
      <c r="Q896" s="16" t="n"/>
      <c r="R896" s="16" t="n"/>
    </row>
    <row r="897" ht="15" customHeight="1" s="12">
      <c r="B897" s="16" t="n"/>
      <c r="K897" s="16" t="n"/>
      <c r="O897" s="16" t="n"/>
      <c r="P897" s="16" t="n"/>
      <c r="Q897" s="16" t="n"/>
      <c r="R897" s="16" t="n"/>
    </row>
    <row r="898" ht="15" customHeight="1" s="12">
      <c r="B898" s="16" t="n"/>
      <c r="K898" s="16" t="n"/>
      <c r="O898" s="16" t="n"/>
      <c r="P898" s="16" t="n"/>
      <c r="Q898" s="16" t="n"/>
      <c r="R898" s="16" t="n"/>
    </row>
    <row r="899" ht="15" customHeight="1" s="12">
      <c r="B899" s="16" t="n"/>
      <c r="K899" s="16" t="n"/>
      <c r="O899" s="16" t="n"/>
      <c r="P899" s="16" t="n"/>
      <c r="Q899" s="16" t="n"/>
      <c r="R899" s="16" t="n"/>
    </row>
    <row r="900" ht="15" customHeight="1" s="12">
      <c r="B900" s="16" t="n"/>
      <c r="K900" s="16" t="n"/>
      <c r="O900" s="16" t="n"/>
      <c r="P900" s="16" t="n"/>
      <c r="Q900" s="16" t="n"/>
      <c r="R900" s="16" t="n"/>
    </row>
    <row r="901" ht="15" customHeight="1" s="12">
      <c r="B901" s="16" t="n"/>
      <c r="K901" s="16" t="n"/>
      <c r="O901" s="16" t="n"/>
      <c r="P901" s="16" t="n"/>
      <c r="Q901" s="16" t="n"/>
      <c r="R901" s="16" t="n"/>
    </row>
    <row r="902" ht="15" customHeight="1" s="12">
      <c r="B902" s="16" t="n"/>
      <c r="K902" s="16" t="n"/>
      <c r="O902" s="16" t="n"/>
      <c r="P902" s="16" t="n"/>
      <c r="Q902" s="16" t="n"/>
      <c r="R902" s="16" t="n"/>
    </row>
    <row r="903" ht="15" customHeight="1" s="12">
      <c r="B903" s="16" t="n"/>
      <c r="K903" s="16" t="n"/>
      <c r="O903" s="16" t="n"/>
      <c r="P903" s="16" t="n"/>
      <c r="Q903" s="16" t="n"/>
      <c r="R903" s="16" t="n"/>
    </row>
    <row r="904" ht="15" customHeight="1" s="12">
      <c r="B904" s="16" t="n"/>
      <c r="K904" s="16" t="n"/>
      <c r="O904" s="16" t="n"/>
      <c r="P904" s="16" t="n"/>
      <c r="Q904" s="16" t="n"/>
      <c r="R904" s="16" t="n"/>
    </row>
    <row r="905" ht="15" customHeight="1" s="12">
      <c r="B905" s="16" t="n"/>
      <c r="K905" s="16" t="n"/>
      <c r="O905" s="16" t="n"/>
      <c r="P905" s="16" t="n"/>
      <c r="Q905" s="16" t="n"/>
      <c r="R905" s="16" t="n"/>
    </row>
    <row r="906" ht="15" customHeight="1" s="12">
      <c r="B906" s="16" t="n"/>
      <c r="K906" s="16" t="n"/>
      <c r="O906" s="16" t="n"/>
      <c r="P906" s="16" t="n"/>
      <c r="Q906" s="16" t="n"/>
      <c r="R906" s="16" t="n"/>
    </row>
    <row r="907" ht="15" customHeight="1" s="12">
      <c r="B907" s="16" t="n"/>
      <c r="K907" s="16" t="n"/>
      <c r="O907" s="16" t="n"/>
      <c r="P907" s="16" t="n"/>
      <c r="Q907" s="16" t="n"/>
      <c r="R907" s="16" t="n"/>
    </row>
    <row r="908" ht="15" customHeight="1" s="12">
      <c r="B908" s="16" t="n"/>
      <c r="K908" s="16" t="n"/>
      <c r="O908" s="16" t="n"/>
      <c r="P908" s="16" t="n"/>
      <c r="Q908" s="16" t="n"/>
      <c r="R908" s="16" t="n"/>
    </row>
    <row r="909" ht="15" customHeight="1" s="12">
      <c r="B909" s="16" t="n"/>
      <c r="K909" s="16" t="n"/>
      <c r="O909" s="16" t="n"/>
      <c r="P909" s="16" t="n"/>
      <c r="Q909" s="16" t="n"/>
      <c r="R909" s="16" t="n"/>
    </row>
    <row r="910" ht="15" customHeight="1" s="12">
      <c r="B910" s="16" t="n"/>
      <c r="K910" s="16" t="n"/>
      <c r="O910" s="16" t="n"/>
      <c r="P910" s="16" t="n"/>
      <c r="Q910" s="16" t="n"/>
      <c r="R910" s="16" t="n"/>
    </row>
    <row r="911" ht="15" customHeight="1" s="12">
      <c r="B911" s="16" t="n"/>
      <c r="K911" s="16" t="n"/>
      <c r="O911" s="16" t="n"/>
      <c r="P911" s="16" t="n"/>
      <c r="Q911" s="16" t="n"/>
      <c r="R911" s="16" t="n"/>
    </row>
    <row r="912" ht="15" customHeight="1" s="12">
      <c r="B912" s="16" t="n"/>
      <c r="K912" s="16" t="n"/>
      <c r="O912" s="16" t="n"/>
      <c r="P912" s="16" t="n"/>
      <c r="Q912" s="16" t="n"/>
      <c r="R912" s="16" t="n"/>
    </row>
    <row r="913" ht="15" customHeight="1" s="12">
      <c r="B913" s="16" t="n"/>
      <c r="K913" s="16" t="n"/>
      <c r="O913" s="16" t="n"/>
      <c r="P913" s="16" t="n"/>
      <c r="Q913" s="16" t="n"/>
      <c r="R913" s="16" t="n"/>
    </row>
    <row r="914" ht="15" customHeight="1" s="12">
      <c r="B914" s="16" t="n"/>
      <c r="K914" s="16" t="n"/>
      <c r="O914" s="16" t="n"/>
      <c r="P914" s="16" t="n"/>
      <c r="Q914" s="16" t="n"/>
      <c r="R914" s="16" t="n"/>
    </row>
    <row r="915" ht="15" customHeight="1" s="12">
      <c r="B915" s="16" t="n"/>
      <c r="K915" s="16" t="n"/>
      <c r="O915" s="16" t="n"/>
      <c r="P915" s="16" t="n"/>
      <c r="Q915" s="16" t="n"/>
      <c r="R915" s="16" t="n"/>
    </row>
    <row r="916" ht="15" customHeight="1" s="12">
      <c r="B916" s="16" t="n"/>
      <c r="K916" s="16" t="n"/>
      <c r="O916" s="16" t="n"/>
      <c r="P916" s="16" t="n"/>
      <c r="Q916" s="16" t="n"/>
      <c r="R916" s="16" t="n"/>
    </row>
    <row r="917" ht="15" customHeight="1" s="12">
      <c r="B917" s="16" t="n"/>
      <c r="K917" s="16" t="n"/>
      <c r="O917" s="16" t="n"/>
      <c r="P917" s="16" t="n"/>
      <c r="Q917" s="16" t="n"/>
      <c r="R917" s="16" t="n"/>
    </row>
    <row r="918" ht="15" customHeight="1" s="12">
      <c r="B918" s="16" t="n"/>
      <c r="K918" s="16" t="n"/>
      <c r="O918" s="16" t="n"/>
      <c r="P918" s="16" t="n"/>
      <c r="Q918" s="16" t="n"/>
      <c r="R918" s="16" t="n"/>
    </row>
    <row r="919" ht="15" customHeight="1" s="12">
      <c r="B919" s="16" t="n"/>
      <c r="K919" s="16" t="n"/>
      <c r="O919" s="16" t="n"/>
      <c r="P919" s="16" t="n"/>
      <c r="Q919" s="16" t="n"/>
      <c r="R919" s="16" t="n"/>
    </row>
    <row r="920" ht="15" customHeight="1" s="12">
      <c r="B920" s="16" t="n"/>
      <c r="K920" s="16" t="n"/>
      <c r="O920" s="16" t="n"/>
      <c r="P920" s="16" t="n"/>
      <c r="Q920" s="16" t="n"/>
      <c r="R920" s="16" t="n"/>
    </row>
    <row r="921" ht="15" customHeight="1" s="12">
      <c r="B921" s="16" t="n"/>
      <c r="K921" s="16" t="n"/>
      <c r="O921" s="16" t="n"/>
      <c r="P921" s="16" t="n"/>
      <c r="Q921" s="16" t="n"/>
      <c r="R921" s="16" t="n"/>
    </row>
    <row r="922" ht="15" customHeight="1" s="12">
      <c r="B922" s="16" t="n"/>
      <c r="K922" s="16" t="n"/>
      <c r="O922" s="16" t="n"/>
      <c r="P922" s="16" t="n"/>
      <c r="Q922" s="16" t="n"/>
      <c r="R922" s="16" t="n"/>
    </row>
    <row r="923" ht="15" customHeight="1" s="12">
      <c r="B923" s="16" t="n"/>
      <c r="K923" s="16" t="n"/>
      <c r="O923" s="16" t="n"/>
      <c r="P923" s="16" t="n"/>
      <c r="Q923" s="16" t="n"/>
      <c r="R923" s="16" t="n"/>
    </row>
    <row r="924" ht="15" customHeight="1" s="12">
      <c r="B924" s="16" t="n"/>
      <c r="K924" s="16" t="n"/>
      <c r="O924" s="16" t="n"/>
      <c r="P924" s="16" t="n"/>
      <c r="Q924" s="16" t="n"/>
      <c r="R924" s="16" t="n"/>
    </row>
    <row r="925" ht="15" customHeight="1" s="12">
      <c r="B925" s="16" t="n"/>
      <c r="K925" s="16" t="n"/>
      <c r="O925" s="16" t="n"/>
      <c r="P925" s="16" t="n"/>
      <c r="Q925" s="16" t="n"/>
      <c r="R925" s="16" t="n"/>
    </row>
    <row r="926" ht="15" customHeight="1" s="12">
      <c r="B926" s="16" t="n"/>
      <c r="K926" s="16" t="n"/>
      <c r="O926" s="16" t="n"/>
      <c r="P926" s="16" t="n"/>
      <c r="Q926" s="16" t="n"/>
      <c r="R926" s="16" t="n"/>
    </row>
    <row r="927" ht="15" customHeight="1" s="12">
      <c r="B927" s="16" t="n"/>
      <c r="K927" s="16" t="n"/>
      <c r="O927" s="16" t="n"/>
      <c r="P927" s="16" t="n"/>
      <c r="Q927" s="16" t="n"/>
      <c r="R927" s="16" t="n"/>
    </row>
    <row r="928" ht="15" customHeight="1" s="12">
      <c r="B928" s="16" t="n"/>
      <c r="K928" s="16" t="n"/>
      <c r="O928" s="16" t="n"/>
      <c r="P928" s="16" t="n"/>
      <c r="Q928" s="16" t="n"/>
      <c r="R928" s="16" t="n"/>
    </row>
    <row r="929" ht="15" customHeight="1" s="12">
      <c r="B929" s="16" t="n"/>
      <c r="K929" s="16" t="n"/>
      <c r="O929" s="16" t="n"/>
      <c r="P929" s="16" t="n"/>
      <c r="Q929" s="16" t="n"/>
      <c r="R929" s="16" t="n"/>
    </row>
    <row r="930" ht="15" customHeight="1" s="12">
      <c r="B930" s="16" t="n"/>
      <c r="K930" s="16" t="n"/>
      <c r="O930" s="16" t="n"/>
      <c r="P930" s="16" t="n"/>
      <c r="Q930" s="16" t="n"/>
      <c r="R930" s="16" t="n"/>
    </row>
    <row r="931" ht="15" customHeight="1" s="12">
      <c r="B931" s="16" t="n"/>
      <c r="K931" s="16" t="n"/>
      <c r="O931" s="16" t="n"/>
      <c r="P931" s="16" t="n"/>
      <c r="Q931" s="16" t="n"/>
      <c r="R931" s="16" t="n"/>
    </row>
    <row r="932" ht="15" customHeight="1" s="12">
      <c r="B932" s="16" t="n"/>
      <c r="K932" s="16" t="n"/>
      <c r="O932" s="16" t="n"/>
      <c r="P932" s="16" t="n"/>
      <c r="Q932" s="16" t="n"/>
      <c r="R932" s="16" t="n"/>
    </row>
    <row r="933" ht="15" customHeight="1" s="12">
      <c r="B933" s="16" t="n"/>
      <c r="K933" s="16" t="n"/>
      <c r="O933" s="16" t="n"/>
      <c r="P933" s="16" t="n"/>
      <c r="Q933" s="16" t="n"/>
      <c r="R933" s="16" t="n"/>
    </row>
    <row r="934" ht="15" customHeight="1" s="12">
      <c r="B934" s="16" t="n"/>
      <c r="K934" s="16" t="n"/>
      <c r="O934" s="16" t="n"/>
      <c r="P934" s="16" t="n"/>
      <c r="Q934" s="16" t="n"/>
      <c r="R934" s="16" t="n"/>
    </row>
    <row r="935" ht="15" customHeight="1" s="12">
      <c r="B935" s="16" t="n"/>
      <c r="K935" s="16" t="n"/>
      <c r="O935" s="16" t="n"/>
      <c r="P935" s="16" t="n"/>
      <c r="Q935" s="16" t="n"/>
      <c r="R935" s="16" t="n"/>
    </row>
    <row r="936" ht="15" customHeight="1" s="12">
      <c r="B936" s="16" t="n"/>
      <c r="K936" s="16" t="n"/>
      <c r="O936" s="16" t="n"/>
      <c r="P936" s="16" t="n"/>
      <c r="Q936" s="16" t="n"/>
      <c r="R936" s="16" t="n"/>
    </row>
    <row r="937" ht="15" customHeight="1" s="12">
      <c r="B937" s="16" t="n"/>
      <c r="K937" s="16" t="n"/>
      <c r="O937" s="16" t="n"/>
      <c r="P937" s="16" t="n"/>
      <c r="Q937" s="16" t="n"/>
      <c r="R937" s="16" t="n"/>
    </row>
    <row r="938" ht="15" customHeight="1" s="12">
      <c r="B938" s="16" t="n"/>
      <c r="K938" s="16" t="n"/>
      <c r="O938" s="16" t="n"/>
      <c r="P938" s="16" t="n"/>
      <c r="Q938" s="16" t="n"/>
      <c r="R938" s="16" t="n"/>
    </row>
    <row r="939" ht="15" customHeight="1" s="12">
      <c r="B939" s="16" t="n"/>
      <c r="K939" s="16" t="n"/>
      <c r="O939" s="16" t="n"/>
      <c r="P939" s="16" t="n"/>
      <c r="Q939" s="16" t="n"/>
      <c r="R939" s="16" t="n"/>
    </row>
    <row r="940" ht="15" customHeight="1" s="12">
      <c r="B940" s="16" t="n"/>
      <c r="K940" s="16" t="n"/>
      <c r="O940" s="16" t="n"/>
      <c r="P940" s="16" t="n"/>
      <c r="Q940" s="16" t="n"/>
      <c r="R940" s="16" t="n"/>
    </row>
    <row r="941" ht="15" customHeight="1" s="12">
      <c r="B941" s="16" t="n"/>
      <c r="K941" s="16" t="n"/>
      <c r="O941" s="16" t="n"/>
      <c r="P941" s="16" t="n"/>
      <c r="Q941" s="16" t="n"/>
      <c r="R941" s="16" t="n"/>
    </row>
    <row r="942" ht="15" customHeight="1" s="12">
      <c r="B942" s="16" t="n"/>
      <c r="K942" s="16" t="n"/>
      <c r="O942" s="16" t="n"/>
      <c r="P942" s="16" t="n"/>
      <c r="Q942" s="16" t="n"/>
      <c r="R942" s="16" t="n"/>
    </row>
    <row r="943" ht="15" customHeight="1" s="12">
      <c r="B943" s="16" t="n"/>
      <c r="K943" s="16" t="n"/>
      <c r="O943" s="16" t="n"/>
      <c r="P943" s="16" t="n"/>
      <c r="Q943" s="16" t="n"/>
      <c r="R943" s="16" t="n"/>
    </row>
    <row r="944" ht="15" customHeight="1" s="12">
      <c r="B944" s="16" t="n"/>
      <c r="K944" s="16" t="n"/>
      <c r="O944" s="16" t="n"/>
      <c r="P944" s="16" t="n"/>
      <c r="Q944" s="16" t="n"/>
      <c r="R944" s="16" t="n"/>
    </row>
    <row r="945" ht="15" customHeight="1" s="12">
      <c r="B945" s="16" t="n"/>
      <c r="K945" s="16" t="n"/>
      <c r="O945" s="16" t="n"/>
      <c r="P945" s="16" t="n"/>
      <c r="Q945" s="16" t="n"/>
      <c r="R945" s="16" t="n"/>
    </row>
    <row r="946" ht="15" customHeight="1" s="12">
      <c r="B946" s="16" t="n"/>
      <c r="K946" s="16" t="n"/>
      <c r="O946" s="16" t="n"/>
      <c r="P946" s="16" t="n"/>
      <c r="Q946" s="16" t="n"/>
      <c r="R946" s="16" t="n"/>
    </row>
    <row r="947" ht="15" customHeight="1" s="12">
      <c r="B947" s="16" t="n"/>
      <c r="K947" s="16" t="n"/>
      <c r="O947" s="16" t="n"/>
      <c r="P947" s="16" t="n"/>
      <c r="Q947" s="16" t="n"/>
      <c r="R947" s="16" t="n"/>
    </row>
    <row r="948" ht="15" customHeight="1" s="12">
      <c r="B948" s="16" t="n"/>
      <c r="K948" s="16" t="n"/>
      <c r="O948" s="16" t="n"/>
      <c r="P948" s="16" t="n"/>
      <c r="Q948" s="16" t="n"/>
      <c r="R948" s="16" t="n"/>
    </row>
    <row r="949" ht="15" customHeight="1" s="12">
      <c r="B949" s="16" t="n"/>
      <c r="K949" s="16" t="n"/>
      <c r="O949" s="16" t="n"/>
      <c r="P949" s="16" t="n"/>
      <c r="Q949" s="16" t="n"/>
      <c r="R949" s="16" t="n"/>
    </row>
    <row r="950" ht="15" customHeight="1" s="12">
      <c r="B950" s="16" t="n"/>
      <c r="K950" s="16" t="n"/>
      <c r="O950" s="16" t="n"/>
      <c r="P950" s="16" t="n"/>
      <c r="Q950" s="16" t="n"/>
      <c r="R950" s="16" t="n"/>
    </row>
    <row r="951" ht="15" customHeight="1" s="12">
      <c r="B951" s="16" t="n"/>
      <c r="K951" s="16" t="n"/>
      <c r="O951" s="16" t="n"/>
      <c r="P951" s="16" t="n"/>
      <c r="Q951" s="16" t="n"/>
      <c r="R951" s="16" t="n"/>
    </row>
    <row r="952" ht="15" customHeight="1" s="12">
      <c r="B952" s="16" t="n"/>
      <c r="K952" s="16" t="n"/>
      <c r="O952" s="16" t="n"/>
      <c r="P952" s="16" t="n"/>
      <c r="Q952" s="16" t="n"/>
      <c r="R952" s="16" t="n"/>
    </row>
    <row r="953" ht="15" customHeight="1" s="12">
      <c r="B953" s="16" t="n"/>
      <c r="K953" s="16" t="n"/>
      <c r="O953" s="16" t="n"/>
      <c r="P953" s="16" t="n"/>
      <c r="Q953" s="16" t="n"/>
      <c r="R953" s="16" t="n"/>
    </row>
    <row r="954" ht="15" customHeight="1" s="12">
      <c r="B954" s="16" t="n"/>
      <c r="K954" s="16" t="n"/>
      <c r="O954" s="16" t="n"/>
      <c r="P954" s="16" t="n"/>
      <c r="Q954" s="16" t="n"/>
      <c r="R954" s="16" t="n"/>
    </row>
    <row r="955" ht="15" customHeight="1" s="12">
      <c r="B955" s="16" t="n"/>
      <c r="K955" s="16" t="n"/>
      <c r="O955" s="16" t="n"/>
      <c r="P955" s="16" t="n"/>
      <c r="Q955" s="16" t="n"/>
      <c r="R955" s="16" t="n"/>
    </row>
    <row r="956" ht="15" customHeight="1" s="12">
      <c r="B956" s="16" t="n"/>
      <c r="K956" s="16" t="n"/>
      <c r="O956" s="16" t="n"/>
      <c r="P956" s="16" t="n"/>
      <c r="Q956" s="16" t="n"/>
      <c r="R956" s="16" t="n"/>
    </row>
    <row r="957" ht="15" customHeight="1" s="12">
      <c r="B957" s="16" t="n"/>
      <c r="K957" s="16" t="n"/>
      <c r="O957" s="16" t="n"/>
      <c r="P957" s="16" t="n"/>
      <c r="Q957" s="16" t="n"/>
      <c r="R957" s="16" t="n"/>
    </row>
    <row r="958" ht="15" customHeight="1" s="12">
      <c r="B958" s="16" t="n"/>
      <c r="K958" s="16" t="n"/>
      <c r="O958" s="16" t="n"/>
      <c r="P958" s="16" t="n"/>
      <c r="Q958" s="16" t="n"/>
      <c r="R958" s="16" t="n"/>
    </row>
    <row r="959" ht="15" customHeight="1" s="12">
      <c r="B959" s="16" t="n"/>
      <c r="K959" s="16" t="n"/>
      <c r="O959" s="16" t="n"/>
      <c r="P959" s="16" t="n"/>
      <c r="Q959" s="16" t="n"/>
      <c r="R959" s="16" t="n"/>
    </row>
    <row r="960" ht="15" customHeight="1" s="12">
      <c r="B960" s="16" t="n"/>
      <c r="K960" s="16" t="n"/>
      <c r="O960" s="16" t="n"/>
      <c r="P960" s="16" t="n"/>
      <c r="Q960" s="16" t="n"/>
      <c r="R960" s="16" t="n"/>
    </row>
    <row r="961" ht="15" customHeight="1" s="12">
      <c r="B961" s="16" t="n"/>
      <c r="K961" s="16" t="n"/>
      <c r="O961" s="16" t="n"/>
      <c r="P961" s="16" t="n"/>
      <c r="Q961" s="16" t="n"/>
      <c r="R961" s="16" t="n"/>
    </row>
    <row r="962" ht="15" customHeight="1" s="12">
      <c r="B962" s="16" t="n"/>
      <c r="K962" s="16" t="n"/>
      <c r="O962" s="16" t="n"/>
      <c r="P962" s="16" t="n"/>
      <c r="Q962" s="16" t="n"/>
      <c r="R962" s="16" t="n"/>
    </row>
    <row r="963" ht="15" customHeight="1" s="12">
      <c r="B963" s="16" t="n"/>
      <c r="K963" s="16" t="n"/>
      <c r="O963" s="16" t="n"/>
      <c r="P963" s="16" t="n"/>
      <c r="Q963" s="16" t="n"/>
      <c r="R963" s="16" t="n"/>
    </row>
    <row r="964" ht="15" customHeight="1" s="12">
      <c r="B964" s="16" t="n"/>
      <c r="K964" s="16" t="n"/>
      <c r="O964" s="16" t="n"/>
      <c r="P964" s="16" t="n"/>
      <c r="Q964" s="16" t="n"/>
      <c r="R964" s="16" t="n"/>
    </row>
    <row r="965" ht="15" customHeight="1" s="12">
      <c r="B965" s="16" t="n"/>
      <c r="K965" s="16" t="n"/>
      <c r="O965" s="16" t="n"/>
      <c r="P965" s="16" t="n"/>
      <c r="Q965" s="16" t="n"/>
      <c r="R965" s="16" t="n"/>
    </row>
    <row r="966" ht="15" customHeight="1" s="12">
      <c r="B966" s="16" t="n"/>
      <c r="K966" s="16" t="n"/>
      <c r="O966" s="16" t="n"/>
      <c r="P966" s="16" t="n"/>
      <c r="Q966" s="16" t="n"/>
      <c r="R966" s="16" t="n"/>
    </row>
    <row r="967" ht="15" customHeight="1" s="12">
      <c r="B967" s="16" t="n"/>
      <c r="K967" s="16" t="n"/>
      <c r="O967" s="16" t="n"/>
      <c r="P967" s="16" t="n"/>
      <c r="Q967" s="16" t="n"/>
      <c r="R967" s="16" t="n"/>
    </row>
    <row r="968" ht="15" customHeight="1" s="12">
      <c r="B968" s="16" t="n"/>
      <c r="K968" s="16" t="n"/>
      <c r="O968" s="16" t="n"/>
      <c r="P968" s="16" t="n"/>
      <c r="Q968" s="16" t="n"/>
      <c r="R968" s="16" t="n"/>
    </row>
    <row r="969" ht="15" customHeight="1" s="12">
      <c r="B969" s="16" t="n"/>
      <c r="K969" s="16" t="n"/>
      <c r="O969" s="16" t="n"/>
      <c r="P969" s="16" t="n"/>
      <c r="Q969" s="16" t="n"/>
      <c r="R969" s="16" t="n"/>
    </row>
    <row r="970" ht="15" customHeight="1" s="12">
      <c r="B970" s="16" t="n"/>
      <c r="K970" s="16" t="n"/>
      <c r="O970" s="16" t="n"/>
      <c r="P970" s="16" t="n"/>
      <c r="Q970" s="16" t="n"/>
      <c r="R970" s="16" t="n"/>
    </row>
    <row r="971" ht="15" customHeight="1" s="12">
      <c r="B971" s="16" t="n"/>
      <c r="K971" s="16" t="n"/>
      <c r="O971" s="16" t="n"/>
      <c r="P971" s="16" t="n"/>
      <c r="Q971" s="16" t="n"/>
      <c r="R971" s="16" t="n"/>
    </row>
    <row r="972" ht="15" customHeight="1" s="12">
      <c r="B972" s="16" t="n"/>
      <c r="K972" s="16" t="n"/>
      <c r="O972" s="16" t="n"/>
      <c r="P972" s="16" t="n"/>
      <c r="Q972" s="16" t="n"/>
      <c r="R972" s="16" t="n"/>
    </row>
    <row r="973" ht="15" customHeight="1" s="12">
      <c r="B973" s="16" t="n"/>
      <c r="K973" s="16" t="n"/>
      <c r="O973" s="16" t="n"/>
      <c r="P973" s="16" t="n"/>
      <c r="Q973" s="16" t="n"/>
      <c r="R973" s="16" t="n"/>
    </row>
    <row r="974" ht="15" customHeight="1" s="12">
      <c r="B974" s="16" t="n"/>
      <c r="K974" s="16" t="n"/>
      <c r="O974" s="16" t="n"/>
      <c r="P974" s="16" t="n"/>
      <c r="Q974" s="16" t="n"/>
      <c r="R974" s="16" t="n"/>
    </row>
    <row r="975" ht="15" customHeight="1" s="12">
      <c r="B975" s="16" t="n"/>
      <c r="K975" s="16" t="n"/>
      <c r="O975" s="16" t="n"/>
      <c r="P975" s="16" t="n"/>
      <c r="Q975" s="16" t="n"/>
      <c r="R975" s="16" t="n"/>
    </row>
    <row r="976" ht="15" customHeight="1" s="12">
      <c r="B976" s="16" t="n"/>
      <c r="K976" s="16" t="n"/>
      <c r="O976" s="16" t="n"/>
      <c r="P976" s="16" t="n"/>
      <c r="Q976" s="16" t="n"/>
      <c r="R976" s="16" t="n"/>
    </row>
    <row r="977" ht="15" customHeight="1" s="12">
      <c r="B977" s="16" t="n"/>
      <c r="K977" s="16" t="n"/>
      <c r="O977" s="16" t="n"/>
      <c r="P977" s="16" t="n"/>
      <c r="Q977" s="16" t="n"/>
      <c r="R977" s="16" t="n"/>
    </row>
    <row r="978" ht="15" customHeight="1" s="12">
      <c r="B978" s="16" t="n"/>
      <c r="K978" s="16" t="n"/>
      <c r="O978" s="16" t="n"/>
      <c r="P978" s="16" t="n"/>
      <c r="Q978" s="16" t="n"/>
      <c r="R978" s="16" t="n"/>
    </row>
    <row r="979" ht="15" customHeight="1" s="12">
      <c r="B979" s="16" t="n"/>
      <c r="K979" s="16" t="n"/>
      <c r="O979" s="16" t="n"/>
      <c r="P979" s="16" t="n"/>
      <c r="Q979" s="16" t="n"/>
      <c r="R979" s="16" t="n"/>
    </row>
    <row r="980" ht="15" customHeight="1" s="12">
      <c r="B980" s="16" t="n"/>
      <c r="K980" s="16" t="n"/>
      <c r="O980" s="16" t="n"/>
      <c r="P980" s="16" t="n"/>
      <c r="Q980" s="16" t="n"/>
      <c r="R980" s="16" t="n"/>
    </row>
    <row r="981" ht="15" customHeight="1" s="12">
      <c r="B981" s="16" t="n"/>
      <c r="K981" s="16" t="n"/>
      <c r="O981" s="16" t="n"/>
      <c r="P981" s="16" t="n"/>
      <c r="Q981" s="16" t="n"/>
      <c r="R981" s="16" t="n"/>
    </row>
    <row r="982" ht="15" customHeight="1" s="12">
      <c r="B982" s="16" t="n"/>
      <c r="K982" s="16" t="n"/>
      <c r="O982" s="16" t="n"/>
      <c r="P982" s="16" t="n"/>
      <c r="Q982" s="16" t="n"/>
      <c r="R982" s="16" t="n"/>
    </row>
    <row r="983" ht="15" customHeight="1" s="12">
      <c r="B983" s="16" t="n"/>
      <c r="K983" s="16" t="n"/>
      <c r="O983" s="16" t="n"/>
      <c r="P983" s="16" t="n"/>
      <c r="Q983" s="16" t="n"/>
      <c r="R983" s="16" t="n"/>
    </row>
    <row r="984" ht="15" customHeight="1" s="12">
      <c r="B984" s="16" t="n"/>
      <c r="K984" s="16" t="n"/>
      <c r="O984" s="16" t="n"/>
      <c r="P984" s="16" t="n"/>
      <c r="Q984" s="16" t="n"/>
      <c r="R984" s="16" t="n"/>
    </row>
    <row r="985" ht="15" customHeight="1" s="12">
      <c r="B985" s="16" t="n"/>
      <c r="K985" s="16" t="n"/>
      <c r="O985" s="16" t="n"/>
      <c r="P985" s="16" t="n"/>
      <c r="Q985" s="16" t="n"/>
      <c r="R985" s="16" t="n"/>
    </row>
    <row r="986" ht="15" customHeight="1" s="12">
      <c r="B986" s="16" t="n"/>
      <c r="K986" s="16" t="n"/>
      <c r="O986" s="16" t="n"/>
      <c r="P986" s="16" t="n"/>
      <c r="Q986" s="16" t="n"/>
      <c r="R986" s="16" t="n"/>
    </row>
    <row r="987" ht="15" customHeight="1" s="12">
      <c r="B987" s="16" t="n"/>
      <c r="K987" s="16" t="n"/>
      <c r="O987" s="16" t="n"/>
      <c r="P987" s="16" t="n"/>
      <c r="Q987" s="16" t="n"/>
      <c r="R987" s="16" t="n"/>
    </row>
    <row r="988" ht="15" customHeight="1" s="12">
      <c r="B988" s="16" t="n"/>
      <c r="K988" s="16" t="n"/>
      <c r="O988" s="16" t="n"/>
      <c r="P988" s="16" t="n"/>
      <c r="Q988" s="16" t="n"/>
      <c r="R988" s="16" t="n"/>
    </row>
    <row r="989" ht="15" customHeight="1" s="12">
      <c r="B989" s="16" t="n"/>
      <c r="K989" s="16" t="n"/>
      <c r="O989" s="16" t="n"/>
      <c r="P989" s="16" t="n"/>
      <c r="Q989" s="16" t="n"/>
      <c r="R989" s="16" t="n"/>
    </row>
    <row r="990" ht="15" customHeight="1" s="12">
      <c r="B990" s="16" t="n"/>
      <c r="K990" s="16" t="n"/>
      <c r="O990" s="16" t="n"/>
      <c r="P990" s="16" t="n"/>
      <c r="Q990" s="16" t="n"/>
      <c r="R990" s="16" t="n"/>
    </row>
    <row r="991" ht="15" customHeight="1" s="12">
      <c r="B991" s="16" t="n"/>
      <c r="K991" s="16" t="n"/>
      <c r="O991" s="16" t="n"/>
      <c r="P991" s="16" t="n"/>
      <c r="Q991" s="16" t="n"/>
      <c r="R991" s="16" t="n"/>
    </row>
    <row r="992" ht="15" customHeight="1" s="12">
      <c r="B992" s="16" t="n"/>
      <c r="K992" s="16" t="n"/>
      <c r="O992" s="16" t="n"/>
      <c r="P992" s="16" t="n"/>
      <c r="Q992" s="16" t="n"/>
      <c r="R992" s="16" t="n"/>
    </row>
    <row r="993" ht="15" customHeight="1" s="12">
      <c r="B993" s="16" t="n"/>
      <c r="K993" s="16" t="n"/>
      <c r="O993" s="16" t="n"/>
      <c r="P993" s="16" t="n"/>
      <c r="Q993" s="16" t="n"/>
      <c r="R993" s="16" t="n"/>
    </row>
    <row r="994" ht="15" customHeight="1" s="12">
      <c r="B994" s="16" t="n"/>
      <c r="K994" s="16" t="n"/>
      <c r="O994" s="16" t="n"/>
      <c r="P994" s="16" t="n"/>
      <c r="Q994" s="16" t="n"/>
      <c r="R994" s="16" t="n"/>
    </row>
    <row r="995" ht="15" customHeight="1" s="12">
      <c r="B995" s="16" t="n"/>
      <c r="K995" s="16" t="n"/>
      <c r="O995" s="16" t="n"/>
      <c r="P995" s="16" t="n"/>
      <c r="Q995" s="16" t="n"/>
      <c r="R995" s="16" t="n"/>
    </row>
    <row r="996" ht="15" customHeight="1" s="12">
      <c r="B996" s="16" t="n"/>
      <c r="K996" s="16" t="n"/>
      <c r="O996" s="16" t="n"/>
      <c r="P996" s="16" t="n"/>
      <c r="Q996" s="16" t="n"/>
      <c r="R996" s="16" t="n"/>
    </row>
    <row r="997" ht="15" customHeight="1" s="12">
      <c r="B997" s="16" t="n"/>
      <c r="K997" s="16" t="n"/>
      <c r="O997" s="16" t="n"/>
      <c r="P997" s="16" t="n"/>
      <c r="Q997" s="16" t="n"/>
      <c r="R997" s="16" t="n"/>
    </row>
    <row r="998" ht="15" customHeight="1" s="12">
      <c r="B998" s="16" t="n"/>
      <c r="K998" s="16" t="n"/>
      <c r="O998" s="16" t="n"/>
      <c r="P998" s="16" t="n"/>
      <c r="Q998" s="16" t="n"/>
      <c r="R998" s="16" t="n"/>
    </row>
    <row r="999" ht="15" customHeight="1" s="12">
      <c r="B999" s="16" t="n"/>
      <c r="K999" s="16" t="n"/>
      <c r="O999" s="16" t="n"/>
      <c r="P999" s="16" t="n"/>
      <c r="Q999" s="16" t="n"/>
      <c r="R999" s="16" t="n"/>
    </row>
    <row r="1000" ht="15" customHeight="1" s="12">
      <c r="B1000" s="16" t="n"/>
      <c r="K1000" s="16" t="n"/>
      <c r="O1000" s="16" t="n"/>
      <c r="P1000" s="16" t="n"/>
      <c r="Q1000" s="16" t="n"/>
      <c r="R1000" s="16" t="n"/>
    </row>
    <row r="1001" ht="15" customHeight="1" s="12">
      <c r="B1001" s="16" t="n"/>
      <c r="K1001" s="16" t="n"/>
      <c r="O1001" s="16" t="n"/>
      <c r="P1001" s="16" t="n"/>
      <c r="Q1001" s="16" t="n"/>
      <c r="R1001" s="16" t="n"/>
    </row>
    <row r="1002" ht="15" customHeight="1" s="12">
      <c r="B1002" s="16" t="n"/>
      <c r="K1002" s="16" t="n"/>
      <c r="O1002" s="16" t="n"/>
      <c r="P1002" s="16" t="n"/>
      <c r="Q1002" s="16" t="n"/>
      <c r="R1002" s="16" t="n"/>
    </row>
    <row r="1003" ht="15" customHeight="1" s="12">
      <c r="B1003" s="16" t="n"/>
      <c r="K1003" s="16" t="n"/>
      <c r="O1003" s="16" t="n"/>
      <c r="P1003" s="16" t="n"/>
      <c r="Q1003" s="16" t="n"/>
      <c r="R1003" s="16" t="n"/>
    </row>
    <row r="1004" ht="15" customHeight="1" s="12">
      <c r="B1004" s="16" t="n"/>
      <c r="K1004" s="16" t="n"/>
      <c r="O1004" s="16" t="n"/>
      <c r="P1004" s="16" t="n"/>
      <c r="Q1004" s="16" t="n"/>
      <c r="R1004" s="16" t="n"/>
    </row>
    <row r="1005" ht="15" customHeight="1" s="12">
      <c r="B1005" s="16" t="n"/>
      <c r="K1005" s="16" t="n"/>
      <c r="O1005" s="16" t="n"/>
      <c r="P1005" s="16" t="n"/>
      <c r="Q1005" s="16" t="n"/>
      <c r="R1005" s="16" t="n"/>
    </row>
    <row r="1006" ht="15" customHeight="1" s="12">
      <c r="B1006" s="16" t="n"/>
      <c r="K1006" s="16" t="n"/>
      <c r="O1006" s="16" t="n"/>
      <c r="P1006" s="16" t="n"/>
      <c r="Q1006" s="16" t="n"/>
      <c r="R1006" s="16" t="n"/>
    </row>
    <row r="1007" ht="15" customHeight="1" s="12">
      <c r="B1007" s="16" t="n"/>
      <c r="K1007" s="16" t="n"/>
      <c r="O1007" s="16" t="n"/>
      <c r="P1007" s="16" t="n"/>
      <c r="Q1007" s="16" t="n"/>
      <c r="R1007" s="16" t="n"/>
    </row>
    <row r="1008" ht="15" customHeight="1" s="12">
      <c r="B1008" s="16" t="n"/>
      <c r="K1008" s="16" t="n"/>
      <c r="O1008" s="16" t="n"/>
      <c r="P1008" s="16" t="n"/>
      <c r="Q1008" s="16" t="n"/>
      <c r="R1008" s="16" t="n"/>
    </row>
    <row r="1009" ht="15" customHeight="1" s="12">
      <c r="B1009" s="16" t="n"/>
      <c r="K1009" s="16" t="n"/>
      <c r="O1009" s="16" t="n"/>
      <c r="P1009" s="16" t="n"/>
      <c r="Q1009" s="16" t="n"/>
      <c r="R1009" s="16" t="n"/>
    </row>
    <row r="1010" ht="15" customHeight="1" s="12">
      <c r="B1010" s="16" t="n"/>
      <c r="K1010" s="16" t="n"/>
      <c r="O1010" s="16" t="n"/>
      <c r="P1010" s="16" t="n"/>
      <c r="Q1010" s="16" t="n"/>
      <c r="R1010" s="16" t="n"/>
    </row>
    <row r="1011" ht="15" customHeight="1" s="12">
      <c r="B1011" s="16" t="n"/>
      <c r="K1011" s="16" t="n"/>
      <c r="O1011" s="16" t="n"/>
      <c r="P1011" s="16" t="n"/>
      <c r="Q1011" s="16" t="n"/>
      <c r="R1011" s="16" t="n"/>
    </row>
    <row r="1012" ht="15" customHeight="1" s="12">
      <c r="B1012" s="16" t="n"/>
      <c r="K1012" s="16" t="n"/>
      <c r="O1012" s="16" t="n"/>
      <c r="P1012" s="16" t="n"/>
      <c r="Q1012" s="16" t="n"/>
      <c r="R1012" s="16" t="n"/>
    </row>
    <row r="1013" ht="15" customHeight="1" s="12">
      <c r="B1013" s="16" t="n"/>
      <c r="K1013" s="16" t="n"/>
      <c r="O1013" s="16" t="n"/>
      <c r="P1013" s="16" t="n"/>
      <c r="Q1013" s="16" t="n"/>
      <c r="R1013" s="16" t="n"/>
    </row>
    <row r="1014" ht="15" customHeight="1" s="12">
      <c r="B1014" s="16" t="n"/>
      <c r="K1014" s="16" t="n"/>
      <c r="O1014" s="16" t="n"/>
      <c r="P1014" s="16" t="n"/>
      <c r="Q1014" s="16" t="n"/>
      <c r="R1014" s="16" t="n"/>
    </row>
    <row r="1015" ht="15" customHeight="1" s="12">
      <c r="B1015" s="16" t="n"/>
      <c r="K1015" s="16" t="n"/>
      <c r="O1015" s="16" t="n"/>
      <c r="P1015" s="16" t="n"/>
      <c r="Q1015" s="16" t="n"/>
      <c r="R1015" s="16" t="n"/>
    </row>
    <row r="1016" ht="15" customHeight="1" s="12">
      <c r="B1016" s="16" t="n"/>
      <c r="K1016" s="16" t="n"/>
      <c r="O1016" s="16" t="n"/>
      <c r="P1016" s="16" t="n"/>
      <c r="Q1016" s="16" t="n"/>
      <c r="R1016" s="16" t="n"/>
    </row>
    <row r="1017" ht="15" customHeight="1" s="12">
      <c r="B1017" s="16" t="n"/>
      <c r="K1017" s="16" t="n"/>
      <c r="O1017" s="16" t="n"/>
      <c r="P1017" s="16" t="n"/>
      <c r="Q1017" s="16" t="n"/>
      <c r="R1017" s="16" t="n"/>
    </row>
    <row r="1018" ht="15" customHeight="1" s="12">
      <c r="B1018" s="16" t="n"/>
      <c r="K1018" s="16" t="n"/>
      <c r="O1018" s="16" t="n"/>
      <c r="P1018" s="16" t="n"/>
      <c r="Q1018" s="16" t="n"/>
      <c r="R1018" s="16" t="n"/>
    </row>
    <row r="1019" ht="15" customHeight="1" s="12">
      <c r="B1019" s="16" t="n"/>
      <c r="K1019" s="16" t="n"/>
      <c r="O1019" s="16" t="n"/>
      <c r="P1019" s="16" t="n"/>
      <c r="Q1019" s="16" t="n"/>
      <c r="R1019" s="16" t="n"/>
    </row>
    <row r="1020" ht="15" customHeight="1" s="12">
      <c r="B1020" s="16" t="n"/>
      <c r="K1020" s="16" t="n"/>
      <c r="O1020" s="16" t="n"/>
      <c r="P1020" s="16" t="n"/>
      <c r="Q1020" s="16" t="n"/>
      <c r="R1020" s="16" t="n"/>
    </row>
    <row r="1021" ht="15" customHeight="1" s="12">
      <c r="B1021" s="16" t="n"/>
      <c r="K1021" s="16" t="n"/>
      <c r="O1021" s="16" t="n"/>
      <c r="P1021" s="16" t="n"/>
      <c r="Q1021" s="16" t="n"/>
      <c r="R1021" s="16" t="n"/>
    </row>
    <row r="1022" ht="15" customHeight="1" s="12">
      <c r="B1022" s="16" t="n"/>
      <c r="K1022" s="16" t="n"/>
      <c r="O1022" s="16" t="n"/>
      <c r="P1022" s="16" t="n"/>
      <c r="Q1022" s="16" t="n"/>
      <c r="R1022" s="16" t="n"/>
    </row>
    <row r="1023" ht="15" customHeight="1" s="12">
      <c r="B1023" s="16" t="n"/>
      <c r="K1023" s="16" t="n"/>
      <c r="O1023" s="16" t="n"/>
      <c r="P1023" s="16" t="n"/>
      <c r="Q1023" s="16" t="n"/>
      <c r="R1023" s="16" t="n"/>
    </row>
    <row r="1024" ht="15" customHeight="1" s="12">
      <c r="B1024" s="16" t="n"/>
      <c r="K1024" s="16" t="n"/>
      <c r="O1024" s="16" t="n"/>
      <c r="P1024" s="16" t="n"/>
      <c r="Q1024" s="16" t="n"/>
      <c r="R1024" s="16" t="n"/>
    </row>
    <row r="1025" ht="15" customHeight="1" s="12">
      <c r="B1025" s="16" t="n"/>
      <c r="K1025" s="16" t="n"/>
      <c r="O1025" s="16" t="n"/>
      <c r="P1025" s="16" t="n"/>
      <c r="Q1025" s="16" t="n"/>
      <c r="R1025" s="16" t="n"/>
    </row>
    <row r="1026" ht="15" customHeight="1" s="12">
      <c r="B1026" s="16" t="n"/>
      <c r="K1026" s="16" t="n"/>
      <c r="O1026" s="16" t="n"/>
      <c r="P1026" s="16" t="n"/>
      <c r="Q1026" s="16" t="n"/>
      <c r="R1026" s="16" t="n"/>
    </row>
    <row r="1027" ht="15" customHeight="1" s="12">
      <c r="B1027" s="16" t="n"/>
      <c r="K1027" s="16" t="n"/>
      <c r="O1027" s="16" t="n"/>
      <c r="P1027" s="16" t="n"/>
      <c r="Q1027" s="16" t="n"/>
      <c r="R1027" s="16" t="n"/>
    </row>
    <row r="1028" ht="15" customHeight="1" s="12">
      <c r="B1028" s="16" t="n"/>
      <c r="K1028" s="16" t="n"/>
      <c r="O1028" s="16" t="n"/>
      <c r="P1028" s="16" t="n"/>
      <c r="Q1028" s="16" t="n"/>
      <c r="R1028" s="16" t="n"/>
    </row>
    <row r="1029" ht="15" customHeight="1" s="12">
      <c r="B1029" s="16" t="n"/>
      <c r="K1029" s="16" t="n"/>
      <c r="O1029" s="16" t="n"/>
      <c r="P1029" s="16" t="n"/>
      <c r="Q1029" s="16" t="n"/>
      <c r="R1029" s="16" t="n"/>
    </row>
    <row r="1030" ht="15" customHeight="1" s="12">
      <c r="B1030" s="16" t="n"/>
      <c r="K1030" s="16" t="n"/>
      <c r="O1030" s="16" t="n"/>
      <c r="P1030" s="16" t="n"/>
      <c r="Q1030" s="16" t="n"/>
      <c r="R1030" s="16" t="n"/>
    </row>
    <row r="1031" ht="15" customHeight="1" s="12">
      <c r="B1031" s="16" t="n"/>
      <c r="K1031" s="16" t="n"/>
      <c r="O1031" s="16" t="n"/>
      <c r="P1031" s="16" t="n"/>
      <c r="Q1031" s="16" t="n"/>
      <c r="R1031" s="16" t="n"/>
    </row>
    <row r="1032" ht="15" customHeight="1" s="12">
      <c r="B1032" s="16" t="n"/>
      <c r="K1032" s="16" t="n"/>
      <c r="O1032" s="16" t="n"/>
      <c r="P1032" s="16" t="n"/>
      <c r="Q1032" s="16" t="n"/>
      <c r="R1032" s="16" t="n"/>
    </row>
    <row r="1033" ht="15" customHeight="1" s="12">
      <c r="B1033" s="16" t="n"/>
      <c r="K1033" s="16" t="n"/>
      <c r="O1033" s="16" t="n"/>
      <c r="P1033" s="16" t="n"/>
      <c r="Q1033" s="16" t="n"/>
      <c r="R1033" s="16" t="n"/>
    </row>
    <row r="1034" ht="15" customHeight="1" s="12">
      <c r="B1034" s="16" t="n"/>
      <c r="K1034" s="16" t="n"/>
      <c r="O1034" s="16" t="n"/>
      <c r="P1034" s="16" t="n"/>
      <c r="Q1034" s="16" t="n"/>
      <c r="R1034" s="16" t="n"/>
    </row>
    <row r="1035" ht="15" customHeight="1" s="12">
      <c r="B1035" s="16" t="n"/>
      <c r="K1035" s="16" t="n"/>
      <c r="O1035" s="16" t="n"/>
      <c r="P1035" s="16" t="n"/>
      <c r="Q1035" s="16" t="n"/>
      <c r="R1035" s="16" t="n"/>
    </row>
    <row r="1036" ht="15" customHeight="1" s="12">
      <c r="B1036" s="16" t="n"/>
      <c r="K1036" s="16" t="n"/>
      <c r="O1036" s="16" t="n"/>
      <c r="P1036" s="16" t="n"/>
      <c r="Q1036" s="16" t="n"/>
      <c r="R1036" s="16" t="n"/>
    </row>
    <row r="1037" ht="15" customHeight="1" s="12">
      <c r="B1037" s="16" t="n"/>
      <c r="K1037" s="16" t="n"/>
      <c r="O1037" s="16" t="n"/>
      <c r="P1037" s="16" t="n"/>
      <c r="Q1037" s="16" t="n"/>
      <c r="R1037" s="16" t="n"/>
    </row>
    <row r="1038" ht="15" customHeight="1" s="12">
      <c r="B1038" s="16" t="n"/>
      <c r="K1038" s="16" t="n"/>
      <c r="O1038" s="16" t="n"/>
      <c r="P1038" s="16" t="n"/>
      <c r="Q1038" s="16" t="n"/>
      <c r="R1038" s="16" t="n"/>
    </row>
    <row r="1039" ht="15" customHeight="1" s="12">
      <c r="B1039" s="16" t="n"/>
      <c r="K1039" s="16" t="n"/>
      <c r="O1039" s="16" t="n"/>
      <c r="P1039" s="16" t="n"/>
      <c r="Q1039" s="16" t="n"/>
      <c r="R1039" s="16" t="n"/>
    </row>
    <row r="1040" ht="15" customHeight="1" s="12">
      <c r="B1040" s="16" t="n"/>
      <c r="K1040" s="16" t="n"/>
      <c r="O1040" s="16" t="n"/>
      <c r="P1040" s="16" t="n"/>
      <c r="Q1040" s="16" t="n"/>
      <c r="R1040" s="16" t="n"/>
    </row>
    <row r="1041" ht="15" customHeight="1" s="12">
      <c r="B1041" s="16" t="n"/>
      <c r="K1041" s="16" t="n"/>
      <c r="O1041" s="16" t="n"/>
      <c r="P1041" s="16" t="n"/>
      <c r="Q1041" s="16" t="n"/>
      <c r="R1041" s="16" t="n"/>
    </row>
    <row r="1042" ht="15" customHeight="1" s="12">
      <c r="B1042" s="16" t="n"/>
      <c r="K1042" s="16" t="n"/>
      <c r="O1042" s="16" t="n"/>
      <c r="P1042" s="16" t="n"/>
      <c r="Q1042" s="16" t="n"/>
      <c r="R1042" s="16" t="n"/>
    </row>
    <row r="1043" ht="15" customHeight="1" s="12">
      <c r="B1043" s="16" t="n"/>
      <c r="K1043" s="16" t="n"/>
      <c r="O1043" s="16" t="n"/>
      <c r="P1043" s="16" t="n"/>
      <c r="Q1043" s="16" t="n"/>
      <c r="R1043" s="16" t="n"/>
    </row>
    <row r="1044" ht="15" customHeight="1" s="12">
      <c r="B1044" s="16" t="n"/>
      <c r="K1044" s="16" t="n"/>
      <c r="O1044" s="16" t="n"/>
      <c r="P1044" s="16" t="n"/>
      <c r="Q1044" s="16" t="n"/>
      <c r="R1044" s="16" t="n"/>
    </row>
    <row r="1045" ht="15" customHeight="1" s="12">
      <c r="B1045" s="16" t="n"/>
      <c r="K1045" s="16" t="n"/>
      <c r="O1045" s="16" t="n"/>
      <c r="P1045" s="16" t="n"/>
      <c r="Q1045" s="16" t="n"/>
      <c r="R1045" s="16" t="n"/>
    </row>
    <row r="1046" ht="15" customHeight="1" s="12">
      <c r="B1046" s="16" t="n"/>
      <c r="K1046" s="16" t="n"/>
      <c r="O1046" s="16" t="n"/>
      <c r="P1046" s="16" t="n"/>
      <c r="Q1046" s="16" t="n"/>
      <c r="R1046" s="16" t="n"/>
    </row>
    <row r="1047" ht="15" customHeight="1" s="12">
      <c r="B1047" s="16" t="n"/>
      <c r="K1047" s="16" t="n"/>
      <c r="O1047" s="16" t="n"/>
      <c r="P1047" s="16" t="n"/>
      <c r="Q1047" s="16" t="n"/>
      <c r="R1047" s="16" t="n"/>
    </row>
    <row r="1048" ht="15" customHeight="1" s="12">
      <c r="B1048" s="16" t="n"/>
      <c r="K1048" s="16" t="n"/>
      <c r="O1048" s="16" t="n"/>
      <c r="P1048" s="16" t="n"/>
      <c r="Q1048" s="16" t="n"/>
      <c r="R1048" s="16" t="n"/>
    </row>
    <row r="1049" ht="15" customHeight="1" s="12">
      <c r="B1049" s="16" t="n"/>
      <c r="K1049" s="16" t="n"/>
      <c r="O1049" s="16" t="n"/>
      <c r="P1049" s="16" t="n"/>
      <c r="Q1049" s="16" t="n"/>
      <c r="R1049" s="16" t="n"/>
    </row>
    <row r="1050" ht="15" customHeight="1" s="12">
      <c r="B1050" s="16" t="n"/>
      <c r="K1050" s="16" t="n"/>
      <c r="O1050" s="16" t="n"/>
      <c r="P1050" s="16" t="n"/>
      <c r="Q1050" s="16" t="n"/>
      <c r="R1050" s="16" t="n"/>
    </row>
    <row r="1051" ht="15" customHeight="1" s="12">
      <c r="B1051" s="16" t="n"/>
      <c r="K1051" s="16" t="n"/>
      <c r="O1051" s="16" t="n"/>
      <c r="P1051" s="16" t="n"/>
      <c r="Q1051" s="16" t="n"/>
      <c r="R1051" s="16" t="n"/>
    </row>
    <row r="1052" ht="15" customHeight="1" s="12">
      <c r="B1052" s="16" t="n"/>
      <c r="K1052" s="16" t="n"/>
      <c r="O1052" s="16" t="n"/>
      <c r="P1052" s="16" t="n"/>
      <c r="Q1052" s="16" t="n"/>
      <c r="R1052" s="16" t="n"/>
    </row>
    <row r="1053" ht="15" customHeight="1" s="12">
      <c r="B1053" s="16" t="n"/>
      <c r="K1053" s="16" t="n"/>
      <c r="O1053" s="16" t="n"/>
      <c r="P1053" s="16" t="n"/>
      <c r="Q1053" s="16" t="n"/>
      <c r="R1053" s="16" t="n"/>
    </row>
    <row r="1054" ht="15" customHeight="1" s="12">
      <c r="B1054" s="16" t="n"/>
      <c r="K1054" s="16" t="n"/>
      <c r="O1054" s="16" t="n"/>
      <c r="P1054" s="16" t="n"/>
      <c r="Q1054" s="16" t="n"/>
      <c r="R1054" s="16" t="n"/>
    </row>
    <row r="1055" ht="15" customHeight="1" s="12">
      <c r="B1055" s="16" t="n"/>
      <c r="K1055" s="16" t="n"/>
      <c r="O1055" s="16" t="n"/>
      <c r="P1055" s="16" t="n"/>
      <c r="Q1055" s="16" t="n"/>
      <c r="R1055" s="16" t="n"/>
    </row>
    <row r="1056" ht="15" customHeight="1" s="12">
      <c r="B1056" s="16" t="n"/>
      <c r="K1056" s="16" t="n"/>
      <c r="O1056" s="16" t="n"/>
      <c r="P1056" s="16" t="n"/>
      <c r="Q1056" s="16" t="n"/>
      <c r="R1056" s="16" t="n"/>
    </row>
    <row r="1057" ht="15" customHeight="1" s="12">
      <c r="B1057" s="16" t="n"/>
      <c r="K1057" s="16" t="n"/>
      <c r="O1057" s="16" t="n"/>
      <c r="P1057" s="16" t="n"/>
      <c r="Q1057" s="16" t="n"/>
      <c r="R1057" s="16" t="n"/>
    </row>
    <row r="1058" ht="15" customHeight="1" s="12">
      <c r="B1058" s="16" t="n"/>
      <c r="K1058" s="16" t="n"/>
      <c r="O1058" s="16" t="n"/>
      <c r="P1058" s="16" t="n"/>
      <c r="Q1058" s="16" t="n"/>
      <c r="R1058" s="16" t="n"/>
    </row>
    <row r="1059" ht="15" customHeight="1" s="12">
      <c r="B1059" s="16" t="n"/>
      <c r="K1059" s="16" t="n"/>
      <c r="O1059" s="16" t="n"/>
      <c r="P1059" s="16" t="n"/>
      <c r="Q1059" s="16" t="n"/>
      <c r="R1059" s="16" t="n"/>
    </row>
    <row r="1060" ht="15" customHeight="1" s="12">
      <c r="B1060" s="16" t="n"/>
      <c r="K1060" s="16" t="n"/>
      <c r="O1060" s="16" t="n"/>
      <c r="P1060" s="16" t="n"/>
      <c r="Q1060" s="16" t="n"/>
      <c r="R1060" s="16" t="n"/>
    </row>
    <row r="1061" ht="15" customHeight="1" s="12">
      <c r="B1061" s="16" t="n"/>
      <c r="K1061" s="16" t="n"/>
      <c r="O1061" s="16" t="n"/>
      <c r="P1061" s="16" t="n"/>
      <c r="Q1061" s="16" t="n"/>
      <c r="R1061" s="16" t="n"/>
    </row>
    <row r="1062" ht="15" customHeight="1" s="12">
      <c r="B1062" s="16" t="n"/>
      <c r="K1062" s="16" t="n"/>
      <c r="O1062" s="16" t="n"/>
      <c r="P1062" s="16" t="n"/>
      <c r="Q1062" s="16" t="n"/>
      <c r="R1062" s="16" t="n"/>
    </row>
    <row r="1063" ht="15" customHeight="1" s="12">
      <c r="B1063" s="16" t="n"/>
      <c r="K1063" s="16" t="n"/>
      <c r="O1063" s="16" t="n"/>
      <c r="P1063" s="16" t="n"/>
      <c r="Q1063" s="16" t="n"/>
      <c r="R1063" s="16" t="n"/>
    </row>
    <row r="1064" ht="15" customHeight="1" s="12">
      <c r="B1064" s="16" t="n"/>
      <c r="K1064" s="16" t="n"/>
      <c r="O1064" s="16" t="n"/>
      <c r="P1064" s="16" t="n"/>
      <c r="Q1064" s="16" t="n"/>
      <c r="R1064" s="16" t="n"/>
    </row>
    <row r="1065" ht="15" customHeight="1" s="12">
      <c r="B1065" s="16" t="n"/>
      <c r="K1065" s="16" t="n"/>
      <c r="O1065" s="16" t="n"/>
      <c r="P1065" s="16" t="n"/>
      <c r="Q1065" s="16" t="n"/>
      <c r="R1065" s="16" t="n"/>
    </row>
    <row r="1066" ht="15" customHeight="1" s="12">
      <c r="B1066" s="16" t="n"/>
      <c r="K1066" s="16" t="n"/>
      <c r="O1066" s="16" t="n"/>
      <c r="P1066" s="16" t="n"/>
      <c r="Q1066" s="16" t="n"/>
      <c r="R1066" s="16" t="n"/>
    </row>
    <row r="1067" ht="15" customHeight="1" s="12">
      <c r="B1067" s="16" t="n"/>
      <c r="K1067" s="16" t="n"/>
      <c r="O1067" s="16" t="n"/>
      <c r="P1067" s="16" t="n"/>
      <c r="Q1067" s="16" t="n"/>
      <c r="R1067" s="16" t="n"/>
    </row>
    <row r="1068" ht="15" customHeight="1" s="12">
      <c r="B1068" s="16" t="n"/>
      <c r="K1068" s="16" t="n"/>
      <c r="O1068" s="16" t="n"/>
      <c r="P1068" s="16" t="n"/>
      <c r="Q1068" s="16" t="n"/>
      <c r="R1068" s="16" t="n"/>
    </row>
    <row r="1069" ht="15" customHeight="1" s="12">
      <c r="B1069" s="16" t="n"/>
      <c r="K1069" s="16" t="n"/>
      <c r="O1069" s="16" t="n"/>
      <c r="P1069" s="16" t="n"/>
      <c r="Q1069" s="16" t="n"/>
      <c r="R1069" s="16" t="n"/>
    </row>
    <row r="1070" ht="15" customHeight="1" s="12">
      <c r="B1070" s="16" t="n"/>
      <c r="K1070" s="16" t="n"/>
      <c r="O1070" s="16" t="n"/>
      <c r="P1070" s="16" t="n"/>
      <c r="Q1070" s="16" t="n"/>
      <c r="R1070" s="16" t="n"/>
    </row>
    <row r="1071" ht="15" customHeight="1" s="12">
      <c r="B1071" s="16" t="n"/>
      <c r="K1071" s="16" t="n"/>
      <c r="O1071" s="16" t="n"/>
      <c r="P1071" s="16" t="n"/>
      <c r="Q1071" s="16" t="n"/>
      <c r="R1071" s="16" t="n"/>
    </row>
    <row r="1072" ht="15" customHeight="1" s="12">
      <c r="B1072" s="16" t="n"/>
      <c r="K1072" s="16" t="n"/>
      <c r="O1072" s="16" t="n"/>
      <c r="P1072" s="16" t="n"/>
      <c r="Q1072" s="16" t="n"/>
      <c r="R1072" s="16" t="n"/>
    </row>
    <row r="1073" ht="15" customHeight="1" s="12">
      <c r="B1073" s="16" t="n"/>
      <c r="K1073" s="16" t="n"/>
      <c r="O1073" s="16" t="n"/>
      <c r="P1073" s="16" t="n"/>
      <c r="Q1073" s="16" t="n"/>
      <c r="R1073" s="16" t="n"/>
    </row>
    <row r="1074" ht="15" customHeight="1" s="12">
      <c r="B1074" s="16" t="n"/>
      <c r="K1074" s="16" t="n"/>
      <c r="O1074" s="16" t="n"/>
      <c r="P1074" s="16" t="n"/>
      <c r="Q1074" s="16" t="n"/>
      <c r="R1074" s="16" t="n"/>
    </row>
    <row r="1075" ht="15" customHeight="1" s="12">
      <c r="B1075" s="16" t="n"/>
      <c r="K1075" s="16" t="n"/>
      <c r="O1075" s="16" t="n"/>
      <c r="P1075" s="16" t="n"/>
      <c r="Q1075" s="16" t="n"/>
      <c r="R1075" s="16" t="n"/>
    </row>
    <row r="1076" ht="15" customHeight="1" s="12">
      <c r="B1076" s="16" t="n"/>
      <c r="K1076" s="16" t="n"/>
      <c r="O1076" s="16" t="n"/>
      <c r="P1076" s="16" t="n"/>
      <c r="Q1076" s="16" t="n"/>
      <c r="R1076" s="16" t="n"/>
    </row>
    <row r="1077" ht="15" customHeight="1" s="12">
      <c r="B1077" s="16" t="n"/>
      <c r="K1077" s="16" t="n"/>
      <c r="O1077" s="16" t="n"/>
      <c r="P1077" s="16" t="n"/>
      <c r="Q1077" s="16" t="n"/>
      <c r="R1077" s="16" t="n"/>
    </row>
    <row r="1078" ht="15" customHeight="1" s="12">
      <c r="B1078" s="16" t="n"/>
      <c r="K1078" s="16" t="n"/>
      <c r="O1078" s="16" t="n"/>
      <c r="P1078" s="16" t="n"/>
      <c r="Q1078" s="16" t="n"/>
      <c r="R1078" s="16" t="n"/>
    </row>
    <row r="1079" ht="15" customHeight="1" s="12">
      <c r="B1079" s="16" t="n"/>
      <c r="K1079" s="16" t="n"/>
      <c r="O1079" s="16" t="n"/>
      <c r="P1079" s="16" t="n"/>
      <c r="Q1079" s="16" t="n"/>
      <c r="R1079" s="16" t="n"/>
    </row>
    <row r="1080" ht="15" customHeight="1" s="12">
      <c r="B1080" s="16" t="n"/>
      <c r="K1080" s="16" t="n"/>
      <c r="O1080" s="16" t="n"/>
      <c r="P1080" s="16" t="n"/>
      <c r="Q1080" s="16" t="n"/>
      <c r="R1080" s="16" t="n"/>
    </row>
    <row r="1081" ht="15" customHeight="1" s="12">
      <c r="B1081" s="16" t="n"/>
      <c r="K1081" s="16" t="n"/>
      <c r="O1081" s="16" t="n"/>
      <c r="P1081" s="16" t="n"/>
      <c r="Q1081" s="16" t="n"/>
      <c r="R1081" s="16" t="n"/>
    </row>
    <row r="1082" ht="15" customHeight="1" s="12">
      <c r="B1082" s="16" t="n"/>
      <c r="K1082" s="16" t="n"/>
      <c r="O1082" s="16" t="n"/>
      <c r="P1082" s="16" t="n"/>
      <c r="Q1082" s="16" t="n"/>
      <c r="R1082" s="16" t="n"/>
    </row>
    <row r="1083" ht="15" customHeight="1" s="12">
      <c r="B1083" s="16" t="n"/>
      <c r="K1083" s="16" t="n"/>
      <c r="O1083" s="16" t="n"/>
      <c r="P1083" s="16" t="n"/>
      <c r="Q1083" s="16" t="n"/>
      <c r="R1083" s="16" t="n"/>
    </row>
    <row r="1084" ht="15" customHeight="1" s="12">
      <c r="B1084" s="16" t="n"/>
      <c r="K1084" s="16" t="n"/>
      <c r="O1084" s="16" t="n"/>
      <c r="P1084" s="16" t="n"/>
      <c r="Q1084" s="16" t="n"/>
      <c r="R1084" s="16" t="n"/>
    </row>
    <row r="1085" ht="15" customHeight="1" s="12">
      <c r="B1085" s="16" t="n"/>
      <c r="K1085" s="16" t="n"/>
      <c r="O1085" s="16" t="n"/>
      <c r="P1085" s="16" t="n"/>
      <c r="Q1085" s="16" t="n"/>
      <c r="R1085" s="16" t="n"/>
    </row>
    <row r="1086" ht="15" customHeight="1" s="12">
      <c r="B1086" s="16" t="n"/>
      <c r="K1086" s="16" t="n"/>
      <c r="O1086" s="16" t="n"/>
      <c r="P1086" s="16" t="n"/>
      <c r="Q1086" s="16" t="n"/>
      <c r="R1086" s="16" t="n"/>
    </row>
    <row r="1087" ht="15" customHeight="1" s="12">
      <c r="B1087" s="16" t="n"/>
      <c r="K1087" s="16" t="n"/>
      <c r="O1087" s="16" t="n"/>
      <c r="P1087" s="16" t="n"/>
      <c r="Q1087" s="16" t="n"/>
      <c r="R1087" s="16" t="n"/>
    </row>
    <row r="1088" ht="15" customHeight="1" s="12">
      <c r="B1088" s="16" t="n"/>
      <c r="K1088" s="16" t="n"/>
      <c r="O1088" s="16" t="n"/>
      <c r="P1088" s="16" t="n"/>
      <c r="Q1088" s="16" t="n"/>
      <c r="R1088" s="16" t="n"/>
    </row>
    <row r="1089" ht="15" customHeight="1" s="12">
      <c r="B1089" s="16" t="n"/>
      <c r="K1089" s="16" t="n"/>
      <c r="O1089" s="16" t="n"/>
      <c r="P1089" s="16" t="n"/>
      <c r="Q1089" s="16" t="n"/>
      <c r="R1089" s="16" t="n"/>
    </row>
    <row r="1090" ht="15" customHeight="1" s="12">
      <c r="B1090" s="16" t="n"/>
      <c r="K1090" s="16" t="n"/>
      <c r="O1090" s="16" t="n"/>
      <c r="P1090" s="16" t="n"/>
      <c r="Q1090" s="16" t="n"/>
      <c r="R1090" s="16" t="n"/>
    </row>
    <row r="1091" ht="15" customHeight="1" s="12">
      <c r="B1091" s="16" t="n"/>
      <c r="K1091" s="16" t="n"/>
      <c r="O1091" s="16" t="n"/>
      <c r="P1091" s="16" t="n"/>
      <c r="Q1091" s="16" t="n"/>
      <c r="R1091" s="16" t="n"/>
    </row>
    <row r="1092" ht="15" customHeight="1" s="12">
      <c r="B1092" s="16" t="n"/>
      <c r="K1092" s="16" t="n"/>
      <c r="O1092" s="16" t="n"/>
      <c r="P1092" s="16" t="n"/>
      <c r="Q1092" s="16" t="n"/>
      <c r="R1092" s="16" t="n"/>
    </row>
    <row r="1093" ht="15" customHeight="1" s="12">
      <c r="B1093" s="16" t="n"/>
      <c r="K1093" s="16" t="n"/>
      <c r="O1093" s="16" t="n"/>
      <c r="P1093" s="16" t="n"/>
      <c r="Q1093" s="16" t="n"/>
      <c r="R1093" s="16" t="n"/>
    </row>
    <row r="1094" ht="15" customHeight="1" s="12">
      <c r="B1094" s="16" t="n"/>
      <c r="K1094" s="16" t="n"/>
      <c r="O1094" s="16" t="n"/>
      <c r="P1094" s="16" t="n"/>
      <c r="Q1094" s="16" t="n"/>
      <c r="R1094" s="16" t="n"/>
    </row>
    <row r="1095" ht="15" customHeight="1" s="12">
      <c r="B1095" s="16" t="n"/>
      <c r="K1095" s="16" t="n"/>
      <c r="O1095" s="16" t="n"/>
      <c r="P1095" s="16" t="n"/>
      <c r="Q1095" s="16" t="n"/>
      <c r="R1095" s="16" t="n"/>
    </row>
    <row r="1096" ht="15" customHeight="1" s="12">
      <c r="B1096" s="16" t="n"/>
      <c r="K1096" s="16" t="n"/>
      <c r="O1096" s="16" t="n"/>
      <c r="P1096" s="16" t="n"/>
      <c r="Q1096" s="16" t="n"/>
      <c r="R1096" s="16" t="n"/>
    </row>
    <row r="1097" ht="15" customHeight="1" s="12">
      <c r="B1097" s="16" t="n"/>
      <c r="K1097" s="16" t="n"/>
      <c r="O1097" s="16" t="n"/>
      <c r="P1097" s="16" t="n"/>
      <c r="Q1097" s="16" t="n"/>
      <c r="R1097" s="16" t="n"/>
    </row>
    <row r="1098" ht="15" customHeight="1" s="12">
      <c r="B1098" s="16" t="n"/>
      <c r="K1098" s="16" t="n"/>
      <c r="O1098" s="16" t="n"/>
      <c r="P1098" s="16" t="n"/>
      <c r="Q1098" s="16" t="n"/>
      <c r="R1098" s="16" t="n"/>
    </row>
    <row r="1099" ht="15" customHeight="1" s="12">
      <c r="B1099" s="16" t="n"/>
      <c r="K1099" s="16" t="n"/>
      <c r="O1099" s="16" t="n"/>
      <c r="P1099" s="16" t="n"/>
      <c r="Q1099" s="16" t="n"/>
      <c r="R1099" s="16" t="n"/>
    </row>
    <row r="1100" ht="15" customHeight="1" s="12">
      <c r="B1100" s="16" t="n"/>
      <c r="K1100" s="16" t="n"/>
      <c r="O1100" s="16" t="n"/>
      <c r="P1100" s="16" t="n"/>
      <c r="Q1100" s="16" t="n"/>
      <c r="R1100" s="16" t="n"/>
    </row>
    <row r="1101" ht="15" customHeight="1" s="12">
      <c r="B1101" s="16" t="n"/>
      <c r="K1101" s="16" t="n"/>
      <c r="O1101" s="16" t="n"/>
      <c r="P1101" s="16" t="n"/>
      <c r="Q1101" s="16" t="n"/>
      <c r="R1101" s="16" t="n"/>
    </row>
    <row r="1102" ht="15" customHeight="1" s="12">
      <c r="B1102" s="16" t="n"/>
      <c r="K1102" s="16" t="n"/>
      <c r="O1102" s="16" t="n"/>
      <c r="P1102" s="16" t="n"/>
      <c r="Q1102" s="16" t="n"/>
      <c r="R1102" s="16" t="n"/>
    </row>
    <row r="1103" ht="15" customHeight="1" s="12">
      <c r="B1103" s="16" t="n"/>
      <c r="K1103" s="16" t="n"/>
      <c r="O1103" s="16" t="n"/>
      <c r="P1103" s="16" t="n"/>
      <c r="Q1103" s="16" t="n"/>
      <c r="R1103" s="16" t="n"/>
    </row>
    <row r="1104" ht="15" customHeight="1" s="12">
      <c r="B1104" s="16" t="n"/>
      <c r="K1104" s="16" t="n"/>
      <c r="O1104" s="16" t="n"/>
      <c r="P1104" s="16" t="n"/>
      <c r="Q1104" s="16" t="n"/>
      <c r="R1104" s="16" t="n"/>
    </row>
    <row r="1105" ht="15" customHeight="1" s="12">
      <c r="B1105" s="16" t="n"/>
      <c r="K1105" s="16" t="n"/>
      <c r="O1105" s="16" t="n"/>
      <c r="P1105" s="16" t="n"/>
      <c r="Q1105" s="16" t="n"/>
      <c r="R1105" s="16" t="n"/>
    </row>
    <row r="1106" ht="15" customHeight="1" s="12">
      <c r="B1106" s="16" t="n"/>
      <c r="K1106" s="16" t="n"/>
      <c r="O1106" s="16" t="n"/>
      <c r="P1106" s="16" t="n"/>
      <c r="Q1106" s="16" t="n"/>
      <c r="R1106" s="16" t="n"/>
    </row>
    <row r="1107" ht="15" customHeight="1" s="12">
      <c r="B1107" s="16" t="n"/>
      <c r="K1107" s="16" t="n"/>
      <c r="O1107" s="16" t="n"/>
      <c r="P1107" s="16" t="n"/>
      <c r="Q1107" s="16" t="n"/>
      <c r="R1107" s="16" t="n"/>
    </row>
    <row r="1108" ht="15" customHeight="1" s="12">
      <c r="B1108" s="16" t="n"/>
      <c r="K1108" s="16" t="n"/>
      <c r="O1108" s="16" t="n"/>
      <c r="P1108" s="16" t="n"/>
      <c r="Q1108" s="16" t="n"/>
      <c r="R1108" s="16" t="n"/>
    </row>
    <row r="1109" ht="15" customHeight="1" s="12">
      <c r="B1109" s="16" t="n"/>
      <c r="K1109" s="16" t="n"/>
      <c r="O1109" s="16" t="n"/>
      <c r="P1109" s="16" t="n"/>
      <c r="Q1109" s="16" t="n"/>
      <c r="R1109" s="16" t="n"/>
    </row>
    <row r="1110" ht="15" customHeight="1" s="12">
      <c r="B1110" s="16" t="n"/>
      <c r="K1110" s="16" t="n"/>
      <c r="O1110" s="16" t="n"/>
      <c r="P1110" s="16" t="n"/>
      <c r="Q1110" s="16" t="n"/>
      <c r="R1110" s="16" t="n"/>
    </row>
    <row r="1111" ht="15" customHeight="1" s="12">
      <c r="B1111" s="16" t="n"/>
      <c r="K1111" s="16" t="n"/>
      <c r="O1111" s="16" t="n"/>
      <c r="P1111" s="16" t="n"/>
      <c r="Q1111" s="16" t="n"/>
      <c r="R1111" s="16" t="n"/>
    </row>
    <row r="1112" ht="15" customHeight="1" s="12">
      <c r="B1112" s="16" t="n"/>
      <c r="K1112" s="16" t="n"/>
      <c r="O1112" s="16" t="n"/>
      <c r="P1112" s="16" t="n"/>
      <c r="Q1112" s="16" t="n"/>
      <c r="R1112" s="16" t="n"/>
    </row>
    <row r="1113" ht="15" customHeight="1" s="12">
      <c r="B1113" s="16" t="n"/>
      <c r="K1113" s="16" t="n"/>
      <c r="O1113" s="16" t="n"/>
      <c r="P1113" s="16" t="n"/>
      <c r="Q1113" s="16" t="n"/>
      <c r="R1113" s="16" t="n"/>
    </row>
    <row r="1114" ht="15" customHeight="1" s="12">
      <c r="B1114" s="16" t="n"/>
      <c r="K1114" s="16" t="n"/>
      <c r="O1114" s="16" t="n"/>
      <c r="P1114" s="16" t="n"/>
      <c r="Q1114" s="16" t="n"/>
      <c r="R1114" s="16" t="n"/>
    </row>
    <row r="1115" ht="15" customHeight="1" s="12">
      <c r="B1115" s="16" t="n"/>
      <c r="K1115" s="16" t="n"/>
      <c r="O1115" s="16" t="n"/>
      <c r="P1115" s="16" t="n"/>
      <c r="Q1115" s="16" t="n"/>
      <c r="R1115" s="16" t="n"/>
    </row>
    <row r="1116" ht="15" customHeight="1" s="12">
      <c r="B1116" s="16" t="n"/>
      <c r="K1116" s="16" t="n"/>
      <c r="O1116" s="16" t="n"/>
      <c r="P1116" s="16" t="n"/>
      <c r="Q1116" s="16" t="n"/>
      <c r="R1116" s="16" t="n"/>
    </row>
    <row r="1117" ht="15" customHeight="1" s="12">
      <c r="B1117" s="16" t="n"/>
      <c r="K1117" s="16" t="n"/>
      <c r="O1117" s="16" t="n"/>
      <c r="P1117" s="16" t="n"/>
      <c r="Q1117" s="16" t="n"/>
      <c r="R1117" s="16" t="n"/>
    </row>
    <row r="1118" ht="15" customHeight="1" s="12">
      <c r="B1118" s="16" t="n"/>
      <c r="K1118" s="16" t="n"/>
      <c r="O1118" s="16" t="n"/>
      <c r="P1118" s="16" t="n"/>
      <c r="Q1118" s="16" t="n"/>
      <c r="R1118" s="16" t="n"/>
    </row>
    <row r="1119" ht="15" customHeight="1" s="12">
      <c r="B1119" s="16" t="n"/>
      <c r="K1119" s="16" t="n"/>
      <c r="O1119" s="16" t="n"/>
      <c r="P1119" s="16" t="n"/>
      <c r="Q1119" s="16" t="n"/>
      <c r="R1119" s="16" t="n"/>
    </row>
    <row r="1120" ht="15" customHeight="1" s="12">
      <c r="B1120" s="16" t="n"/>
      <c r="K1120" s="16" t="n"/>
      <c r="O1120" s="16" t="n"/>
      <c r="P1120" s="16" t="n"/>
      <c r="Q1120" s="16" t="n"/>
      <c r="R1120" s="16" t="n"/>
    </row>
    <row r="1121" ht="15" customHeight="1" s="12">
      <c r="B1121" s="16" t="n"/>
      <c r="K1121" s="16" t="n"/>
      <c r="O1121" s="16" t="n"/>
      <c r="P1121" s="16" t="n"/>
      <c r="Q1121" s="16" t="n"/>
      <c r="R1121" s="16" t="n"/>
    </row>
    <row r="1122" ht="15" customHeight="1" s="12">
      <c r="B1122" s="16" t="n"/>
      <c r="K1122" s="16" t="n"/>
      <c r="O1122" s="16" t="n"/>
      <c r="P1122" s="16" t="n"/>
      <c r="Q1122" s="16" t="n"/>
      <c r="R1122" s="16" t="n"/>
    </row>
    <row r="1123" ht="15" customHeight="1" s="12">
      <c r="B1123" s="16" t="n"/>
      <c r="K1123" s="16" t="n"/>
      <c r="O1123" s="16" t="n"/>
      <c r="P1123" s="16" t="n"/>
      <c r="Q1123" s="16" t="n"/>
      <c r="R1123" s="16" t="n"/>
    </row>
    <row r="1124" ht="15" customHeight="1" s="12">
      <c r="B1124" s="16" t="n"/>
      <c r="K1124" s="16" t="n"/>
      <c r="O1124" s="16" t="n"/>
      <c r="P1124" s="16" t="n"/>
      <c r="Q1124" s="16" t="n"/>
      <c r="R1124" s="16" t="n"/>
    </row>
    <row r="1125" ht="15" customHeight="1" s="12">
      <c r="B1125" s="16" t="n"/>
      <c r="K1125" s="16" t="n"/>
      <c r="O1125" s="16" t="n"/>
      <c r="P1125" s="16" t="n"/>
      <c r="Q1125" s="16" t="n"/>
      <c r="R1125" s="16" t="n"/>
    </row>
    <row r="1126" ht="15" customHeight="1" s="12">
      <c r="B1126" s="16" t="n"/>
      <c r="K1126" s="16" t="n"/>
      <c r="O1126" s="16" t="n"/>
      <c r="P1126" s="16" t="n"/>
      <c r="Q1126" s="16" t="n"/>
      <c r="R1126" s="16" t="n"/>
    </row>
    <row r="1127" ht="15" customHeight="1" s="12">
      <c r="B1127" s="16" t="n"/>
      <c r="K1127" s="16" t="n"/>
      <c r="O1127" s="16" t="n"/>
      <c r="P1127" s="16" t="n"/>
      <c r="Q1127" s="16" t="n"/>
      <c r="R1127" s="16" t="n"/>
    </row>
    <row r="1128" ht="15" customHeight="1" s="12">
      <c r="B1128" s="16" t="n"/>
      <c r="K1128" s="16" t="n"/>
      <c r="O1128" s="16" t="n"/>
      <c r="P1128" s="16" t="n"/>
      <c r="Q1128" s="16" t="n"/>
      <c r="R1128" s="16" t="n"/>
    </row>
    <row r="1129" ht="15" customHeight="1" s="12">
      <c r="B1129" s="16" t="n"/>
      <c r="K1129" s="16" t="n"/>
      <c r="O1129" s="16" t="n"/>
      <c r="P1129" s="16" t="n"/>
      <c r="Q1129" s="16" t="n"/>
      <c r="R1129" s="16" t="n"/>
    </row>
    <row r="1130" ht="15" customHeight="1" s="12">
      <c r="B1130" s="16" t="n"/>
      <c r="K1130" s="16" t="n"/>
      <c r="O1130" s="16" t="n"/>
      <c r="P1130" s="16" t="n"/>
      <c r="Q1130" s="16" t="n"/>
      <c r="R1130" s="16" t="n"/>
    </row>
    <row r="1131" ht="15" customHeight="1" s="12">
      <c r="B1131" s="16" t="n"/>
      <c r="K1131" s="16" t="n"/>
      <c r="O1131" s="16" t="n"/>
      <c r="P1131" s="16" t="n"/>
      <c r="Q1131" s="16" t="n"/>
      <c r="R1131" s="16" t="n"/>
    </row>
    <row r="1132" ht="15" customHeight="1" s="12">
      <c r="B1132" s="16" t="n"/>
      <c r="K1132" s="16" t="n"/>
      <c r="O1132" s="16" t="n"/>
      <c r="P1132" s="16" t="n"/>
      <c r="Q1132" s="16" t="n"/>
      <c r="R1132" s="16" t="n"/>
    </row>
    <row r="1133" ht="15" customHeight="1" s="12">
      <c r="B1133" s="16" t="n"/>
      <c r="K1133" s="16" t="n"/>
      <c r="O1133" s="16" t="n"/>
      <c r="P1133" s="16" t="n"/>
      <c r="Q1133" s="16" t="n"/>
      <c r="R1133" s="16" t="n"/>
    </row>
    <row r="1134" ht="15" customHeight="1" s="12">
      <c r="B1134" s="16" t="n"/>
      <c r="K1134" s="16" t="n"/>
      <c r="O1134" s="16" t="n"/>
      <c r="P1134" s="16" t="n"/>
      <c r="Q1134" s="16" t="n"/>
      <c r="R1134" s="16" t="n"/>
    </row>
    <row r="1135" ht="15" customHeight="1" s="12">
      <c r="B1135" s="16" t="n"/>
      <c r="K1135" s="16" t="n"/>
      <c r="O1135" s="16" t="n"/>
      <c r="P1135" s="16" t="n"/>
      <c r="Q1135" s="16" t="n"/>
      <c r="R1135" s="16" t="n"/>
    </row>
    <row r="1136" ht="15" customHeight="1" s="12">
      <c r="B1136" s="16" t="n"/>
      <c r="K1136" s="16" t="n"/>
      <c r="O1136" s="16" t="n"/>
      <c r="P1136" s="16" t="n"/>
      <c r="Q1136" s="16" t="n"/>
      <c r="R1136" s="16" t="n"/>
    </row>
    <row r="1137" ht="15" customHeight="1" s="12">
      <c r="B1137" s="16" t="n"/>
      <c r="K1137" s="16" t="n"/>
      <c r="O1137" s="16" t="n"/>
      <c r="P1137" s="16" t="n"/>
      <c r="Q1137" s="16" t="n"/>
      <c r="R1137" s="16" t="n"/>
    </row>
    <row r="1138" ht="15" customHeight="1" s="12">
      <c r="B1138" s="16" t="n"/>
      <c r="K1138" s="16" t="n"/>
      <c r="O1138" s="16" t="n"/>
      <c r="P1138" s="16" t="n"/>
      <c r="Q1138" s="16" t="n"/>
      <c r="R1138" s="16" t="n"/>
    </row>
    <row r="1139" ht="15" customHeight="1" s="12">
      <c r="B1139" s="16" t="n"/>
      <c r="K1139" s="16" t="n"/>
      <c r="O1139" s="16" t="n"/>
      <c r="P1139" s="16" t="n"/>
      <c r="Q1139" s="16" t="n"/>
      <c r="R1139" s="16" t="n"/>
    </row>
    <row r="1140" ht="15" customHeight="1" s="12">
      <c r="B1140" s="16" t="n"/>
      <c r="K1140" s="16" t="n"/>
      <c r="O1140" s="16" t="n"/>
      <c r="P1140" s="16" t="n"/>
      <c r="Q1140" s="16" t="n"/>
      <c r="R1140" s="16" t="n"/>
    </row>
    <row r="1141" ht="15" customHeight="1" s="12">
      <c r="B1141" s="16" t="n"/>
      <c r="K1141" s="16" t="n"/>
      <c r="O1141" s="16" t="n"/>
      <c r="P1141" s="16" t="n"/>
      <c r="Q1141" s="16" t="n"/>
      <c r="R1141" s="16" t="n"/>
    </row>
    <row r="1142" ht="15" customHeight="1" s="12">
      <c r="B1142" s="16" t="n"/>
      <c r="K1142" s="16" t="n"/>
      <c r="O1142" s="16" t="n"/>
      <c r="P1142" s="16" t="n"/>
      <c r="Q1142" s="16" t="n"/>
      <c r="R1142" s="16" t="n"/>
    </row>
    <row r="1143" ht="15" customHeight="1" s="12">
      <c r="B1143" s="16" t="n"/>
      <c r="K1143" s="16" t="n"/>
      <c r="O1143" s="16" t="n"/>
      <c r="P1143" s="16" t="n"/>
      <c r="Q1143" s="16" t="n"/>
      <c r="R1143" s="16" t="n"/>
    </row>
    <row r="1144" ht="15" customHeight="1" s="12">
      <c r="B1144" s="16" t="n"/>
      <c r="K1144" s="16" t="n"/>
      <c r="O1144" s="16" t="n"/>
      <c r="P1144" s="16" t="n"/>
      <c r="Q1144" s="16" t="n"/>
      <c r="R1144" s="16" t="n"/>
    </row>
    <row r="1145" ht="15" customHeight="1" s="12">
      <c r="B1145" s="16" t="n"/>
      <c r="K1145" s="16" t="n"/>
      <c r="O1145" s="16" t="n"/>
      <c r="P1145" s="16" t="n"/>
      <c r="Q1145" s="16" t="n"/>
      <c r="R1145" s="16" t="n"/>
    </row>
    <row r="1146" ht="15" customHeight="1" s="12">
      <c r="B1146" s="16" t="n"/>
      <c r="K1146" s="16" t="n"/>
      <c r="O1146" s="16" t="n"/>
      <c r="P1146" s="16" t="n"/>
      <c r="Q1146" s="16" t="n"/>
      <c r="R1146" s="16" t="n"/>
    </row>
    <row r="1147" ht="15" customHeight="1" s="12">
      <c r="B1147" s="16" t="n"/>
      <c r="K1147" s="16" t="n"/>
      <c r="O1147" s="16" t="n"/>
      <c r="P1147" s="16" t="n"/>
      <c r="Q1147" s="16" t="n"/>
      <c r="R1147" s="16" t="n"/>
    </row>
    <row r="1148" ht="15" customHeight="1" s="12">
      <c r="B1148" s="16" t="n"/>
      <c r="K1148" s="16" t="n"/>
      <c r="O1148" s="16" t="n"/>
      <c r="P1148" s="16" t="n"/>
      <c r="Q1148" s="16" t="n"/>
      <c r="R1148" s="16" t="n"/>
    </row>
    <row r="1149" ht="15" customHeight="1" s="12">
      <c r="B1149" s="16" t="n"/>
      <c r="K1149" s="16" t="n"/>
      <c r="O1149" s="16" t="n"/>
      <c r="P1149" s="16" t="n"/>
      <c r="Q1149" s="16" t="n"/>
      <c r="R1149" s="16" t="n"/>
    </row>
    <row r="1150" ht="15" customHeight="1" s="12">
      <c r="B1150" s="16" t="n"/>
      <c r="K1150" s="16" t="n"/>
      <c r="O1150" s="16" t="n"/>
      <c r="P1150" s="16" t="n"/>
      <c r="Q1150" s="16" t="n"/>
      <c r="R1150" s="16" t="n"/>
    </row>
    <row r="1151" ht="15" customHeight="1" s="12">
      <c r="B1151" s="16" t="n"/>
      <c r="K1151" s="16" t="n"/>
      <c r="O1151" s="16" t="n"/>
      <c r="P1151" s="16" t="n"/>
      <c r="Q1151" s="16" t="n"/>
      <c r="R1151" s="16" t="n"/>
    </row>
    <row r="1152" ht="15" customHeight="1" s="12">
      <c r="B1152" s="16" t="n"/>
      <c r="K1152" s="16" t="n"/>
      <c r="O1152" s="16" t="n"/>
      <c r="P1152" s="16" t="n"/>
      <c r="Q1152" s="16" t="n"/>
      <c r="R1152" s="16" t="n"/>
    </row>
    <row r="1153" ht="15" customHeight="1" s="12">
      <c r="B1153" s="16" t="n"/>
      <c r="K1153" s="16" t="n"/>
      <c r="O1153" s="16" t="n"/>
      <c r="P1153" s="16" t="n"/>
      <c r="Q1153" s="16" t="n"/>
      <c r="R1153" s="16" t="n"/>
    </row>
    <row r="1154" ht="15" customHeight="1" s="12">
      <c r="B1154" s="16" t="n"/>
      <c r="K1154" s="16" t="n"/>
      <c r="O1154" s="16" t="n"/>
      <c r="P1154" s="16" t="n"/>
      <c r="Q1154" s="16" t="n"/>
      <c r="R1154" s="16" t="n"/>
    </row>
    <row r="1155" ht="15" customHeight="1" s="12">
      <c r="B1155" s="16" t="n"/>
      <c r="K1155" s="16" t="n"/>
      <c r="O1155" s="16" t="n"/>
      <c r="P1155" s="16" t="n"/>
      <c r="Q1155" s="16" t="n"/>
      <c r="R1155" s="16" t="n"/>
    </row>
    <row r="1156" ht="15" customHeight="1" s="12">
      <c r="B1156" s="16" t="n"/>
      <c r="K1156" s="16" t="n"/>
      <c r="O1156" s="16" t="n"/>
      <c r="P1156" s="16" t="n"/>
      <c r="Q1156" s="16" t="n"/>
      <c r="R1156" s="16" t="n"/>
    </row>
    <row r="1157" ht="15" customHeight="1" s="12">
      <c r="B1157" s="16" t="n"/>
      <c r="K1157" s="16" t="n"/>
      <c r="O1157" s="16" t="n"/>
      <c r="P1157" s="16" t="n"/>
      <c r="Q1157" s="16" t="n"/>
      <c r="R1157" s="16" t="n"/>
    </row>
    <row r="1158" ht="15" customHeight="1" s="12">
      <c r="B1158" s="16" t="n"/>
      <c r="K1158" s="16" t="n"/>
      <c r="O1158" s="16" t="n"/>
      <c r="P1158" s="16" t="n"/>
      <c r="Q1158" s="16" t="n"/>
      <c r="R1158" s="16" t="n"/>
    </row>
    <row r="1159" ht="15" customHeight="1" s="12">
      <c r="B1159" s="16" t="n"/>
      <c r="K1159" s="16" t="n"/>
      <c r="O1159" s="16" t="n"/>
      <c r="P1159" s="16" t="n"/>
      <c r="Q1159" s="16" t="n"/>
      <c r="R1159" s="16" t="n"/>
    </row>
    <row r="1160" ht="15" customHeight="1" s="12">
      <c r="B1160" s="16" t="n"/>
      <c r="K1160" s="16" t="n"/>
      <c r="O1160" s="16" t="n"/>
      <c r="P1160" s="16" t="n"/>
      <c r="Q1160" s="16" t="n"/>
      <c r="R1160" s="16" t="n"/>
    </row>
    <row r="1161" ht="15" customHeight="1" s="12">
      <c r="B1161" s="16" t="n"/>
      <c r="K1161" s="16" t="n"/>
      <c r="O1161" s="16" t="n"/>
      <c r="P1161" s="16" t="n"/>
      <c r="Q1161" s="16" t="n"/>
      <c r="R1161" s="16" t="n"/>
    </row>
    <row r="1162" ht="15" customHeight="1" s="12">
      <c r="B1162" s="16" t="n"/>
      <c r="K1162" s="16" t="n"/>
      <c r="O1162" s="16" t="n"/>
      <c r="P1162" s="16" t="n"/>
      <c r="Q1162" s="16" t="n"/>
      <c r="R1162" s="16" t="n"/>
    </row>
    <row r="1163" ht="15" customHeight="1" s="12">
      <c r="B1163" s="16" t="n"/>
      <c r="K1163" s="16" t="n"/>
      <c r="O1163" s="16" t="n"/>
      <c r="P1163" s="16" t="n"/>
      <c r="Q1163" s="16" t="n"/>
      <c r="R1163" s="16" t="n"/>
    </row>
    <row r="1164" ht="15" customHeight="1" s="12">
      <c r="B1164" s="16" t="n"/>
      <c r="K1164" s="16" t="n"/>
      <c r="O1164" s="16" t="n"/>
      <c r="P1164" s="16" t="n"/>
      <c r="Q1164" s="16" t="n"/>
      <c r="R1164" s="16" t="n"/>
    </row>
    <row r="1165" ht="15" customHeight="1" s="12">
      <c r="B1165" s="16" t="n"/>
      <c r="K1165" s="16" t="n"/>
      <c r="O1165" s="16" t="n"/>
      <c r="P1165" s="16" t="n"/>
      <c r="Q1165" s="16" t="n"/>
      <c r="R1165" s="16" t="n"/>
    </row>
    <row r="1166" ht="15" customHeight="1" s="12">
      <c r="B1166" s="16" t="n"/>
      <c r="K1166" s="16" t="n"/>
      <c r="O1166" s="16" t="n"/>
      <c r="P1166" s="16" t="n"/>
      <c r="Q1166" s="16" t="n"/>
      <c r="R1166" s="16" t="n"/>
    </row>
    <row r="1167" ht="15" customHeight="1" s="12">
      <c r="B1167" s="16" t="n"/>
      <c r="K1167" s="16" t="n"/>
      <c r="O1167" s="16" t="n"/>
      <c r="P1167" s="16" t="n"/>
      <c r="Q1167" s="16" t="n"/>
      <c r="R1167" s="16" t="n"/>
    </row>
    <row r="1168" ht="15" customHeight="1" s="12">
      <c r="B1168" s="16" t="n"/>
      <c r="K1168" s="16" t="n"/>
      <c r="O1168" s="16" t="n"/>
      <c r="P1168" s="16" t="n"/>
      <c r="Q1168" s="16" t="n"/>
      <c r="R1168" s="16" t="n"/>
    </row>
    <row r="1169" ht="15" customHeight="1" s="12">
      <c r="B1169" s="16" t="n"/>
      <c r="K1169" s="16" t="n"/>
      <c r="O1169" s="16" t="n"/>
      <c r="P1169" s="16" t="n"/>
      <c r="Q1169" s="16" t="n"/>
      <c r="R1169" s="16" t="n"/>
    </row>
    <row r="1170" ht="15" customHeight="1" s="12">
      <c r="B1170" s="16" t="n"/>
      <c r="K1170" s="16" t="n"/>
      <c r="O1170" s="16" t="n"/>
      <c r="P1170" s="16" t="n"/>
      <c r="Q1170" s="16" t="n"/>
      <c r="R1170" s="16" t="n"/>
    </row>
    <row r="1171" ht="15" customHeight="1" s="12">
      <c r="B1171" s="16" t="n"/>
      <c r="K1171" s="16" t="n"/>
      <c r="O1171" s="16" t="n"/>
      <c r="P1171" s="16" t="n"/>
      <c r="Q1171" s="16" t="n"/>
      <c r="R1171" s="16" t="n"/>
    </row>
    <row r="1172" ht="15" customHeight="1" s="12">
      <c r="B1172" s="16" t="n"/>
      <c r="K1172" s="16" t="n"/>
      <c r="O1172" s="16" t="n"/>
      <c r="P1172" s="16" t="n"/>
      <c r="Q1172" s="16" t="n"/>
      <c r="R1172" s="16" t="n"/>
    </row>
    <row r="1173" ht="15" customHeight="1" s="12">
      <c r="B1173" s="16" t="n"/>
      <c r="K1173" s="16" t="n"/>
      <c r="O1173" s="16" t="n"/>
      <c r="P1173" s="16" t="n"/>
      <c r="Q1173" s="16" t="n"/>
      <c r="R1173" s="16" t="n"/>
    </row>
    <row r="1174" ht="15" customHeight="1" s="12">
      <c r="B1174" s="16" t="n"/>
      <c r="K1174" s="16" t="n"/>
      <c r="O1174" s="16" t="n"/>
      <c r="P1174" s="16" t="n"/>
      <c r="Q1174" s="16" t="n"/>
      <c r="R1174" s="16" t="n"/>
    </row>
    <row r="1175" ht="15" customHeight="1" s="12">
      <c r="B1175" s="16" t="n"/>
      <c r="K1175" s="16" t="n"/>
      <c r="O1175" s="16" t="n"/>
      <c r="P1175" s="16" t="n"/>
      <c r="Q1175" s="16" t="n"/>
      <c r="R1175" s="16" t="n"/>
    </row>
    <row r="1176" ht="15" customHeight="1" s="12">
      <c r="B1176" s="16" t="n"/>
      <c r="K1176" s="16" t="n"/>
      <c r="O1176" s="16" t="n"/>
      <c r="P1176" s="16" t="n"/>
      <c r="Q1176" s="16" t="n"/>
      <c r="R1176" s="16" t="n"/>
    </row>
    <row r="1177" ht="15" customHeight="1" s="12">
      <c r="B1177" s="16" t="n"/>
      <c r="K1177" s="16" t="n"/>
      <c r="O1177" s="16" t="n"/>
      <c r="P1177" s="16" t="n"/>
      <c r="Q1177" s="16" t="n"/>
      <c r="R1177" s="16" t="n"/>
    </row>
    <row r="1178" ht="15" customHeight="1" s="12">
      <c r="B1178" s="16" t="n"/>
      <c r="K1178" s="16" t="n"/>
      <c r="O1178" s="16" t="n"/>
      <c r="P1178" s="16" t="n"/>
      <c r="Q1178" s="16" t="n"/>
      <c r="R1178" s="16" t="n"/>
    </row>
    <row r="1179" ht="15" customHeight="1" s="12">
      <c r="B1179" s="16" t="n"/>
      <c r="K1179" s="16" t="n"/>
      <c r="O1179" s="16" t="n"/>
      <c r="P1179" s="16" t="n"/>
      <c r="Q1179" s="16" t="n"/>
      <c r="R1179" s="16" t="n"/>
    </row>
    <row r="1180" ht="15" customHeight="1" s="12">
      <c r="B1180" s="16" t="n"/>
      <c r="K1180" s="16" t="n"/>
      <c r="O1180" s="16" t="n"/>
      <c r="P1180" s="16" t="n"/>
      <c r="Q1180" s="16" t="n"/>
      <c r="R1180" s="16" t="n"/>
    </row>
    <row r="1181" ht="15" customHeight="1" s="12">
      <c r="B1181" s="16" t="n"/>
      <c r="K1181" s="16" t="n"/>
      <c r="O1181" s="16" t="n"/>
      <c r="P1181" s="16" t="n"/>
      <c r="Q1181" s="16" t="n"/>
      <c r="R1181" s="16" t="n"/>
    </row>
    <row r="1182" ht="15" customHeight="1" s="12">
      <c r="B1182" s="16" t="n"/>
      <c r="K1182" s="16" t="n"/>
      <c r="O1182" s="16" t="n"/>
      <c r="P1182" s="16" t="n"/>
      <c r="Q1182" s="16" t="n"/>
      <c r="R1182" s="16" t="n"/>
    </row>
    <row r="1183" ht="15" customHeight="1" s="12">
      <c r="B1183" s="16" t="n"/>
      <c r="K1183" s="16" t="n"/>
      <c r="O1183" s="16" t="n"/>
      <c r="P1183" s="16" t="n"/>
      <c r="Q1183" s="16" t="n"/>
      <c r="R1183" s="16" t="n"/>
    </row>
    <row r="1184" ht="15" customHeight="1" s="12">
      <c r="B1184" s="16" t="n"/>
      <c r="K1184" s="16" t="n"/>
      <c r="O1184" s="16" t="n"/>
      <c r="P1184" s="16" t="n"/>
      <c r="Q1184" s="16" t="n"/>
      <c r="R1184" s="16" t="n"/>
    </row>
    <row r="1185" ht="15" customHeight="1" s="12">
      <c r="B1185" s="16" t="n"/>
      <c r="K1185" s="16" t="n"/>
      <c r="O1185" s="16" t="n"/>
      <c r="P1185" s="16" t="n"/>
      <c r="Q1185" s="16" t="n"/>
      <c r="R1185" s="16" t="n"/>
    </row>
    <row r="1186" ht="15" customHeight="1" s="12">
      <c r="B1186" s="16" t="n"/>
      <c r="K1186" s="16" t="n"/>
      <c r="O1186" s="16" t="n"/>
      <c r="P1186" s="16" t="n"/>
      <c r="Q1186" s="16" t="n"/>
      <c r="R1186" s="16" t="n"/>
    </row>
    <row r="1187" ht="15" customHeight="1" s="12">
      <c r="B1187" s="16" t="n"/>
      <c r="K1187" s="16" t="n"/>
      <c r="O1187" s="16" t="n"/>
      <c r="P1187" s="16" t="n"/>
      <c r="Q1187" s="16" t="n"/>
      <c r="R1187" s="16" t="n"/>
    </row>
    <row r="1188" ht="15" customHeight="1" s="12">
      <c r="B1188" s="16" t="n"/>
      <c r="K1188" s="16" t="n"/>
      <c r="O1188" s="16" t="n"/>
      <c r="P1188" s="16" t="n"/>
      <c r="Q1188" s="16" t="n"/>
      <c r="R1188" s="16" t="n"/>
    </row>
    <row r="1189" ht="15" customHeight="1" s="12">
      <c r="B1189" s="16" t="n"/>
      <c r="K1189" s="16" t="n"/>
      <c r="O1189" s="16" t="n"/>
      <c r="P1189" s="16" t="n"/>
      <c r="Q1189" s="16" t="n"/>
      <c r="R1189" s="16" t="n"/>
    </row>
    <row r="1190" ht="15" customHeight="1" s="12">
      <c r="B1190" s="16" t="n"/>
      <c r="K1190" s="16" t="n"/>
      <c r="O1190" s="16" t="n"/>
      <c r="P1190" s="16" t="n"/>
      <c r="Q1190" s="16" t="n"/>
      <c r="R1190" s="16" t="n"/>
    </row>
    <row r="1191" ht="15" customHeight="1" s="12">
      <c r="B1191" s="16" t="n"/>
      <c r="K1191" s="16" t="n"/>
      <c r="O1191" s="16" t="n"/>
      <c r="P1191" s="16" t="n"/>
      <c r="Q1191" s="16" t="n"/>
      <c r="R1191" s="16" t="n"/>
    </row>
    <row r="1192" ht="15" customHeight="1" s="12">
      <c r="B1192" s="16" t="n"/>
      <c r="K1192" s="16" t="n"/>
      <c r="O1192" s="16" t="n"/>
      <c r="P1192" s="16" t="n"/>
      <c r="Q1192" s="16" t="n"/>
      <c r="R1192" s="16" t="n"/>
    </row>
    <row r="1193" ht="15" customHeight="1" s="12">
      <c r="B1193" s="16" t="n"/>
      <c r="K1193" s="16" t="n"/>
      <c r="O1193" s="16" t="n"/>
      <c r="P1193" s="16" t="n"/>
      <c r="Q1193" s="16" t="n"/>
      <c r="R1193" s="16" t="n"/>
    </row>
    <row r="1194" ht="15" customHeight="1" s="12">
      <c r="B1194" s="16" t="n"/>
      <c r="K1194" s="16" t="n"/>
      <c r="O1194" s="16" t="n"/>
      <c r="P1194" s="16" t="n"/>
      <c r="Q1194" s="16" t="n"/>
      <c r="R1194" s="16" t="n"/>
    </row>
    <row r="1195" ht="15" customHeight="1" s="12">
      <c r="B1195" s="16" t="n"/>
      <c r="K1195" s="16" t="n"/>
      <c r="O1195" s="16" t="n"/>
      <c r="P1195" s="16" t="n"/>
      <c r="Q1195" s="16" t="n"/>
      <c r="R1195" s="16" t="n"/>
    </row>
    <row r="1196" ht="15" customHeight="1" s="12">
      <c r="B1196" s="16" t="n"/>
      <c r="K1196" s="16" t="n"/>
      <c r="O1196" s="16" t="n"/>
      <c r="P1196" s="16" t="n"/>
      <c r="Q1196" s="16" t="n"/>
      <c r="R1196" s="16" t="n"/>
    </row>
    <row r="1197" ht="15" customHeight="1" s="12">
      <c r="B1197" s="16" t="n"/>
      <c r="K1197" s="16" t="n"/>
      <c r="O1197" s="16" t="n"/>
      <c r="P1197" s="16" t="n"/>
      <c r="Q1197" s="16" t="n"/>
      <c r="R1197" s="16" t="n"/>
    </row>
    <row r="1198" ht="15" customHeight="1" s="12">
      <c r="B1198" s="16" t="n"/>
      <c r="K1198" s="16" t="n"/>
      <c r="O1198" s="16" t="n"/>
      <c r="P1198" s="16" t="n"/>
      <c r="Q1198" s="16" t="n"/>
      <c r="R1198" s="16" t="n"/>
    </row>
    <row r="1199" ht="15" customHeight="1" s="12">
      <c r="B1199" s="16" t="n"/>
      <c r="K1199" s="16" t="n"/>
      <c r="O1199" s="16" t="n"/>
      <c r="P1199" s="16" t="n"/>
      <c r="Q1199" s="16" t="n"/>
      <c r="R1199" s="16" t="n"/>
    </row>
    <row r="1200" ht="15" customHeight="1" s="12">
      <c r="B1200" s="16" t="n"/>
      <c r="K1200" s="16" t="n"/>
      <c r="O1200" s="16" t="n"/>
      <c r="P1200" s="16" t="n"/>
      <c r="Q1200" s="16" t="n"/>
      <c r="R1200" s="16" t="n"/>
    </row>
    <row r="1201" ht="15" customHeight="1" s="12">
      <c r="B1201" s="16" t="n"/>
      <c r="K1201" s="16" t="n"/>
      <c r="O1201" s="16" t="n"/>
      <c r="P1201" s="16" t="n"/>
      <c r="Q1201" s="16" t="n"/>
      <c r="R1201" s="16" t="n"/>
    </row>
    <row r="1202" ht="15" customHeight="1" s="12">
      <c r="B1202" s="16" t="n"/>
      <c r="K1202" s="16" t="n"/>
      <c r="O1202" s="16" t="n"/>
      <c r="P1202" s="16" t="n"/>
      <c r="Q1202" s="16" t="n"/>
      <c r="R1202" s="16" t="n"/>
    </row>
    <row r="1203" ht="15" customHeight="1" s="12">
      <c r="B1203" s="16" t="n"/>
      <c r="K1203" s="16" t="n"/>
      <c r="O1203" s="16" t="n"/>
      <c r="P1203" s="16" t="n"/>
      <c r="Q1203" s="16" t="n"/>
      <c r="R1203" s="16" t="n"/>
    </row>
    <row r="1204" ht="15" customHeight="1" s="12">
      <c r="B1204" s="16" t="n"/>
      <c r="K1204" s="16" t="n"/>
      <c r="O1204" s="16" t="n"/>
      <c r="P1204" s="16" t="n"/>
      <c r="Q1204" s="16" t="n"/>
      <c r="R1204" s="16" t="n"/>
    </row>
    <row r="1205" ht="15" customHeight="1" s="12">
      <c r="B1205" s="16" t="n"/>
      <c r="K1205" s="16" t="n"/>
      <c r="O1205" s="16" t="n"/>
      <c r="P1205" s="16" t="n"/>
      <c r="Q1205" s="16" t="n"/>
      <c r="R1205" s="16" t="n"/>
    </row>
    <row r="1206" ht="15" customHeight="1" s="12">
      <c r="B1206" s="16" t="n"/>
      <c r="K1206" s="16" t="n"/>
      <c r="O1206" s="16" t="n"/>
      <c r="P1206" s="16" t="n"/>
      <c r="Q1206" s="16" t="n"/>
      <c r="R1206" s="16" t="n"/>
    </row>
    <row r="1207" ht="15" customHeight="1" s="12">
      <c r="B1207" s="16" t="n"/>
      <c r="K1207" s="16" t="n"/>
      <c r="O1207" s="16" t="n"/>
      <c r="P1207" s="16" t="n"/>
      <c r="Q1207" s="16" t="n"/>
      <c r="R1207" s="16" t="n"/>
    </row>
    <row r="1208" ht="15" customHeight="1" s="12">
      <c r="B1208" s="16" t="n"/>
      <c r="K1208" s="16" t="n"/>
      <c r="O1208" s="16" t="n"/>
      <c r="P1208" s="16" t="n"/>
      <c r="Q1208" s="16" t="n"/>
      <c r="R1208" s="16" t="n"/>
    </row>
    <row r="1209" ht="15" customHeight="1" s="12">
      <c r="B1209" s="16" t="n"/>
      <c r="K1209" s="16" t="n"/>
      <c r="O1209" s="16" t="n"/>
      <c r="P1209" s="16" t="n"/>
      <c r="Q1209" s="16" t="n"/>
      <c r="R1209" s="16" t="n"/>
    </row>
    <row r="1210" ht="15" customHeight="1" s="12">
      <c r="B1210" s="16" t="n"/>
      <c r="K1210" s="16" t="n"/>
      <c r="O1210" s="16" t="n"/>
      <c r="P1210" s="16" t="n"/>
      <c r="Q1210" s="16" t="n"/>
      <c r="R1210" s="16" t="n"/>
    </row>
    <row r="1211" ht="15" customHeight="1" s="12">
      <c r="B1211" s="16" t="n"/>
      <c r="K1211" s="16" t="n"/>
      <c r="O1211" s="16" t="n"/>
      <c r="P1211" s="16" t="n"/>
      <c r="Q1211" s="16" t="n"/>
      <c r="R1211" s="16" t="n"/>
    </row>
    <row r="1212" ht="15" customHeight="1" s="12">
      <c r="B1212" s="16" t="n"/>
      <c r="K1212" s="16" t="n"/>
      <c r="O1212" s="16" t="n"/>
      <c r="P1212" s="16" t="n"/>
      <c r="Q1212" s="16" t="n"/>
      <c r="R1212" s="16" t="n"/>
    </row>
    <row r="1213" ht="15" customHeight="1" s="12">
      <c r="B1213" s="16" t="n"/>
      <c r="K1213" s="16" t="n"/>
      <c r="O1213" s="16" t="n"/>
      <c r="P1213" s="16" t="n"/>
      <c r="Q1213" s="16" t="n"/>
      <c r="R1213" s="16" t="n"/>
    </row>
    <row r="1214" ht="15" customHeight="1" s="12">
      <c r="B1214" s="16" t="n"/>
      <c r="K1214" s="16" t="n"/>
      <c r="O1214" s="16" t="n"/>
      <c r="P1214" s="16" t="n"/>
      <c r="Q1214" s="16" t="n"/>
      <c r="R1214" s="16" t="n"/>
    </row>
    <row r="1215" ht="15" customHeight="1" s="12">
      <c r="B1215" s="16" t="n"/>
      <c r="K1215" s="16" t="n"/>
      <c r="O1215" s="16" t="n"/>
      <c r="P1215" s="16" t="n"/>
      <c r="Q1215" s="16" t="n"/>
      <c r="R1215" s="16" t="n"/>
    </row>
    <row r="1216" ht="15" customHeight="1" s="12">
      <c r="B1216" s="16" t="n"/>
      <c r="K1216" s="16" t="n"/>
      <c r="O1216" s="16" t="n"/>
      <c r="P1216" s="16" t="n"/>
      <c r="Q1216" s="16" t="n"/>
      <c r="R1216" s="16" t="n"/>
    </row>
    <row r="1217" ht="15" customHeight="1" s="12">
      <c r="B1217" s="16" t="n"/>
      <c r="K1217" s="16" t="n"/>
      <c r="O1217" s="16" t="n"/>
      <c r="P1217" s="16" t="n"/>
      <c r="Q1217" s="16" t="n"/>
      <c r="R1217" s="16" t="n"/>
    </row>
    <row r="1218" ht="15" customHeight="1" s="12">
      <c r="B1218" s="16" t="n"/>
      <c r="K1218" s="16" t="n"/>
      <c r="O1218" s="16" t="n"/>
      <c r="P1218" s="16" t="n"/>
      <c r="Q1218" s="16" t="n"/>
      <c r="R1218" s="16" t="n"/>
    </row>
    <row r="1219" ht="15" customHeight="1" s="12">
      <c r="B1219" s="16" t="n"/>
      <c r="K1219" s="16" t="n"/>
      <c r="O1219" s="16" t="n"/>
      <c r="P1219" s="16" t="n"/>
      <c r="Q1219" s="16" t="n"/>
      <c r="R1219" s="16" t="n"/>
    </row>
    <row r="1220" ht="15" customHeight="1" s="12">
      <c r="B1220" s="16" t="n"/>
      <c r="K1220" s="16" t="n"/>
      <c r="O1220" s="16" t="n"/>
      <c r="P1220" s="16" t="n"/>
      <c r="Q1220" s="16" t="n"/>
      <c r="R1220" s="16" t="n"/>
    </row>
    <row r="1221" ht="15" customHeight="1" s="12">
      <c r="B1221" s="16" t="n"/>
      <c r="K1221" s="16" t="n"/>
      <c r="O1221" s="16" t="n"/>
      <c r="P1221" s="16" t="n"/>
      <c r="Q1221" s="16" t="n"/>
      <c r="R1221" s="16" t="n"/>
    </row>
    <row r="1222" ht="15" customHeight="1" s="12">
      <c r="B1222" s="16" t="n"/>
      <c r="K1222" s="16" t="n"/>
      <c r="O1222" s="16" t="n"/>
      <c r="P1222" s="16" t="n"/>
      <c r="Q1222" s="16" t="n"/>
      <c r="R1222" s="16" t="n"/>
    </row>
    <row r="1223" ht="15" customHeight="1" s="12">
      <c r="B1223" s="16" t="n"/>
      <c r="K1223" s="16" t="n"/>
      <c r="O1223" s="16" t="n"/>
      <c r="P1223" s="16" t="n"/>
      <c r="Q1223" s="16" t="n"/>
      <c r="R1223" s="16" t="n"/>
    </row>
    <row r="1224" ht="15" customHeight="1" s="12">
      <c r="B1224" s="16" t="n"/>
      <c r="K1224" s="16" t="n"/>
      <c r="O1224" s="16" t="n"/>
      <c r="P1224" s="16" t="n"/>
      <c r="Q1224" s="16" t="n"/>
      <c r="R1224" s="16" t="n"/>
    </row>
    <row r="1225" ht="15" customHeight="1" s="12">
      <c r="B1225" s="16" t="n"/>
      <c r="K1225" s="16" t="n"/>
      <c r="O1225" s="16" t="n"/>
      <c r="P1225" s="16" t="n"/>
      <c r="Q1225" s="16" t="n"/>
      <c r="R1225" s="16" t="n"/>
    </row>
    <row r="1226" ht="15" customHeight="1" s="12">
      <c r="B1226" s="16" t="n"/>
      <c r="K1226" s="16" t="n"/>
      <c r="O1226" s="16" t="n"/>
      <c r="P1226" s="16" t="n"/>
      <c r="Q1226" s="16" t="n"/>
      <c r="R1226" s="16" t="n"/>
    </row>
    <row r="1227" ht="15" customHeight="1" s="12">
      <c r="B1227" s="16" t="n"/>
      <c r="K1227" s="16" t="n"/>
      <c r="O1227" s="16" t="n"/>
      <c r="P1227" s="16" t="n"/>
      <c r="Q1227" s="16" t="n"/>
      <c r="R1227" s="16" t="n"/>
    </row>
    <row r="1228" ht="15" customHeight="1" s="12">
      <c r="B1228" s="16" t="n"/>
      <c r="K1228" s="16" t="n"/>
      <c r="O1228" s="16" t="n"/>
      <c r="P1228" s="16" t="n"/>
      <c r="Q1228" s="16" t="n"/>
      <c r="R1228" s="16" t="n"/>
    </row>
    <row r="1229" ht="15" customHeight="1" s="12">
      <c r="B1229" s="16" t="n"/>
      <c r="K1229" s="16" t="n"/>
      <c r="O1229" s="16" t="n"/>
      <c r="P1229" s="16" t="n"/>
      <c r="Q1229" s="16" t="n"/>
      <c r="R1229" s="16" t="n"/>
    </row>
    <row r="1230" ht="15" customHeight="1" s="12">
      <c r="B1230" s="16" t="n"/>
      <c r="K1230" s="16" t="n"/>
      <c r="O1230" s="16" t="n"/>
      <c r="P1230" s="16" t="n"/>
      <c r="Q1230" s="16" t="n"/>
      <c r="R1230" s="16" t="n"/>
    </row>
    <row r="1231" ht="15" customHeight="1" s="12">
      <c r="B1231" s="16" t="n"/>
      <c r="K1231" s="16" t="n"/>
      <c r="O1231" s="16" t="n"/>
      <c r="P1231" s="16" t="n"/>
      <c r="Q1231" s="16" t="n"/>
      <c r="R1231" s="16" t="n"/>
    </row>
    <row r="1232" ht="15" customHeight="1" s="12">
      <c r="B1232" s="16" t="n"/>
      <c r="K1232" s="16" t="n"/>
      <c r="O1232" s="16" t="n"/>
      <c r="P1232" s="16" t="n"/>
      <c r="Q1232" s="16" t="n"/>
      <c r="R1232" s="16" t="n"/>
    </row>
    <row r="1233" ht="15" customHeight="1" s="12">
      <c r="B1233" s="16" t="n"/>
      <c r="K1233" s="16" t="n"/>
      <c r="O1233" s="16" t="n"/>
      <c r="P1233" s="16" t="n"/>
      <c r="Q1233" s="16" t="n"/>
      <c r="R1233" s="16" t="n"/>
    </row>
    <row r="1234" ht="15" customHeight="1" s="12">
      <c r="B1234" s="16" t="n"/>
      <c r="K1234" s="16" t="n"/>
      <c r="O1234" s="16" t="n"/>
      <c r="P1234" s="16" t="n"/>
      <c r="Q1234" s="16" t="n"/>
      <c r="R1234" s="16" t="n"/>
    </row>
    <row r="1235" ht="15" customHeight="1" s="12">
      <c r="B1235" s="16" t="n"/>
      <c r="K1235" s="16" t="n"/>
      <c r="O1235" s="16" t="n"/>
      <c r="P1235" s="16" t="n"/>
      <c r="Q1235" s="16" t="n"/>
      <c r="R1235" s="16" t="n"/>
    </row>
    <row r="1236" ht="15" customHeight="1" s="12">
      <c r="B1236" s="16" t="n"/>
      <c r="K1236" s="16" t="n"/>
      <c r="O1236" s="16" t="n"/>
      <c r="P1236" s="16" t="n"/>
      <c r="Q1236" s="16" t="n"/>
      <c r="R1236" s="16" t="n"/>
    </row>
    <row r="1237" ht="15" customHeight="1" s="12">
      <c r="B1237" s="16" t="n"/>
      <c r="K1237" s="16" t="n"/>
      <c r="O1237" s="16" t="n"/>
      <c r="P1237" s="16" t="n"/>
      <c r="Q1237" s="16" t="n"/>
      <c r="R1237" s="16" t="n"/>
    </row>
    <row r="1238" ht="15" customHeight="1" s="12">
      <c r="B1238" s="16" t="n"/>
      <c r="K1238" s="16" t="n"/>
      <c r="O1238" s="16" t="n"/>
      <c r="P1238" s="16" t="n"/>
      <c r="Q1238" s="16" t="n"/>
      <c r="R1238" s="16" t="n"/>
    </row>
    <row r="1239" ht="15" customHeight="1" s="12">
      <c r="B1239" s="16" t="n"/>
      <c r="K1239" s="16" t="n"/>
      <c r="O1239" s="16" t="n"/>
      <c r="P1239" s="16" t="n"/>
      <c r="Q1239" s="16" t="n"/>
      <c r="R1239" s="16" t="n"/>
    </row>
    <row r="1240" ht="15" customHeight="1" s="12">
      <c r="B1240" s="16" t="n"/>
      <c r="K1240" s="16" t="n"/>
      <c r="O1240" s="16" t="n"/>
      <c r="P1240" s="16" t="n"/>
      <c r="Q1240" s="16" t="n"/>
      <c r="R1240" s="16" t="n"/>
    </row>
    <row r="1241" ht="15" customHeight="1" s="12">
      <c r="B1241" s="16" t="n"/>
      <c r="K1241" s="16" t="n"/>
      <c r="O1241" s="16" t="n"/>
      <c r="P1241" s="16" t="n"/>
      <c r="Q1241" s="16" t="n"/>
      <c r="R1241" s="16" t="n"/>
    </row>
    <row r="1242" ht="15" customHeight="1" s="12">
      <c r="B1242" s="16" t="n"/>
      <c r="K1242" s="16" t="n"/>
      <c r="O1242" s="16" t="n"/>
      <c r="P1242" s="16" t="n"/>
      <c r="Q1242" s="16" t="n"/>
      <c r="R1242" s="16" t="n"/>
    </row>
    <row r="1243" ht="15" customHeight="1" s="12">
      <c r="B1243" s="16" t="n"/>
      <c r="K1243" s="16" t="n"/>
      <c r="O1243" s="16" t="n"/>
      <c r="P1243" s="16" t="n"/>
      <c r="Q1243" s="16" t="n"/>
      <c r="R1243" s="16" t="n"/>
    </row>
    <row r="1244" ht="15" customHeight="1" s="12">
      <c r="B1244" s="16" t="n"/>
      <c r="K1244" s="16" t="n"/>
      <c r="O1244" s="16" t="n"/>
      <c r="P1244" s="16" t="n"/>
      <c r="Q1244" s="16" t="n"/>
      <c r="R1244" s="16" t="n"/>
    </row>
    <row r="1245" ht="15" customHeight="1" s="12">
      <c r="B1245" s="16" t="n"/>
      <c r="K1245" s="16" t="n"/>
      <c r="O1245" s="16" t="n"/>
      <c r="P1245" s="16" t="n"/>
      <c r="Q1245" s="16" t="n"/>
      <c r="R1245" s="16" t="n"/>
    </row>
    <row r="1246" ht="15" customHeight="1" s="12">
      <c r="B1246" s="16" t="n"/>
      <c r="K1246" s="16" t="n"/>
      <c r="O1246" s="16" t="n"/>
      <c r="P1246" s="16" t="n"/>
      <c r="Q1246" s="16" t="n"/>
      <c r="R1246" s="16" t="n"/>
    </row>
    <row r="1247" ht="15" customHeight="1" s="12">
      <c r="B1247" s="16" t="n"/>
      <c r="K1247" s="16" t="n"/>
      <c r="O1247" s="16" t="n"/>
      <c r="P1247" s="16" t="n"/>
      <c r="Q1247" s="16" t="n"/>
      <c r="R1247" s="16" t="n"/>
    </row>
    <row r="1248" ht="15" customHeight="1" s="12">
      <c r="B1248" s="16" t="n"/>
      <c r="K1248" s="16" t="n"/>
      <c r="O1248" s="16" t="n"/>
      <c r="P1248" s="16" t="n"/>
      <c r="Q1248" s="16" t="n"/>
      <c r="R1248" s="16" t="n"/>
    </row>
    <row r="1249" ht="15" customHeight="1" s="12">
      <c r="B1249" s="16" t="n"/>
      <c r="K1249" s="16" t="n"/>
      <c r="O1249" s="16" t="n"/>
      <c r="P1249" s="16" t="n"/>
      <c r="Q1249" s="16" t="n"/>
      <c r="R1249" s="16" t="n"/>
    </row>
    <row r="1250" ht="15" customHeight="1" s="12">
      <c r="B1250" s="16" t="n"/>
      <c r="K1250" s="16" t="n"/>
      <c r="O1250" s="16" t="n"/>
      <c r="P1250" s="16" t="n"/>
      <c r="Q1250" s="16" t="n"/>
      <c r="R1250" s="16" t="n"/>
    </row>
    <row r="1251" ht="15" customHeight="1" s="12">
      <c r="B1251" s="16" t="n"/>
      <c r="K1251" s="16" t="n"/>
      <c r="O1251" s="16" t="n"/>
      <c r="P1251" s="16" t="n"/>
      <c r="Q1251" s="16" t="n"/>
      <c r="R1251" s="16" t="n"/>
    </row>
    <row r="1252" ht="15" customHeight="1" s="12">
      <c r="B1252" s="16" t="n"/>
      <c r="K1252" s="16" t="n"/>
      <c r="O1252" s="16" t="n"/>
      <c r="P1252" s="16" t="n"/>
      <c r="Q1252" s="16" t="n"/>
      <c r="R1252" s="16" t="n"/>
    </row>
    <row r="1253" ht="15" customHeight="1" s="12">
      <c r="B1253" s="16" t="n"/>
      <c r="K1253" s="16" t="n"/>
      <c r="O1253" s="16" t="n"/>
      <c r="P1253" s="16" t="n"/>
      <c r="Q1253" s="16" t="n"/>
      <c r="R1253" s="16" t="n"/>
    </row>
    <row r="1254" ht="15" customHeight="1" s="12">
      <c r="B1254" s="16" t="n"/>
      <c r="K1254" s="16" t="n"/>
      <c r="O1254" s="16" t="n"/>
      <c r="P1254" s="16" t="n"/>
      <c r="Q1254" s="16" t="n"/>
      <c r="R1254" s="16" t="n"/>
    </row>
    <row r="1255" ht="15" customHeight="1" s="12">
      <c r="B1255" s="16" t="n"/>
      <c r="K1255" s="16" t="n"/>
      <c r="O1255" s="16" t="n"/>
      <c r="P1255" s="16" t="n"/>
      <c r="Q1255" s="16" t="n"/>
      <c r="R1255" s="16" t="n"/>
    </row>
    <row r="1256" ht="15" customHeight="1" s="12">
      <c r="B1256" s="16" t="n"/>
      <c r="K1256" s="16" t="n"/>
      <c r="O1256" s="16" t="n"/>
      <c r="P1256" s="16" t="n"/>
      <c r="Q1256" s="16" t="n"/>
      <c r="R1256" s="16" t="n"/>
    </row>
    <row r="1257" ht="15" customHeight="1" s="12">
      <c r="B1257" s="16" t="n"/>
      <c r="K1257" s="16" t="n"/>
      <c r="O1257" s="16" t="n"/>
      <c r="P1257" s="16" t="n"/>
      <c r="Q1257" s="16" t="n"/>
      <c r="R1257" s="16" t="n"/>
    </row>
    <row r="1258" ht="15" customHeight="1" s="12">
      <c r="B1258" s="16" t="n"/>
      <c r="K1258" s="16" t="n"/>
      <c r="O1258" s="16" t="n"/>
      <c r="P1258" s="16" t="n"/>
      <c r="Q1258" s="16" t="n"/>
      <c r="R1258" s="16" t="n"/>
    </row>
    <row r="1259" ht="15" customHeight="1" s="12">
      <c r="B1259" s="16" t="n"/>
      <c r="K1259" s="16" t="n"/>
      <c r="O1259" s="16" t="n"/>
      <c r="P1259" s="16" t="n"/>
      <c r="Q1259" s="16" t="n"/>
      <c r="R1259" s="16" t="n"/>
    </row>
    <row r="1260" ht="15" customHeight="1" s="12">
      <c r="B1260" s="16" t="n"/>
      <c r="K1260" s="16" t="n"/>
      <c r="O1260" s="16" t="n"/>
      <c r="P1260" s="16" t="n"/>
      <c r="Q1260" s="16" t="n"/>
      <c r="R1260" s="16" t="n"/>
    </row>
    <row r="1261" ht="15" customHeight="1" s="12">
      <c r="B1261" s="16" t="n"/>
      <c r="K1261" s="16" t="n"/>
      <c r="O1261" s="16" t="n"/>
      <c r="P1261" s="16" t="n"/>
      <c r="Q1261" s="16" t="n"/>
      <c r="R1261" s="16" t="n"/>
    </row>
    <row r="1262" ht="15" customHeight="1" s="12">
      <c r="B1262" s="16" t="n"/>
      <c r="K1262" s="16" t="n"/>
      <c r="O1262" s="16" t="n"/>
      <c r="P1262" s="16" t="n"/>
      <c r="Q1262" s="16" t="n"/>
      <c r="R1262" s="16" t="n"/>
    </row>
    <row r="1263" ht="15" customHeight="1" s="12">
      <c r="B1263" s="16" t="n"/>
      <c r="K1263" s="16" t="n"/>
      <c r="O1263" s="16" t="n"/>
      <c r="P1263" s="16" t="n"/>
      <c r="Q1263" s="16" t="n"/>
      <c r="R1263" s="16" t="n"/>
    </row>
    <row r="1264" ht="15" customHeight="1" s="12">
      <c r="B1264" s="16" t="n"/>
      <c r="K1264" s="16" t="n"/>
      <c r="O1264" s="16" t="n"/>
      <c r="P1264" s="16" t="n"/>
      <c r="Q1264" s="16" t="n"/>
      <c r="R1264" s="16" t="n"/>
    </row>
    <row r="1265" ht="15" customHeight="1" s="12">
      <c r="B1265" s="16" t="n"/>
      <c r="K1265" s="16" t="n"/>
      <c r="O1265" s="16" t="n"/>
      <c r="P1265" s="16" t="n"/>
      <c r="Q1265" s="16" t="n"/>
      <c r="R1265" s="16" t="n"/>
    </row>
    <row r="1266" ht="15" customHeight="1" s="12">
      <c r="B1266" s="16" t="n"/>
      <c r="K1266" s="16" t="n"/>
      <c r="O1266" s="16" t="n"/>
      <c r="P1266" s="16" t="n"/>
      <c r="Q1266" s="16" t="n"/>
      <c r="R1266" s="16" t="n"/>
    </row>
    <row r="1267" ht="15" customHeight="1" s="12">
      <c r="B1267" s="16" t="n"/>
      <c r="K1267" s="16" t="n"/>
      <c r="O1267" s="16" t="n"/>
      <c r="P1267" s="16" t="n"/>
      <c r="Q1267" s="16" t="n"/>
      <c r="R1267" s="16" t="n"/>
    </row>
    <row r="1268" ht="15" customHeight="1" s="12">
      <c r="B1268" s="16" t="n"/>
      <c r="K1268" s="16" t="n"/>
      <c r="O1268" s="16" t="n"/>
      <c r="P1268" s="16" t="n"/>
      <c r="Q1268" s="16" t="n"/>
      <c r="R1268" s="16" t="n"/>
    </row>
    <row r="1269" ht="15" customHeight="1" s="12">
      <c r="B1269" s="16" t="n"/>
      <c r="K1269" s="16" t="n"/>
      <c r="O1269" s="16" t="n"/>
      <c r="P1269" s="16" t="n"/>
      <c r="Q1269" s="16" t="n"/>
      <c r="R1269" s="16" t="n"/>
    </row>
    <row r="1270" ht="15" customHeight="1" s="12">
      <c r="B1270" s="16" t="n"/>
      <c r="K1270" s="16" t="n"/>
      <c r="O1270" s="16" t="n"/>
      <c r="P1270" s="16" t="n"/>
      <c r="Q1270" s="16" t="n"/>
      <c r="R1270" s="16" t="n"/>
    </row>
    <row r="1271" ht="15" customHeight="1" s="12">
      <c r="B1271" s="16" t="n"/>
      <c r="K1271" s="16" t="n"/>
      <c r="O1271" s="16" t="n"/>
      <c r="P1271" s="16" t="n"/>
      <c r="Q1271" s="16" t="n"/>
      <c r="R1271" s="16" t="n"/>
    </row>
    <row r="1272" ht="15" customHeight="1" s="12">
      <c r="B1272" s="16" t="n"/>
      <c r="K1272" s="16" t="n"/>
      <c r="O1272" s="16" t="n"/>
      <c r="P1272" s="16" t="n"/>
      <c r="Q1272" s="16" t="n"/>
      <c r="R1272" s="16" t="n"/>
    </row>
    <row r="1273" ht="15" customHeight="1" s="12">
      <c r="B1273" s="16" t="n"/>
      <c r="K1273" s="16" t="n"/>
      <c r="O1273" s="16" t="n"/>
      <c r="P1273" s="16" t="n"/>
      <c r="Q1273" s="16" t="n"/>
      <c r="R1273" s="16" t="n"/>
    </row>
    <row r="1274" ht="15" customHeight="1" s="12">
      <c r="B1274" s="16" t="n"/>
      <c r="K1274" s="16" t="n"/>
      <c r="O1274" s="16" t="n"/>
      <c r="P1274" s="16" t="n"/>
      <c r="Q1274" s="16" t="n"/>
      <c r="R1274" s="16" t="n"/>
    </row>
    <row r="1275" ht="15" customHeight="1" s="12">
      <c r="B1275" s="16" t="n"/>
      <c r="K1275" s="16" t="n"/>
      <c r="O1275" s="16" t="n"/>
      <c r="P1275" s="16" t="n"/>
      <c r="Q1275" s="16" t="n"/>
      <c r="R1275" s="16" t="n"/>
    </row>
    <row r="1276" ht="15" customHeight="1" s="12">
      <c r="B1276" s="16" t="n"/>
      <c r="K1276" s="16" t="n"/>
      <c r="O1276" s="16" t="n"/>
      <c r="P1276" s="16" t="n"/>
      <c r="Q1276" s="16" t="n"/>
      <c r="R1276" s="16" t="n"/>
    </row>
    <row r="1277" ht="15" customHeight="1" s="12">
      <c r="B1277" s="16" t="n"/>
      <c r="K1277" s="16" t="n"/>
      <c r="O1277" s="16" t="n"/>
      <c r="P1277" s="16" t="n"/>
      <c r="Q1277" s="16" t="n"/>
      <c r="R1277" s="16" t="n"/>
    </row>
    <row r="1278" ht="15" customHeight="1" s="12">
      <c r="B1278" s="16" t="n"/>
      <c r="K1278" s="16" t="n"/>
      <c r="O1278" s="16" t="n"/>
      <c r="P1278" s="16" t="n"/>
      <c r="Q1278" s="16" t="n"/>
      <c r="R1278" s="16" t="n"/>
    </row>
    <row r="1279" ht="15" customHeight="1" s="12">
      <c r="B1279" s="16" t="n"/>
      <c r="K1279" s="16" t="n"/>
      <c r="O1279" s="16" t="n"/>
      <c r="P1279" s="16" t="n"/>
      <c r="Q1279" s="16" t="n"/>
      <c r="R1279" s="16" t="n"/>
    </row>
    <row r="1280" ht="15" customHeight="1" s="12">
      <c r="B1280" s="16" t="n"/>
      <c r="K1280" s="16" t="n"/>
      <c r="O1280" s="16" t="n"/>
      <c r="P1280" s="16" t="n"/>
      <c r="Q1280" s="16" t="n"/>
      <c r="R1280" s="16" t="n"/>
    </row>
    <row r="1281" ht="15" customHeight="1" s="12">
      <c r="B1281" s="16" t="n"/>
      <c r="K1281" s="16" t="n"/>
      <c r="O1281" s="16" t="n"/>
      <c r="P1281" s="16" t="n"/>
      <c r="Q1281" s="16" t="n"/>
      <c r="R1281" s="16" t="n"/>
    </row>
    <row r="1282" ht="15" customHeight="1" s="12">
      <c r="B1282" s="16" t="n"/>
      <c r="K1282" s="16" t="n"/>
      <c r="O1282" s="16" t="n"/>
      <c r="P1282" s="16" t="n"/>
      <c r="Q1282" s="16" t="n"/>
      <c r="R1282" s="16" t="n"/>
    </row>
    <row r="1283" ht="15" customHeight="1" s="12">
      <c r="B1283" s="16" t="n"/>
      <c r="K1283" s="16" t="n"/>
      <c r="O1283" s="16" t="n"/>
      <c r="P1283" s="16" t="n"/>
      <c r="Q1283" s="16" t="n"/>
      <c r="R1283" s="16" t="n"/>
    </row>
    <row r="1284" ht="15" customHeight="1" s="12">
      <c r="B1284" s="16" t="n"/>
      <c r="K1284" s="16" t="n"/>
      <c r="O1284" s="16" t="n"/>
      <c r="P1284" s="16" t="n"/>
      <c r="Q1284" s="16" t="n"/>
      <c r="R1284" s="16" t="n"/>
    </row>
    <row r="1285" ht="15" customHeight="1" s="12">
      <c r="B1285" s="16" t="n"/>
      <c r="K1285" s="16" t="n"/>
      <c r="O1285" s="16" t="n"/>
      <c r="P1285" s="16" t="n"/>
      <c r="Q1285" s="16" t="n"/>
      <c r="R1285" s="16" t="n"/>
    </row>
    <row r="1286" ht="15" customHeight="1" s="12">
      <c r="B1286" s="16" t="n"/>
      <c r="K1286" s="16" t="n"/>
      <c r="O1286" s="16" t="n"/>
      <c r="P1286" s="16" t="n"/>
      <c r="Q1286" s="16" t="n"/>
      <c r="R1286" s="16" t="n"/>
    </row>
    <row r="1287" ht="15" customHeight="1" s="12">
      <c r="B1287" s="16" t="n"/>
      <c r="K1287" s="16" t="n"/>
      <c r="O1287" s="16" t="n"/>
      <c r="P1287" s="16" t="n"/>
      <c r="Q1287" s="16" t="n"/>
      <c r="R1287" s="16" t="n"/>
    </row>
    <row r="1288" ht="15" customHeight="1" s="12">
      <c r="B1288" s="16" t="n"/>
      <c r="K1288" s="16" t="n"/>
      <c r="O1288" s="16" t="n"/>
      <c r="P1288" s="16" t="n"/>
      <c r="Q1288" s="16" t="n"/>
      <c r="R1288" s="16" t="n"/>
    </row>
    <row r="1289" ht="15" customHeight="1" s="12">
      <c r="B1289" s="16" t="n"/>
      <c r="K1289" s="16" t="n"/>
      <c r="O1289" s="16" t="n"/>
      <c r="P1289" s="16" t="n"/>
      <c r="Q1289" s="16" t="n"/>
      <c r="R1289" s="16" t="n"/>
    </row>
    <row r="1290" ht="15" customHeight="1" s="12">
      <c r="B1290" s="16" t="n"/>
      <c r="K1290" s="16" t="n"/>
      <c r="O1290" s="16" t="n"/>
      <c r="P1290" s="16" t="n"/>
      <c r="Q1290" s="16" t="n"/>
      <c r="R1290" s="16" t="n"/>
    </row>
    <row r="1291" ht="15" customHeight="1" s="12">
      <c r="B1291" s="16" t="n"/>
      <c r="K1291" s="16" t="n"/>
      <c r="O1291" s="16" t="n"/>
      <c r="P1291" s="16" t="n"/>
      <c r="Q1291" s="16" t="n"/>
      <c r="R1291" s="16" t="n"/>
    </row>
    <row r="1292" ht="15" customHeight="1" s="12">
      <c r="B1292" s="16" t="n"/>
      <c r="K1292" s="16" t="n"/>
      <c r="O1292" s="16" t="n"/>
      <c r="P1292" s="16" t="n"/>
      <c r="Q1292" s="16" t="n"/>
      <c r="R1292" s="16" t="n"/>
    </row>
    <row r="1293" ht="15" customHeight="1" s="12">
      <c r="B1293" s="16" t="n"/>
      <c r="K1293" s="16" t="n"/>
      <c r="O1293" s="16" t="n"/>
      <c r="P1293" s="16" t="n"/>
      <c r="Q1293" s="16" t="n"/>
      <c r="R1293" s="16" t="n"/>
    </row>
    <row r="1294" ht="15" customHeight="1" s="12">
      <c r="B1294" s="16" t="n"/>
      <c r="K1294" s="16" t="n"/>
      <c r="O1294" s="16" t="n"/>
      <c r="P1294" s="16" t="n"/>
      <c r="Q1294" s="16" t="n"/>
      <c r="R1294" s="16" t="n"/>
    </row>
    <row r="1295" ht="15" customHeight="1" s="12">
      <c r="B1295" s="16" t="n"/>
      <c r="K1295" s="16" t="n"/>
      <c r="O1295" s="16" t="n"/>
      <c r="P1295" s="16" t="n"/>
      <c r="Q1295" s="16" t="n"/>
      <c r="R1295" s="16" t="n"/>
    </row>
    <row r="1296" ht="15" customHeight="1" s="12">
      <c r="B1296" s="16" t="n"/>
      <c r="K1296" s="16" t="n"/>
      <c r="O1296" s="16" t="n"/>
      <c r="P1296" s="16" t="n"/>
      <c r="Q1296" s="16" t="n"/>
      <c r="R1296" s="16" t="n"/>
    </row>
    <row r="1297" ht="15" customHeight="1" s="12">
      <c r="B1297" s="16" t="n"/>
      <c r="K1297" s="16" t="n"/>
      <c r="O1297" s="16" t="n"/>
      <c r="P1297" s="16" t="n"/>
      <c r="Q1297" s="16" t="n"/>
      <c r="R1297" s="16" t="n"/>
    </row>
    <row r="1298" ht="15" customHeight="1" s="12">
      <c r="B1298" s="16" t="n"/>
      <c r="K1298" s="16" t="n"/>
      <c r="O1298" s="16" t="n"/>
      <c r="P1298" s="16" t="n"/>
      <c r="Q1298" s="16" t="n"/>
      <c r="R1298" s="16" t="n"/>
    </row>
    <row r="1299" ht="15" customHeight="1" s="12">
      <c r="B1299" s="16" t="n"/>
      <c r="K1299" s="16" t="n"/>
      <c r="O1299" s="16" t="n"/>
      <c r="P1299" s="16" t="n"/>
      <c r="Q1299" s="16" t="n"/>
      <c r="R1299" s="16" t="n"/>
    </row>
    <row r="1300" ht="15" customHeight="1" s="12">
      <c r="B1300" s="16" t="n"/>
      <c r="K1300" s="16" t="n"/>
      <c r="O1300" s="16" t="n"/>
      <c r="P1300" s="16" t="n"/>
      <c r="Q1300" s="16" t="n"/>
      <c r="R1300" s="16" t="n"/>
    </row>
    <row r="1301" ht="15" customHeight="1" s="12">
      <c r="B1301" s="16" t="n"/>
      <c r="K1301" s="16" t="n"/>
      <c r="O1301" s="16" t="n"/>
      <c r="P1301" s="16" t="n"/>
      <c r="Q1301" s="16" t="n"/>
      <c r="R1301" s="16" t="n"/>
    </row>
    <row r="1302" ht="15" customHeight="1" s="12">
      <c r="B1302" s="16" t="n"/>
      <c r="K1302" s="16" t="n"/>
      <c r="O1302" s="16" t="n"/>
      <c r="P1302" s="16" t="n"/>
      <c r="Q1302" s="16" t="n"/>
      <c r="R1302" s="16" t="n"/>
    </row>
    <row r="1303" ht="15" customHeight="1" s="12">
      <c r="B1303" s="16" t="n"/>
      <c r="K1303" s="16" t="n"/>
      <c r="O1303" s="16" t="n"/>
      <c r="P1303" s="16" t="n"/>
      <c r="Q1303" s="16" t="n"/>
      <c r="R1303" s="16" t="n"/>
    </row>
    <row r="1304" ht="15" customHeight="1" s="12">
      <c r="B1304" s="16" t="n"/>
      <c r="K1304" s="16" t="n"/>
      <c r="O1304" s="16" t="n"/>
      <c r="P1304" s="16" t="n"/>
      <c r="Q1304" s="16" t="n"/>
      <c r="R1304" s="16" t="n"/>
    </row>
    <row r="1305" ht="15" customHeight="1" s="12">
      <c r="B1305" s="16" t="n"/>
      <c r="K1305" s="16" t="n"/>
      <c r="O1305" s="16" t="n"/>
      <c r="P1305" s="16" t="n"/>
      <c r="Q1305" s="16" t="n"/>
      <c r="R1305" s="16" t="n"/>
    </row>
    <row r="1306" ht="15" customHeight="1" s="12">
      <c r="B1306" s="16" t="n"/>
      <c r="K1306" s="16" t="n"/>
      <c r="O1306" s="16" t="n"/>
      <c r="P1306" s="16" t="n"/>
      <c r="Q1306" s="16" t="n"/>
      <c r="R1306" s="16" t="n"/>
    </row>
    <row r="1307" ht="15" customHeight="1" s="12">
      <c r="B1307" s="16" t="n"/>
      <c r="K1307" s="16" t="n"/>
      <c r="O1307" s="16" t="n"/>
      <c r="P1307" s="16" t="n"/>
      <c r="Q1307" s="16" t="n"/>
      <c r="R1307" s="16" t="n"/>
    </row>
    <row r="1308" ht="15" customHeight="1" s="12">
      <c r="B1308" s="16" t="n"/>
      <c r="K1308" s="16" t="n"/>
      <c r="O1308" s="16" t="n"/>
      <c r="P1308" s="16" t="n"/>
      <c r="Q1308" s="16" t="n"/>
      <c r="R1308" s="16" t="n"/>
    </row>
    <row r="1309" ht="15" customHeight="1" s="12">
      <c r="B1309" s="16" t="n"/>
      <c r="K1309" s="16" t="n"/>
      <c r="O1309" s="16" t="n"/>
      <c r="P1309" s="16" t="n"/>
      <c r="Q1309" s="16" t="n"/>
      <c r="R1309" s="16" t="n"/>
    </row>
    <row r="1310" ht="15" customHeight="1" s="12">
      <c r="B1310" s="16" t="n"/>
      <c r="K1310" s="16" t="n"/>
      <c r="O1310" s="16" t="n"/>
      <c r="P1310" s="16" t="n"/>
      <c r="Q1310" s="16" t="n"/>
      <c r="R1310" s="16" t="n"/>
    </row>
    <row r="1311" ht="15" customHeight="1" s="12">
      <c r="B1311" s="16" t="n"/>
      <c r="K1311" s="16" t="n"/>
      <c r="O1311" s="16" t="n"/>
      <c r="P1311" s="16" t="n"/>
      <c r="Q1311" s="16" t="n"/>
      <c r="R1311" s="16" t="n"/>
    </row>
    <row r="1312" ht="15" customHeight="1" s="12">
      <c r="B1312" s="16" t="n"/>
      <c r="K1312" s="16" t="n"/>
      <c r="O1312" s="16" t="n"/>
      <c r="P1312" s="16" t="n"/>
      <c r="Q1312" s="16" t="n"/>
      <c r="R1312" s="16" t="n"/>
    </row>
    <row r="1313" ht="15" customHeight="1" s="12">
      <c r="B1313" s="16" t="n"/>
      <c r="K1313" s="16" t="n"/>
      <c r="O1313" s="16" t="n"/>
      <c r="P1313" s="16" t="n"/>
      <c r="Q1313" s="16" t="n"/>
      <c r="R1313" s="16" t="n"/>
    </row>
    <row r="1314" ht="15" customHeight="1" s="12">
      <c r="B1314" s="16" t="n"/>
      <c r="K1314" s="16" t="n"/>
      <c r="O1314" s="16" t="n"/>
      <c r="P1314" s="16" t="n"/>
      <c r="Q1314" s="16" t="n"/>
      <c r="R1314" s="16" t="n"/>
    </row>
    <row r="1315" ht="15" customHeight="1" s="12">
      <c r="B1315" s="16" t="n"/>
      <c r="K1315" s="16" t="n"/>
      <c r="O1315" s="16" t="n"/>
      <c r="P1315" s="16" t="n"/>
      <c r="Q1315" s="16" t="n"/>
      <c r="R1315" s="16" t="n"/>
    </row>
    <row r="1316" ht="15" customHeight="1" s="12">
      <c r="B1316" s="16" t="n"/>
      <c r="K1316" s="16" t="n"/>
      <c r="O1316" s="16" t="n"/>
      <c r="P1316" s="16" t="n"/>
      <c r="Q1316" s="16" t="n"/>
      <c r="R1316" s="16" t="n"/>
    </row>
    <row r="1317" ht="15" customHeight="1" s="12">
      <c r="B1317" s="16" t="n"/>
      <c r="K1317" s="16" t="n"/>
      <c r="O1317" s="16" t="n"/>
      <c r="P1317" s="16" t="n"/>
      <c r="Q1317" s="16" t="n"/>
      <c r="R1317" s="16" t="n"/>
    </row>
    <row r="1318" ht="15" customHeight="1" s="12">
      <c r="B1318" s="16" t="n"/>
      <c r="K1318" s="16" t="n"/>
      <c r="O1318" s="16" t="n"/>
      <c r="P1318" s="16" t="n"/>
      <c r="Q1318" s="16" t="n"/>
      <c r="R1318" s="16" t="n"/>
    </row>
    <row r="1319" ht="15" customHeight="1" s="12">
      <c r="B1319" s="16" t="n"/>
      <c r="K1319" s="16" t="n"/>
      <c r="O1319" s="16" t="n"/>
      <c r="P1319" s="16" t="n"/>
      <c r="Q1319" s="16" t="n"/>
      <c r="R1319" s="16" t="n"/>
    </row>
    <row r="1320" ht="15" customHeight="1" s="12">
      <c r="B1320" s="16" t="n"/>
      <c r="K1320" s="16" t="n"/>
      <c r="O1320" s="16" t="n"/>
      <c r="P1320" s="16" t="n"/>
      <c r="Q1320" s="16" t="n"/>
      <c r="R1320" s="16" t="n"/>
    </row>
    <row r="1321" ht="15" customHeight="1" s="12">
      <c r="B1321" s="16" t="n"/>
      <c r="K1321" s="16" t="n"/>
      <c r="O1321" s="16" t="n"/>
      <c r="P1321" s="16" t="n"/>
      <c r="Q1321" s="16" t="n"/>
      <c r="R1321" s="16" t="n"/>
    </row>
    <row r="1322" ht="15" customHeight="1" s="12">
      <c r="B1322" s="16" t="n"/>
      <c r="K1322" s="16" t="n"/>
      <c r="O1322" s="16" t="n"/>
      <c r="P1322" s="16" t="n"/>
      <c r="Q1322" s="16" t="n"/>
      <c r="R1322" s="16" t="n"/>
    </row>
    <row r="1323" ht="15" customHeight="1" s="12">
      <c r="B1323" s="16" t="n"/>
      <c r="K1323" s="16" t="n"/>
      <c r="O1323" s="16" t="n"/>
      <c r="P1323" s="16" t="n"/>
      <c r="Q1323" s="16" t="n"/>
      <c r="R1323" s="16" t="n"/>
    </row>
    <row r="1324" ht="15" customHeight="1" s="12">
      <c r="B1324" s="16" t="n"/>
      <c r="K1324" s="16" t="n"/>
      <c r="O1324" s="16" t="n"/>
      <c r="P1324" s="16" t="n"/>
      <c r="Q1324" s="16" t="n"/>
      <c r="R1324" s="16" t="n"/>
    </row>
    <row r="1325" ht="15" customHeight="1" s="12">
      <c r="B1325" s="16" t="n"/>
      <c r="K1325" s="16" t="n"/>
      <c r="O1325" s="16" t="n"/>
      <c r="P1325" s="16" t="n"/>
      <c r="Q1325" s="16" t="n"/>
      <c r="R1325" s="16" t="n"/>
    </row>
    <row r="1326" ht="15" customHeight="1" s="12">
      <c r="B1326" s="16" t="n"/>
      <c r="K1326" s="16" t="n"/>
      <c r="O1326" s="16" t="n"/>
      <c r="P1326" s="16" t="n"/>
      <c r="Q1326" s="16" t="n"/>
      <c r="R1326" s="16" t="n"/>
    </row>
    <row r="1327" ht="15" customHeight="1" s="12">
      <c r="B1327" s="16" t="n"/>
      <c r="K1327" s="16" t="n"/>
      <c r="O1327" s="16" t="n"/>
      <c r="P1327" s="16" t="n"/>
      <c r="Q1327" s="16" t="n"/>
      <c r="R1327" s="16" t="n"/>
    </row>
    <row r="1328" ht="15" customHeight="1" s="12">
      <c r="B1328" s="16" t="n"/>
      <c r="K1328" s="16" t="n"/>
      <c r="O1328" s="16" t="n"/>
      <c r="P1328" s="16" t="n"/>
      <c r="Q1328" s="16" t="n"/>
      <c r="R1328" s="16" t="n"/>
    </row>
    <row r="1329" ht="15" customHeight="1" s="12">
      <c r="B1329" s="16" t="n"/>
      <c r="K1329" s="16" t="n"/>
      <c r="O1329" s="16" t="n"/>
      <c r="P1329" s="16" t="n"/>
      <c r="Q1329" s="16" t="n"/>
      <c r="R1329" s="16" t="n"/>
    </row>
    <row r="1330" ht="15" customHeight="1" s="12">
      <c r="B1330" s="16" t="n"/>
      <c r="K1330" s="16" t="n"/>
      <c r="O1330" s="16" t="n"/>
      <c r="P1330" s="16" t="n"/>
      <c r="Q1330" s="16" t="n"/>
      <c r="R1330" s="16" t="n"/>
    </row>
    <row r="1331" ht="15" customHeight="1" s="12">
      <c r="B1331" s="16" t="n"/>
      <c r="K1331" s="16" t="n"/>
      <c r="O1331" s="16" t="n"/>
      <c r="P1331" s="16" t="n"/>
      <c r="Q1331" s="16" t="n"/>
      <c r="R1331" s="16" t="n"/>
    </row>
    <row r="1332" ht="15" customHeight="1" s="12">
      <c r="B1332" s="16" t="n"/>
      <c r="K1332" s="16" t="n"/>
      <c r="O1332" s="16" t="n"/>
      <c r="P1332" s="16" t="n"/>
      <c r="Q1332" s="16" t="n"/>
      <c r="R1332" s="16" t="n"/>
    </row>
    <row r="1333" ht="15" customHeight="1" s="12">
      <c r="B1333" s="16" t="n"/>
      <c r="K1333" s="16" t="n"/>
      <c r="O1333" s="16" t="n"/>
      <c r="P1333" s="16" t="n"/>
      <c r="Q1333" s="16" t="n"/>
      <c r="R1333" s="16" t="n"/>
    </row>
    <row r="1334" ht="15" customHeight="1" s="12">
      <c r="B1334" s="16" t="n"/>
      <c r="K1334" s="16" t="n"/>
      <c r="O1334" s="16" t="n"/>
      <c r="P1334" s="16" t="n"/>
      <c r="Q1334" s="16" t="n"/>
      <c r="R1334" s="16" t="n"/>
    </row>
    <row r="1335" ht="15" customHeight="1" s="12">
      <c r="B1335" s="16" t="n"/>
      <c r="K1335" s="16" t="n"/>
      <c r="O1335" s="16" t="n"/>
      <c r="P1335" s="16" t="n"/>
      <c r="Q1335" s="16" t="n"/>
      <c r="R1335" s="16" t="n"/>
    </row>
    <row r="1336" ht="15" customHeight="1" s="12">
      <c r="B1336" s="16" t="n"/>
      <c r="K1336" s="16" t="n"/>
      <c r="O1336" s="16" t="n"/>
      <c r="P1336" s="16" t="n"/>
      <c r="Q1336" s="16" t="n"/>
      <c r="R1336" s="16" t="n"/>
    </row>
    <row r="1337" ht="15" customHeight="1" s="12">
      <c r="B1337" s="16" t="n"/>
      <c r="K1337" s="16" t="n"/>
      <c r="O1337" s="16" t="n"/>
      <c r="P1337" s="16" t="n"/>
      <c r="Q1337" s="16" t="n"/>
      <c r="R1337" s="16" t="n"/>
    </row>
    <row r="1338" ht="15" customHeight="1" s="12">
      <c r="B1338" s="16" t="n"/>
      <c r="K1338" s="16" t="n"/>
      <c r="O1338" s="16" t="n"/>
      <c r="P1338" s="16" t="n"/>
      <c r="Q1338" s="16" t="n"/>
      <c r="R1338" s="16" t="n"/>
    </row>
    <row r="1339" ht="15" customHeight="1" s="12">
      <c r="B1339" s="16" t="n"/>
      <c r="K1339" s="16" t="n"/>
      <c r="O1339" s="16" t="n"/>
      <c r="P1339" s="16" t="n"/>
      <c r="Q1339" s="16" t="n"/>
      <c r="R1339" s="16" t="n"/>
    </row>
    <row r="1340" ht="15" customHeight="1" s="12">
      <c r="B1340" s="16" t="n"/>
      <c r="K1340" s="16" t="n"/>
      <c r="O1340" s="16" t="n"/>
      <c r="P1340" s="16" t="n"/>
      <c r="Q1340" s="16" t="n"/>
      <c r="R1340" s="16" t="n"/>
    </row>
    <row r="1341" ht="15" customHeight="1" s="12">
      <c r="B1341" s="16" t="n"/>
      <c r="K1341" s="16" t="n"/>
      <c r="O1341" s="16" t="n"/>
      <c r="P1341" s="16" t="n"/>
      <c r="Q1341" s="16" t="n"/>
      <c r="R1341" s="16" t="n"/>
    </row>
    <row r="1342" ht="15" customHeight="1" s="12">
      <c r="B1342" s="16" t="n"/>
      <c r="K1342" s="16" t="n"/>
      <c r="O1342" s="16" t="n"/>
      <c r="P1342" s="16" t="n"/>
      <c r="Q1342" s="16" t="n"/>
      <c r="R1342" s="16" t="n"/>
    </row>
    <row r="1343" ht="15" customHeight="1" s="12">
      <c r="B1343" s="16" t="n"/>
      <c r="K1343" s="16" t="n"/>
      <c r="O1343" s="16" t="n"/>
      <c r="P1343" s="16" t="n"/>
      <c r="Q1343" s="16" t="n"/>
      <c r="R1343" s="16" t="n"/>
    </row>
    <row r="1344" ht="15" customHeight="1" s="12">
      <c r="B1344" s="16" t="n"/>
      <c r="K1344" s="16" t="n"/>
      <c r="O1344" s="16" t="n"/>
      <c r="P1344" s="16" t="n"/>
      <c r="Q1344" s="16" t="n"/>
      <c r="R1344" s="16" t="n"/>
    </row>
    <row r="1345" ht="15" customHeight="1" s="12">
      <c r="B1345" s="16" t="n"/>
      <c r="K1345" s="16" t="n"/>
      <c r="O1345" s="16" t="n"/>
      <c r="P1345" s="16" t="n"/>
      <c r="Q1345" s="16" t="n"/>
      <c r="R1345" s="16" t="n"/>
    </row>
    <row r="1346" ht="15" customHeight="1" s="12">
      <c r="B1346" s="16" t="n"/>
      <c r="K1346" s="16" t="n"/>
      <c r="O1346" s="16" t="n"/>
      <c r="P1346" s="16" t="n"/>
      <c r="Q1346" s="16" t="n"/>
      <c r="R1346" s="16" t="n"/>
    </row>
    <row r="1347" ht="15" customHeight="1" s="12">
      <c r="B1347" s="16" t="n"/>
      <c r="K1347" s="16" t="n"/>
      <c r="O1347" s="16" t="n"/>
      <c r="P1347" s="16" t="n"/>
      <c r="Q1347" s="16" t="n"/>
      <c r="R1347" s="16" t="n"/>
    </row>
    <row r="1348" ht="15" customHeight="1" s="12">
      <c r="B1348" s="16" t="n"/>
      <c r="K1348" s="16" t="n"/>
      <c r="O1348" s="16" t="n"/>
      <c r="P1348" s="16" t="n"/>
      <c r="Q1348" s="16" t="n"/>
      <c r="R1348" s="16" t="n"/>
    </row>
    <row r="1349" ht="15" customHeight="1" s="12">
      <c r="B1349" s="16" t="n"/>
      <c r="K1349" s="16" t="n"/>
      <c r="O1349" s="16" t="n"/>
      <c r="P1349" s="16" t="n"/>
      <c r="Q1349" s="16" t="n"/>
      <c r="R1349" s="16" t="n"/>
    </row>
    <row r="1350" ht="15" customHeight="1" s="12">
      <c r="B1350" s="16" t="n"/>
      <c r="K1350" s="16" t="n"/>
      <c r="O1350" s="16" t="n"/>
      <c r="P1350" s="16" t="n"/>
      <c r="Q1350" s="16" t="n"/>
      <c r="R1350" s="16" t="n"/>
    </row>
    <row r="1351" ht="15" customHeight="1" s="12">
      <c r="B1351" s="16" t="n"/>
      <c r="K1351" s="16" t="n"/>
      <c r="O1351" s="16" t="n"/>
      <c r="P1351" s="16" t="n"/>
      <c r="Q1351" s="16" t="n"/>
      <c r="R1351" s="16" t="n"/>
    </row>
    <row r="1352" ht="15" customHeight="1" s="12">
      <c r="B1352" s="16" t="n"/>
      <c r="K1352" s="16" t="n"/>
      <c r="O1352" s="16" t="n"/>
      <c r="P1352" s="16" t="n"/>
      <c r="Q1352" s="16" t="n"/>
      <c r="R1352" s="16" t="n"/>
    </row>
    <row r="1353" ht="15" customHeight="1" s="12">
      <c r="B1353" s="16" t="n"/>
      <c r="K1353" s="16" t="n"/>
      <c r="O1353" s="16" t="n"/>
      <c r="P1353" s="16" t="n"/>
      <c r="Q1353" s="16" t="n"/>
      <c r="R1353" s="16" t="n"/>
    </row>
    <row r="1354" ht="15" customHeight="1" s="12">
      <c r="B1354" s="16" t="n"/>
      <c r="K1354" s="16" t="n"/>
      <c r="O1354" s="16" t="n"/>
      <c r="P1354" s="16" t="n"/>
      <c r="Q1354" s="16" t="n"/>
      <c r="R1354" s="16" t="n"/>
    </row>
    <row r="1355" ht="15" customHeight="1" s="12">
      <c r="B1355" s="16" t="n"/>
      <c r="K1355" s="16" t="n"/>
      <c r="O1355" s="16" t="n"/>
      <c r="P1355" s="16" t="n"/>
      <c r="Q1355" s="16" t="n"/>
      <c r="R1355" s="16" t="n"/>
    </row>
    <row r="1356" ht="15" customHeight="1" s="12">
      <c r="B1356" s="16" t="n"/>
      <c r="K1356" s="16" t="n"/>
      <c r="O1356" s="16" t="n"/>
      <c r="P1356" s="16" t="n"/>
      <c r="Q1356" s="16" t="n"/>
      <c r="R1356" s="16" t="n"/>
    </row>
    <row r="1357" ht="15" customHeight="1" s="12">
      <c r="B1357" s="16" t="n"/>
      <c r="K1357" s="16" t="n"/>
      <c r="O1357" s="16" t="n"/>
      <c r="P1357" s="16" t="n"/>
      <c r="Q1357" s="16" t="n"/>
      <c r="R1357" s="16" t="n"/>
    </row>
    <row r="1358" ht="15" customHeight="1" s="12">
      <c r="B1358" s="16" t="n"/>
      <c r="K1358" s="16" t="n"/>
      <c r="O1358" s="16" t="n"/>
      <c r="P1358" s="16" t="n"/>
      <c r="Q1358" s="16" t="n"/>
      <c r="R1358" s="16" t="n"/>
    </row>
    <row r="1359" ht="15" customHeight="1" s="12">
      <c r="B1359" s="16" t="n"/>
      <c r="K1359" s="16" t="n"/>
      <c r="O1359" s="16" t="n"/>
      <c r="P1359" s="16" t="n"/>
      <c r="Q1359" s="16" t="n"/>
      <c r="R1359" s="16" t="n"/>
    </row>
    <row r="1360" ht="15" customHeight="1" s="12">
      <c r="B1360" s="16" t="n"/>
      <c r="K1360" s="16" t="n"/>
      <c r="O1360" s="16" t="n"/>
      <c r="P1360" s="16" t="n"/>
      <c r="Q1360" s="16" t="n"/>
      <c r="R1360" s="16" t="n"/>
    </row>
    <row r="1361" ht="15" customHeight="1" s="12">
      <c r="B1361" s="16" t="n"/>
      <c r="K1361" s="16" t="n"/>
      <c r="O1361" s="16" t="n"/>
      <c r="P1361" s="16" t="n"/>
      <c r="Q1361" s="16" t="n"/>
      <c r="R1361" s="16" t="n"/>
    </row>
    <row r="1362" ht="15" customHeight="1" s="12">
      <c r="B1362" s="16" t="n"/>
      <c r="K1362" s="16" t="n"/>
      <c r="O1362" s="16" t="n"/>
      <c r="P1362" s="16" t="n"/>
      <c r="Q1362" s="16" t="n"/>
      <c r="R1362" s="16" t="n"/>
    </row>
    <row r="1363" ht="15" customHeight="1" s="12">
      <c r="B1363" s="16" t="n"/>
      <c r="K1363" s="16" t="n"/>
      <c r="O1363" s="16" t="n"/>
      <c r="P1363" s="16" t="n"/>
      <c r="Q1363" s="16" t="n"/>
      <c r="R1363" s="16" t="n"/>
    </row>
    <row r="1364" ht="15" customHeight="1" s="12">
      <c r="B1364" s="16" t="n"/>
      <c r="K1364" s="16" t="n"/>
      <c r="O1364" s="16" t="n"/>
      <c r="P1364" s="16" t="n"/>
      <c r="Q1364" s="16" t="n"/>
      <c r="R1364" s="16" t="n"/>
    </row>
    <row r="1365" ht="15" customHeight="1" s="12">
      <c r="B1365" s="16" t="n"/>
      <c r="K1365" s="16" t="n"/>
      <c r="O1365" s="16" t="n"/>
      <c r="P1365" s="16" t="n"/>
      <c r="Q1365" s="16" t="n"/>
      <c r="R1365" s="16" t="n"/>
    </row>
    <row r="1366" ht="15" customHeight="1" s="12">
      <c r="B1366" s="16" t="n"/>
      <c r="K1366" s="16" t="n"/>
      <c r="O1366" s="16" t="n"/>
      <c r="P1366" s="16" t="n"/>
      <c r="Q1366" s="16" t="n"/>
      <c r="R1366" s="16" t="n"/>
    </row>
    <row r="1367" ht="15" customHeight="1" s="12">
      <c r="B1367" s="16" t="n"/>
      <c r="K1367" s="16" t="n"/>
      <c r="O1367" s="16" t="n"/>
      <c r="P1367" s="16" t="n"/>
      <c r="Q1367" s="16" t="n"/>
      <c r="R1367" s="16" t="n"/>
    </row>
    <row r="1368" ht="15" customHeight="1" s="12">
      <c r="B1368" s="16" t="n"/>
      <c r="K1368" s="16" t="n"/>
      <c r="O1368" s="16" t="n"/>
      <c r="P1368" s="16" t="n"/>
      <c r="Q1368" s="16" t="n"/>
      <c r="R1368" s="16" t="n"/>
    </row>
    <row r="1369" ht="15" customHeight="1" s="12">
      <c r="B1369" s="16" t="n"/>
      <c r="K1369" s="16" t="n"/>
      <c r="O1369" s="16" t="n"/>
      <c r="P1369" s="16" t="n"/>
      <c r="Q1369" s="16" t="n"/>
      <c r="R1369" s="16" t="n"/>
    </row>
    <row r="1370" ht="15" customHeight="1" s="12">
      <c r="B1370" s="16" t="n"/>
      <c r="K1370" s="16" t="n"/>
      <c r="O1370" s="16" t="n"/>
      <c r="P1370" s="16" t="n"/>
      <c r="Q1370" s="16" t="n"/>
      <c r="R1370" s="16" t="n"/>
    </row>
    <row r="1371" ht="15" customHeight="1" s="12">
      <c r="B1371" s="16" t="n"/>
      <c r="K1371" s="16" t="n"/>
      <c r="O1371" s="16" t="n"/>
      <c r="P1371" s="16" t="n"/>
      <c r="Q1371" s="16" t="n"/>
      <c r="R1371" s="16" t="n"/>
    </row>
    <row r="1372" ht="15" customHeight="1" s="12">
      <c r="B1372" s="16" t="n"/>
      <c r="K1372" s="16" t="n"/>
      <c r="O1372" s="16" t="n"/>
      <c r="P1372" s="16" t="n"/>
      <c r="Q1372" s="16" t="n"/>
      <c r="R1372" s="16" t="n"/>
    </row>
    <row r="1373" ht="15" customHeight="1" s="12">
      <c r="B1373" s="16" t="n"/>
      <c r="K1373" s="16" t="n"/>
      <c r="O1373" s="16" t="n"/>
      <c r="P1373" s="16" t="n"/>
      <c r="Q1373" s="16" t="n"/>
      <c r="R1373" s="16" t="n"/>
    </row>
    <row r="1374" ht="15" customHeight="1" s="12">
      <c r="B1374" s="16" t="n"/>
      <c r="K1374" s="16" t="n"/>
      <c r="O1374" s="16" t="n"/>
      <c r="P1374" s="16" t="n"/>
      <c r="Q1374" s="16" t="n"/>
      <c r="R1374" s="16" t="n"/>
    </row>
    <row r="1375" ht="15" customHeight="1" s="12">
      <c r="B1375" s="16" t="n"/>
      <c r="K1375" s="16" t="n"/>
      <c r="O1375" s="16" t="n"/>
      <c r="P1375" s="16" t="n"/>
      <c r="Q1375" s="16" t="n"/>
      <c r="R1375" s="16" t="n"/>
    </row>
    <row r="1376" ht="15" customHeight="1" s="12">
      <c r="B1376" s="16" t="n"/>
      <c r="K1376" s="16" t="n"/>
      <c r="O1376" s="16" t="n"/>
      <c r="P1376" s="16" t="n"/>
      <c r="Q1376" s="16" t="n"/>
      <c r="R1376" s="16" t="n"/>
    </row>
    <row r="1377" ht="15" customHeight="1" s="12">
      <c r="B1377" s="16" t="n"/>
      <c r="K1377" s="16" t="n"/>
      <c r="O1377" s="16" t="n"/>
      <c r="P1377" s="16" t="n"/>
      <c r="Q1377" s="16" t="n"/>
      <c r="R1377" s="16" t="n"/>
    </row>
    <row r="1378" ht="15" customHeight="1" s="12">
      <c r="B1378" s="16" t="n"/>
      <c r="K1378" s="16" t="n"/>
      <c r="O1378" s="16" t="n"/>
      <c r="P1378" s="16" t="n"/>
      <c r="Q1378" s="16" t="n"/>
      <c r="R1378" s="16" t="n"/>
    </row>
    <row r="1379" ht="15" customHeight="1" s="12">
      <c r="B1379" s="16" t="n"/>
      <c r="K1379" s="16" t="n"/>
      <c r="O1379" s="16" t="n"/>
      <c r="P1379" s="16" t="n"/>
      <c r="Q1379" s="16" t="n"/>
      <c r="R1379" s="16" t="n"/>
    </row>
    <row r="1380" ht="15" customHeight="1" s="12">
      <c r="B1380" s="16" t="n"/>
      <c r="K1380" s="16" t="n"/>
      <c r="O1380" s="16" t="n"/>
      <c r="P1380" s="16" t="n"/>
      <c r="Q1380" s="16" t="n"/>
      <c r="R1380" s="16" t="n"/>
    </row>
    <row r="1381" ht="15" customHeight="1" s="12">
      <c r="B1381" s="16" t="n"/>
      <c r="K1381" s="16" t="n"/>
      <c r="O1381" s="16" t="n"/>
      <c r="P1381" s="16" t="n"/>
      <c r="Q1381" s="16" t="n"/>
      <c r="R1381" s="16" t="n"/>
    </row>
    <row r="1382" ht="15" customHeight="1" s="12">
      <c r="B1382" s="16" t="n"/>
      <c r="K1382" s="16" t="n"/>
      <c r="O1382" s="16" t="n"/>
      <c r="P1382" s="16" t="n"/>
      <c r="Q1382" s="16" t="n"/>
      <c r="R1382" s="16" t="n"/>
    </row>
    <row r="1383" ht="15" customHeight="1" s="12">
      <c r="B1383" s="16" t="n"/>
      <c r="K1383" s="16" t="n"/>
      <c r="O1383" s="16" t="n"/>
      <c r="P1383" s="16" t="n"/>
      <c r="Q1383" s="16" t="n"/>
      <c r="R1383" s="16" t="n"/>
    </row>
    <row r="1384" ht="15" customHeight="1" s="12">
      <c r="B1384" s="16" t="n"/>
      <c r="K1384" s="16" t="n"/>
      <c r="O1384" s="16" t="n"/>
      <c r="P1384" s="16" t="n"/>
      <c r="Q1384" s="16" t="n"/>
      <c r="R1384" s="16" t="n"/>
    </row>
    <row r="1385" ht="15" customHeight="1" s="12">
      <c r="B1385" s="16" t="n"/>
      <c r="K1385" s="16" t="n"/>
      <c r="O1385" s="16" t="n"/>
      <c r="P1385" s="16" t="n"/>
      <c r="Q1385" s="16" t="n"/>
      <c r="R1385" s="16" t="n"/>
    </row>
    <row r="1386" ht="15" customHeight="1" s="12">
      <c r="B1386" s="16" t="n"/>
      <c r="K1386" s="16" t="n"/>
      <c r="O1386" s="16" t="n"/>
      <c r="P1386" s="16" t="n"/>
      <c r="Q1386" s="16" t="n"/>
      <c r="R1386" s="16" t="n"/>
    </row>
    <row r="1387" ht="15" customHeight="1" s="12">
      <c r="B1387" s="16" t="n"/>
      <c r="K1387" s="16" t="n"/>
      <c r="O1387" s="16" t="n"/>
      <c r="P1387" s="16" t="n"/>
      <c r="Q1387" s="16" t="n"/>
      <c r="R1387" s="16" t="n"/>
    </row>
    <row r="1388" ht="15" customHeight="1" s="12">
      <c r="B1388" s="16" t="n"/>
      <c r="K1388" s="16" t="n"/>
      <c r="O1388" s="16" t="n"/>
      <c r="P1388" s="16" t="n"/>
      <c r="Q1388" s="16" t="n"/>
      <c r="R1388" s="16" t="n"/>
    </row>
    <row r="1389" ht="15" customHeight="1" s="12">
      <c r="B1389" s="16" t="n"/>
      <c r="K1389" s="16" t="n"/>
      <c r="O1389" s="16" t="n"/>
      <c r="P1389" s="16" t="n"/>
      <c r="Q1389" s="16" t="n"/>
      <c r="R1389" s="16" t="n"/>
    </row>
    <row r="1390" ht="15" customHeight="1" s="12">
      <c r="B1390" s="16" t="n"/>
      <c r="K1390" s="16" t="n"/>
      <c r="O1390" s="16" t="n"/>
      <c r="P1390" s="16" t="n"/>
      <c r="Q1390" s="16" t="n"/>
      <c r="R1390" s="16" t="n"/>
    </row>
    <row r="1391" ht="15" customHeight="1" s="12">
      <c r="B1391" s="16" t="n"/>
      <c r="K1391" s="16" t="n"/>
      <c r="O1391" s="16" t="n"/>
      <c r="P1391" s="16" t="n"/>
      <c r="Q1391" s="16" t="n"/>
      <c r="R1391" s="16" t="n"/>
    </row>
    <row r="1392" ht="15" customHeight="1" s="12">
      <c r="B1392" s="16" t="n"/>
      <c r="K1392" s="16" t="n"/>
      <c r="O1392" s="16" t="n"/>
      <c r="P1392" s="16" t="n"/>
      <c r="Q1392" s="16" t="n"/>
      <c r="R1392" s="16" t="n"/>
    </row>
    <row r="1393" ht="15" customHeight="1" s="12">
      <c r="B1393" s="16" t="n"/>
      <c r="K1393" s="16" t="n"/>
      <c r="O1393" s="16" t="n"/>
      <c r="P1393" s="16" t="n"/>
      <c r="Q1393" s="16" t="n"/>
      <c r="R1393" s="16" t="n"/>
    </row>
    <row r="1394" ht="15" customHeight="1" s="12">
      <c r="B1394" s="16" t="n"/>
      <c r="K1394" s="16" t="n"/>
      <c r="O1394" s="16" t="n"/>
      <c r="P1394" s="16" t="n"/>
      <c r="Q1394" s="16" t="n"/>
      <c r="R1394" s="16" t="n"/>
    </row>
    <row r="1395" ht="15" customHeight="1" s="12">
      <c r="B1395" s="16" t="n"/>
      <c r="K1395" s="16" t="n"/>
      <c r="O1395" s="16" t="n"/>
      <c r="P1395" s="16" t="n"/>
      <c r="Q1395" s="16" t="n"/>
      <c r="R1395" s="16" t="n"/>
    </row>
    <row r="1396" ht="15" customHeight="1" s="12">
      <c r="B1396" s="16" t="n"/>
      <c r="K1396" s="16" t="n"/>
      <c r="O1396" s="16" t="n"/>
      <c r="P1396" s="16" t="n"/>
      <c r="Q1396" s="16" t="n"/>
      <c r="R1396" s="16" t="n"/>
    </row>
    <row r="1397" ht="15" customHeight="1" s="12">
      <c r="B1397" s="16" t="n"/>
      <c r="K1397" s="16" t="n"/>
      <c r="O1397" s="16" t="n"/>
      <c r="P1397" s="16" t="n"/>
      <c r="Q1397" s="16" t="n"/>
      <c r="R1397" s="16" t="n"/>
    </row>
    <row r="1398" ht="15" customHeight="1" s="12">
      <c r="B1398" s="16" t="n"/>
      <c r="K1398" s="16" t="n"/>
      <c r="O1398" s="16" t="n"/>
      <c r="P1398" s="16" t="n"/>
      <c r="Q1398" s="16" t="n"/>
      <c r="R1398" s="16" t="n"/>
    </row>
    <row r="1399" ht="15" customHeight="1" s="12">
      <c r="B1399" s="16" t="n"/>
      <c r="K1399" s="16" t="n"/>
      <c r="O1399" s="16" t="n"/>
      <c r="P1399" s="16" t="n"/>
      <c r="Q1399" s="16" t="n"/>
      <c r="R1399" s="16" t="n"/>
    </row>
    <row r="1400" ht="15" customHeight="1" s="12">
      <c r="B1400" s="16" t="n"/>
      <c r="K1400" s="16" t="n"/>
      <c r="O1400" s="16" t="n"/>
      <c r="P1400" s="16" t="n"/>
      <c r="Q1400" s="16" t="n"/>
      <c r="R1400" s="16" t="n"/>
    </row>
    <row r="1401" ht="15" customHeight="1" s="12">
      <c r="B1401" s="16" t="n"/>
      <c r="K1401" s="16" t="n"/>
      <c r="O1401" s="16" t="n"/>
      <c r="P1401" s="16" t="n"/>
      <c r="Q1401" s="16" t="n"/>
      <c r="R1401" s="16" t="n"/>
    </row>
    <row r="1402" ht="15" customHeight="1" s="12">
      <c r="B1402" s="16" t="n"/>
      <c r="K1402" s="16" t="n"/>
      <c r="O1402" s="16" t="n"/>
      <c r="P1402" s="16" t="n"/>
      <c r="Q1402" s="16" t="n"/>
      <c r="R1402" s="16" t="n"/>
    </row>
    <row r="1403" ht="15" customHeight="1" s="12">
      <c r="B1403" s="16" t="n"/>
      <c r="K1403" s="16" t="n"/>
      <c r="O1403" s="16" t="n"/>
      <c r="P1403" s="16" t="n"/>
      <c r="Q1403" s="16" t="n"/>
      <c r="R1403" s="16" t="n"/>
    </row>
    <row r="1404" ht="15" customHeight="1" s="12">
      <c r="B1404" s="16" t="n"/>
      <c r="K1404" s="16" t="n"/>
      <c r="O1404" s="16" t="n"/>
      <c r="P1404" s="16" t="n"/>
      <c r="Q1404" s="16" t="n"/>
      <c r="R1404" s="16" t="n"/>
    </row>
    <row r="1405" ht="15" customHeight="1" s="12">
      <c r="B1405" s="16" t="n"/>
      <c r="K1405" s="16" t="n"/>
      <c r="O1405" s="16" t="n"/>
      <c r="P1405" s="16" t="n"/>
      <c r="Q1405" s="16" t="n"/>
      <c r="R1405" s="16" t="n"/>
    </row>
    <row r="1406" ht="15" customHeight="1" s="12">
      <c r="B1406" s="16" t="n"/>
      <c r="K1406" s="16" t="n"/>
      <c r="O1406" s="16" t="n"/>
      <c r="P1406" s="16" t="n"/>
      <c r="Q1406" s="16" t="n"/>
      <c r="R1406" s="16" t="n"/>
    </row>
    <row r="1407" ht="15" customHeight="1" s="12">
      <c r="B1407" s="16" t="n"/>
      <c r="K1407" s="16" t="n"/>
      <c r="O1407" s="16" t="n"/>
      <c r="P1407" s="16" t="n"/>
      <c r="Q1407" s="16" t="n"/>
      <c r="R1407" s="16" t="n"/>
    </row>
    <row r="1408" ht="15" customHeight="1" s="12">
      <c r="B1408" s="16" t="n"/>
      <c r="K1408" s="16" t="n"/>
      <c r="O1408" s="16" t="n"/>
      <c r="P1408" s="16" t="n"/>
      <c r="Q1408" s="16" t="n"/>
      <c r="R1408" s="16" t="n"/>
    </row>
    <row r="1409" ht="15" customHeight="1" s="12">
      <c r="B1409" s="16" t="n"/>
      <c r="K1409" s="16" t="n"/>
      <c r="O1409" s="16" t="n"/>
      <c r="P1409" s="16" t="n"/>
      <c r="Q1409" s="16" t="n"/>
      <c r="R1409" s="16" t="n"/>
    </row>
    <row r="1410" ht="15" customHeight="1" s="12">
      <c r="B1410" s="16" t="n"/>
      <c r="K1410" s="16" t="n"/>
      <c r="O1410" s="16" t="n"/>
      <c r="P1410" s="16" t="n"/>
      <c r="Q1410" s="16" t="n"/>
      <c r="R1410" s="16" t="n"/>
    </row>
    <row r="1411" ht="15" customHeight="1" s="12">
      <c r="B1411" s="16" t="n"/>
      <c r="K1411" s="16" t="n"/>
      <c r="O1411" s="16" t="n"/>
      <c r="P1411" s="16" t="n"/>
      <c r="Q1411" s="16" t="n"/>
      <c r="R1411" s="16" t="n"/>
    </row>
    <row r="1412" ht="15" customHeight="1" s="12">
      <c r="B1412" s="16" t="n"/>
      <c r="K1412" s="16" t="n"/>
      <c r="O1412" s="16" t="n"/>
      <c r="P1412" s="16" t="n"/>
      <c r="Q1412" s="16" t="n"/>
      <c r="R1412" s="16" t="n"/>
    </row>
    <row r="1413" ht="15" customHeight="1" s="12">
      <c r="B1413" s="16" t="n"/>
      <c r="K1413" s="16" t="n"/>
      <c r="O1413" s="16" t="n"/>
      <c r="P1413" s="16" t="n"/>
      <c r="Q1413" s="16" t="n"/>
      <c r="R1413" s="16" t="n"/>
    </row>
    <row r="1414" ht="15" customHeight="1" s="12">
      <c r="B1414" s="16" t="n"/>
      <c r="K1414" s="16" t="n"/>
      <c r="O1414" s="16" t="n"/>
      <c r="P1414" s="16" t="n"/>
      <c r="Q1414" s="16" t="n"/>
      <c r="R1414" s="16" t="n"/>
    </row>
    <row r="1415" ht="15" customHeight="1" s="12">
      <c r="B1415" s="16" t="n"/>
      <c r="K1415" s="16" t="n"/>
      <c r="O1415" s="16" t="n"/>
      <c r="P1415" s="16" t="n"/>
      <c r="Q1415" s="16" t="n"/>
      <c r="R1415" s="16" t="n"/>
    </row>
    <row r="1416" ht="15" customHeight="1" s="12">
      <c r="B1416" s="16" t="n"/>
      <c r="K1416" s="16" t="n"/>
      <c r="O1416" s="16" t="n"/>
      <c r="P1416" s="16" t="n"/>
      <c r="Q1416" s="16" t="n"/>
      <c r="R1416" s="16" t="n"/>
    </row>
    <row r="1417" ht="15" customHeight="1" s="12">
      <c r="B1417" s="16" t="n"/>
      <c r="K1417" s="16" t="n"/>
      <c r="O1417" s="16" t="n"/>
      <c r="P1417" s="16" t="n"/>
      <c r="Q1417" s="16" t="n"/>
      <c r="R1417" s="16" t="n"/>
    </row>
    <row r="1418" ht="15" customHeight="1" s="12">
      <c r="B1418" s="16" t="n"/>
      <c r="K1418" s="16" t="n"/>
      <c r="O1418" s="16" t="n"/>
      <c r="P1418" s="16" t="n"/>
      <c r="Q1418" s="16" t="n"/>
      <c r="R1418" s="16" t="n"/>
    </row>
    <row r="1419" ht="15" customHeight="1" s="12">
      <c r="B1419" s="16" t="n"/>
      <c r="K1419" s="16" t="n"/>
      <c r="O1419" s="16" t="n"/>
      <c r="P1419" s="16" t="n"/>
      <c r="Q1419" s="16" t="n"/>
      <c r="R1419" s="16" t="n"/>
    </row>
    <row r="1420" ht="15" customHeight="1" s="12">
      <c r="B1420" s="16" t="n"/>
      <c r="K1420" s="16" t="n"/>
      <c r="O1420" s="16" t="n"/>
      <c r="P1420" s="16" t="n"/>
      <c r="Q1420" s="16" t="n"/>
      <c r="R1420" s="16" t="n"/>
    </row>
    <row r="1421" ht="15" customHeight="1" s="12">
      <c r="B1421" s="16" t="n"/>
      <c r="K1421" s="16" t="n"/>
      <c r="O1421" s="16" t="n"/>
      <c r="P1421" s="16" t="n"/>
      <c r="Q1421" s="16" t="n"/>
      <c r="R1421" s="16" t="n"/>
    </row>
    <row r="1422" ht="15" customHeight="1" s="12">
      <c r="P1422" s="16" t="n"/>
      <c r="Q1422" s="16" t="n"/>
      <c r="R1422" s="16" t="n"/>
    </row>
    <row r="1423" ht="15" customHeight="1" s="12">
      <c r="P1423" s="16" t="n"/>
      <c r="Q1423" s="16" t="n"/>
      <c r="R1423" s="16" t="n"/>
    </row>
    <row r="1424" ht="15" customHeight="1" s="12">
      <c r="P1424" s="16" t="n"/>
      <c r="Q1424" s="16" t="n"/>
      <c r="R1424" s="16" t="n"/>
    </row>
    <row r="1425" ht="15" customHeight="1" s="12">
      <c r="P1425" s="16" t="n"/>
      <c r="Q1425" s="16" t="n"/>
      <c r="R1425" s="16" t="n"/>
    </row>
    <row r="1426" ht="15" customHeight="1" s="12">
      <c r="P1426" s="16" t="n"/>
      <c r="Q1426" s="16" t="n"/>
      <c r="R1426" s="16" t="n"/>
    </row>
    <row r="1427" ht="15" customHeight="1" s="12">
      <c r="P1427" s="16" t="n"/>
      <c r="Q1427" s="16" t="n"/>
      <c r="R1427" s="16" t="n"/>
    </row>
    <row r="1428" ht="15" customHeight="1" s="12">
      <c r="P1428" s="16" t="n"/>
      <c r="Q1428" s="16" t="n"/>
      <c r="R1428" s="16" t="n"/>
    </row>
    <row r="1429" ht="15" customHeight="1" s="12">
      <c r="P1429" s="16" t="n"/>
      <c r="Q1429" s="16" t="n"/>
      <c r="R1429" s="16" t="n"/>
    </row>
    <row r="1430" ht="15" customHeight="1" s="12">
      <c r="P1430" s="16" t="n"/>
      <c r="Q1430" s="16" t="n"/>
      <c r="R1430" s="16" t="n"/>
    </row>
    <row r="1431" ht="15" customHeight="1" s="12">
      <c r="P1431" s="16" t="n"/>
      <c r="Q1431" s="16" t="n"/>
      <c r="R1431" s="16" t="n"/>
    </row>
    <row r="1432" ht="15" customHeight="1" s="12">
      <c r="P1432" s="16" t="n"/>
      <c r="Q1432" s="16" t="n"/>
      <c r="R1432" s="16" t="n"/>
    </row>
    <row r="1433" ht="15" customHeight="1" s="12">
      <c r="P1433" s="16" t="n"/>
      <c r="Q1433" s="16" t="n"/>
      <c r="R1433" s="16" t="n"/>
    </row>
    <row r="1434" ht="15" customHeight="1" s="12">
      <c r="P1434" s="16" t="n"/>
      <c r="Q1434" s="16" t="n"/>
      <c r="R1434" s="16" t="n"/>
    </row>
    <row r="1435" ht="15" customHeight="1" s="12">
      <c r="P1435" s="16" t="n"/>
      <c r="Q1435" s="16" t="n"/>
      <c r="R1435" s="16" t="n"/>
    </row>
    <row r="1436" ht="15" customHeight="1" s="12">
      <c r="P1436" s="16" t="n"/>
      <c r="Q1436" s="16" t="n"/>
      <c r="R1436" s="16" t="n"/>
    </row>
    <row r="1437" ht="15" customHeight="1" s="12">
      <c r="P1437" s="16" t="n"/>
      <c r="Q1437" s="16" t="n"/>
      <c r="R1437" s="16" t="n"/>
    </row>
    <row r="1438" ht="15" customHeight="1" s="12">
      <c r="P1438" s="16" t="n"/>
      <c r="Q1438" s="16" t="n"/>
      <c r="R1438" s="16" t="n"/>
    </row>
    <row r="1439" ht="15" customHeight="1" s="12">
      <c r="P1439" s="16" t="n"/>
      <c r="Q1439" s="16" t="n"/>
      <c r="R1439" s="16" t="n"/>
    </row>
    <row r="1440" ht="15" customHeight="1" s="12">
      <c r="P1440" s="16" t="n"/>
      <c r="Q1440" s="16" t="n"/>
      <c r="R1440" s="16" t="n"/>
    </row>
    <row r="1441" ht="15" customHeight="1" s="12">
      <c r="P1441" s="16" t="n"/>
      <c r="Q1441" s="16" t="n"/>
      <c r="R1441" s="16" t="n"/>
    </row>
    <row r="1442" ht="15" customHeight="1" s="12">
      <c r="P1442" s="16" t="n"/>
      <c r="Q1442" s="16" t="n"/>
      <c r="R1442" s="16" t="n"/>
    </row>
    <row r="1443" ht="15" customHeight="1" s="12">
      <c r="P1443" s="16" t="n"/>
      <c r="Q1443" s="16" t="n"/>
      <c r="R1443" s="16" t="n"/>
    </row>
    <row r="1444" ht="15" customHeight="1" s="12">
      <c r="P1444" s="16" t="n"/>
      <c r="Q1444" s="16" t="n"/>
      <c r="R1444" s="16" t="n"/>
    </row>
    <row r="1445" ht="15" customHeight="1" s="12">
      <c r="P1445" s="16" t="n"/>
      <c r="Q1445" s="16" t="n"/>
      <c r="R1445" s="16" t="n"/>
    </row>
    <row r="1446" ht="15" customHeight="1" s="12">
      <c r="P1446" s="16" t="n"/>
      <c r="Q1446" s="16" t="n"/>
      <c r="R1446" s="16" t="n"/>
    </row>
    <row r="1447" ht="15" customHeight="1" s="12">
      <c r="P1447" s="16" t="n"/>
      <c r="Q1447" s="16" t="n"/>
      <c r="R1447" s="16" t="n"/>
    </row>
    <row r="1448" ht="15" customHeight="1" s="12">
      <c r="P1448" s="16" t="n"/>
      <c r="Q1448" s="16" t="n"/>
      <c r="R1448" s="16" t="n"/>
    </row>
    <row r="1449" ht="15" customHeight="1" s="12">
      <c r="P1449" s="16" t="n"/>
      <c r="Q1449" s="16" t="n"/>
      <c r="R1449" s="16" t="n"/>
    </row>
    <row r="1450" ht="15" customHeight="1" s="12">
      <c r="P1450" s="16" t="n"/>
      <c r="Q1450" s="16" t="n"/>
      <c r="R1450" s="16" t="n"/>
    </row>
    <row r="1451" ht="15" customHeight="1" s="12">
      <c r="P1451" s="16" t="n"/>
      <c r="Q1451" s="16" t="n"/>
      <c r="R1451" s="16" t="n"/>
    </row>
    <row r="1452" ht="15" customHeight="1" s="12">
      <c r="P1452" s="16" t="n"/>
      <c r="Q1452" s="16" t="n"/>
      <c r="R1452" s="16" t="n"/>
    </row>
    <row r="1453" ht="15" customHeight="1" s="12">
      <c r="P1453" s="16" t="n"/>
      <c r="Q1453" s="16" t="n"/>
      <c r="R1453" s="16" t="n"/>
    </row>
    <row r="1454" ht="15" customHeight="1" s="12">
      <c r="P1454" s="16" t="n"/>
      <c r="Q1454" s="16" t="n"/>
      <c r="R1454" s="16" t="n"/>
    </row>
    <row r="1455" ht="15" customHeight="1" s="12">
      <c r="P1455" s="16" t="n"/>
      <c r="Q1455" s="16" t="n"/>
      <c r="R1455" s="16" t="n"/>
    </row>
    <row r="1456" ht="15" customHeight="1" s="12">
      <c r="P1456" s="16" t="n"/>
      <c r="Q1456" s="16" t="n"/>
      <c r="R1456" s="16" t="n"/>
    </row>
    <row r="1457" ht="15" customHeight="1" s="12">
      <c r="P1457" s="16" t="n"/>
      <c r="Q1457" s="16" t="n"/>
      <c r="R1457" s="16" t="n"/>
    </row>
    <row r="1458" ht="15" customHeight="1" s="12">
      <c r="P1458" s="16" t="n"/>
      <c r="Q1458" s="16" t="n"/>
      <c r="R1458" s="16" t="n"/>
    </row>
    <row r="1459" ht="15" customHeight="1" s="12">
      <c r="P1459" s="16" t="n"/>
      <c r="Q1459" s="16" t="n"/>
      <c r="R1459" s="16" t="n"/>
    </row>
    <row r="1460" ht="15" customHeight="1" s="12">
      <c r="P1460" s="16" t="n"/>
      <c r="Q1460" s="16" t="n"/>
      <c r="R1460" s="16" t="n"/>
    </row>
    <row r="1461" ht="15" customHeight="1" s="12">
      <c r="P1461" s="16" t="n"/>
      <c r="Q1461" s="16" t="n"/>
      <c r="R1461" s="16" t="n"/>
    </row>
    <row r="1462" ht="15" customHeight="1" s="12">
      <c r="P1462" s="16" t="n"/>
      <c r="Q1462" s="16" t="n"/>
      <c r="R1462" s="16" t="n"/>
    </row>
    <row r="1463" ht="15" customHeight="1" s="12">
      <c r="P1463" s="16" t="n"/>
      <c r="Q1463" s="16" t="n"/>
      <c r="R1463" s="16" t="n"/>
    </row>
    <row r="1464" ht="15" customHeight="1" s="12">
      <c r="P1464" s="16" t="n"/>
      <c r="Q1464" s="16" t="n"/>
      <c r="R1464" s="16" t="n"/>
    </row>
    <row r="1465" ht="15" customHeight="1" s="12">
      <c r="P1465" s="16" t="n"/>
      <c r="Q1465" s="16" t="n"/>
      <c r="R1465" s="16" t="n"/>
    </row>
    <row r="1466" ht="15" customHeight="1" s="12">
      <c r="P1466" s="16" t="n"/>
      <c r="Q1466" s="16" t="n"/>
      <c r="R1466" s="16" t="n"/>
    </row>
    <row r="1467" ht="15" customHeight="1" s="12">
      <c r="P1467" s="16" t="n"/>
      <c r="Q1467" s="16" t="n"/>
      <c r="R1467" s="16" t="n"/>
    </row>
    <row r="1468" ht="15" customHeight="1" s="12">
      <c r="P1468" s="16" t="n"/>
      <c r="Q1468" s="16" t="n"/>
      <c r="R1468" s="16" t="n"/>
    </row>
    <row r="1469" ht="15" customHeight="1" s="12">
      <c r="P1469" s="16" t="n"/>
      <c r="Q1469" s="16" t="n"/>
      <c r="R1469" s="16" t="n"/>
    </row>
    <row r="1470" ht="15" customHeight="1" s="12">
      <c r="P1470" s="16" t="n"/>
      <c r="Q1470" s="16" t="n"/>
      <c r="R1470" s="16" t="n"/>
    </row>
    <row r="1471" ht="15" customHeight="1" s="12">
      <c r="P1471" s="16" t="n"/>
      <c r="Q1471" s="16" t="n"/>
      <c r="R1471" s="16" t="n"/>
    </row>
    <row r="1472" ht="15" customHeight="1" s="12">
      <c r="P1472" s="16" t="n"/>
      <c r="Q1472" s="16" t="n"/>
      <c r="R1472" s="16" t="n"/>
    </row>
    <row r="1473" ht="15" customHeight="1" s="12">
      <c r="P1473" s="16" t="n"/>
      <c r="Q1473" s="16" t="n"/>
      <c r="R1473" s="16" t="n"/>
    </row>
    <row r="1474" ht="15" customHeight="1" s="12">
      <c r="P1474" s="16" t="n"/>
      <c r="Q1474" s="16" t="n"/>
      <c r="R1474" s="16" t="n"/>
    </row>
    <row r="1475" ht="15" customHeight="1" s="12">
      <c r="P1475" s="16" t="n"/>
      <c r="Q1475" s="16" t="n"/>
      <c r="R1475" s="16" t="n"/>
    </row>
    <row r="1476" ht="15" customHeight="1" s="12">
      <c r="P1476" s="16" t="n"/>
      <c r="Q1476" s="16" t="n"/>
      <c r="R1476" s="16" t="n"/>
    </row>
    <row r="1477" ht="15" customHeight="1" s="12">
      <c r="P1477" s="16" t="n"/>
      <c r="Q1477" s="16" t="n"/>
      <c r="R1477" s="16" t="n"/>
    </row>
    <row r="1478" ht="15" customHeight="1" s="12">
      <c r="P1478" s="16" t="n"/>
      <c r="Q1478" s="16" t="n"/>
      <c r="R1478" s="16" t="n"/>
    </row>
    <row r="1479" ht="15" customHeight="1" s="12">
      <c r="P1479" s="16" t="n"/>
      <c r="Q1479" s="16" t="n"/>
      <c r="R1479" s="16" t="n"/>
    </row>
    <row r="1480" ht="15" customHeight="1" s="12">
      <c r="P1480" s="16" t="n"/>
      <c r="Q1480" s="16" t="n"/>
      <c r="R1480" s="16" t="n"/>
    </row>
    <row r="1481" ht="15" customHeight="1" s="12">
      <c r="P1481" s="16" t="n"/>
      <c r="Q1481" s="16" t="n"/>
      <c r="R1481" s="16" t="n"/>
    </row>
    <row r="1482" ht="15" customHeight="1" s="12">
      <c r="P1482" s="16" t="n"/>
      <c r="Q1482" s="16" t="n"/>
      <c r="R1482" s="16" t="n"/>
    </row>
    <row r="1483" ht="15" customHeight="1" s="12">
      <c r="P1483" s="16" t="n"/>
      <c r="Q1483" s="16" t="n"/>
      <c r="R1483" s="16" t="n"/>
    </row>
    <row r="1484" ht="15" customHeight="1" s="12">
      <c r="P1484" s="16" t="n"/>
      <c r="Q1484" s="16" t="n"/>
      <c r="R1484" s="16" t="n"/>
    </row>
    <row r="1485" ht="15" customHeight="1" s="12">
      <c r="P1485" s="16" t="n"/>
      <c r="Q1485" s="16" t="n"/>
      <c r="R1485" s="16" t="n"/>
    </row>
    <row r="1486" ht="15" customHeight="1" s="12">
      <c r="P1486" s="16" t="n"/>
      <c r="Q1486" s="16" t="n"/>
      <c r="R1486" s="16" t="n"/>
    </row>
    <row r="1487" ht="15" customHeight="1" s="12">
      <c r="P1487" s="16" t="n"/>
      <c r="Q1487" s="16" t="n"/>
      <c r="R1487" s="16" t="n"/>
    </row>
    <row r="1488" ht="15" customHeight="1" s="12">
      <c r="P1488" s="16" t="n"/>
      <c r="Q1488" s="16" t="n"/>
      <c r="R1488" s="16" t="n"/>
    </row>
    <row r="1489" ht="15" customHeight="1" s="12">
      <c r="P1489" s="16" t="n"/>
      <c r="Q1489" s="16" t="n"/>
      <c r="R1489" s="16" t="n"/>
    </row>
    <row r="1490" ht="15" customHeight="1" s="12">
      <c r="P1490" s="16" t="n"/>
      <c r="Q1490" s="16" t="n"/>
      <c r="R1490" s="16" t="n"/>
    </row>
    <row r="1491" ht="15" customHeight="1" s="12">
      <c r="P1491" s="16" t="n"/>
      <c r="Q1491" s="16" t="n"/>
      <c r="R1491" s="16" t="n"/>
    </row>
    <row r="1492" ht="15" customHeight="1" s="12">
      <c r="P1492" s="16" t="n"/>
      <c r="Q1492" s="16" t="n"/>
      <c r="R1492" s="16" t="n"/>
    </row>
    <row r="1493" ht="15" customHeight="1" s="12">
      <c r="P1493" s="16" t="n"/>
      <c r="Q1493" s="16" t="n"/>
      <c r="R1493" s="16" t="n"/>
    </row>
    <row r="1494" ht="15" customHeight="1" s="12">
      <c r="P1494" s="16" t="n"/>
      <c r="Q1494" s="16" t="n"/>
      <c r="R1494" s="16" t="n"/>
    </row>
    <row r="1495" ht="15" customHeight="1" s="12">
      <c r="P1495" s="16" t="n"/>
      <c r="Q1495" s="16" t="n"/>
      <c r="R1495" s="16" t="n"/>
    </row>
    <row r="1496" ht="15" customHeight="1" s="12">
      <c r="P1496" s="16" t="n"/>
      <c r="Q1496" s="16" t="n"/>
      <c r="R1496" s="16" t="n"/>
    </row>
    <row r="1497" ht="15" customHeight="1" s="12">
      <c r="P1497" s="16" t="n"/>
      <c r="Q1497" s="16" t="n"/>
      <c r="R1497" s="16" t="n"/>
    </row>
    <row r="1498" ht="15" customHeight="1" s="12">
      <c r="P1498" s="16" t="n"/>
      <c r="Q1498" s="16" t="n"/>
      <c r="R1498" s="16" t="n"/>
    </row>
    <row r="1499" ht="15" customHeight="1" s="12">
      <c r="P1499" s="16" t="n"/>
      <c r="Q1499" s="16" t="n"/>
      <c r="R1499" s="16" t="n"/>
    </row>
    <row r="1500" ht="15" customHeight="1" s="12">
      <c r="P1500" s="16" t="n"/>
      <c r="Q1500" s="16" t="n"/>
      <c r="R1500" s="16" t="n"/>
    </row>
    <row r="1501" ht="15" customHeight="1" s="12">
      <c r="P1501" s="16" t="n"/>
      <c r="Q1501" s="16" t="n"/>
      <c r="R1501" s="16" t="n"/>
    </row>
    <row r="1502" ht="15" customHeight="1" s="12">
      <c r="P1502" s="16" t="n"/>
      <c r="Q1502" s="16" t="n"/>
      <c r="R1502" s="16" t="n"/>
    </row>
    <row r="1503" ht="15" customHeight="1" s="12">
      <c r="P1503" s="16" t="n"/>
      <c r="Q1503" s="16" t="n"/>
      <c r="R1503" s="16" t="n"/>
    </row>
    <row r="1504" ht="15" customHeight="1" s="12">
      <c r="P1504" s="16" t="n"/>
      <c r="Q1504" s="16" t="n"/>
      <c r="R1504" s="16" t="n"/>
    </row>
    <row r="1505" ht="15" customHeight="1" s="12">
      <c r="P1505" s="16" t="n"/>
      <c r="Q1505" s="16" t="n"/>
      <c r="R1505" s="16" t="n"/>
    </row>
    <row r="1506" ht="15" customHeight="1" s="12">
      <c r="P1506" s="16" t="n"/>
      <c r="Q1506" s="16" t="n"/>
      <c r="R1506" s="16" t="n"/>
    </row>
    <row r="1507" ht="15" customHeight="1" s="12">
      <c r="P1507" s="16" t="n"/>
      <c r="Q1507" s="16" t="n"/>
      <c r="R1507" s="16" t="n"/>
    </row>
    <row r="1508" ht="15" customHeight="1" s="12">
      <c r="P1508" s="16" t="n"/>
      <c r="Q1508" s="16" t="n"/>
      <c r="R1508" s="16" t="n"/>
    </row>
    <row r="1509" ht="15" customHeight="1" s="12">
      <c r="P1509" s="16" t="n"/>
      <c r="Q1509" s="16" t="n"/>
      <c r="R1509" s="16" t="n"/>
    </row>
    <row r="1510" ht="15" customHeight="1" s="12">
      <c r="P1510" s="16" t="n"/>
      <c r="Q1510" s="16" t="n"/>
      <c r="R1510" s="16" t="n"/>
    </row>
    <row r="1511" ht="15" customHeight="1" s="12">
      <c r="P1511" s="16" t="n"/>
      <c r="Q1511" s="16" t="n"/>
      <c r="R1511" s="16" t="n"/>
    </row>
    <row r="1512" ht="15" customHeight="1" s="12">
      <c r="P1512" s="16" t="n"/>
      <c r="Q1512" s="16" t="n"/>
      <c r="R1512" s="16" t="n"/>
    </row>
    <row r="1513" ht="15" customHeight="1" s="12">
      <c r="P1513" s="16" t="n"/>
      <c r="Q1513" s="16" t="n"/>
      <c r="R1513" s="16" t="n"/>
    </row>
    <row r="1514" ht="15" customHeight="1" s="12">
      <c r="P1514" s="16" t="n"/>
      <c r="Q1514" s="16" t="n"/>
      <c r="R1514" s="16" t="n"/>
    </row>
    <row r="1515" ht="15" customHeight="1" s="12">
      <c r="P1515" s="16" t="n"/>
      <c r="Q1515" s="16" t="n"/>
      <c r="R1515" s="16" t="n"/>
    </row>
    <row r="1516" ht="15" customHeight="1" s="12">
      <c r="P1516" s="16" t="n"/>
      <c r="Q1516" s="16" t="n"/>
      <c r="R1516" s="16" t="n"/>
    </row>
    <row r="1517" ht="15" customHeight="1" s="12">
      <c r="P1517" s="16" t="n"/>
      <c r="Q1517" s="16" t="n"/>
      <c r="R1517" s="16" t="n"/>
    </row>
    <row r="1518" ht="15" customHeight="1" s="12">
      <c r="P1518" s="16" t="n"/>
      <c r="Q1518" s="16" t="n"/>
      <c r="R1518" s="16" t="n"/>
    </row>
    <row r="1519" ht="15" customHeight="1" s="12">
      <c r="P1519" s="16" t="n"/>
      <c r="Q1519" s="16" t="n"/>
      <c r="R1519" s="16" t="n"/>
    </row>
    <row r="1520" ht="15" customHeight="1" s="12">
      <c r="P1520" s="16" t="n"/>
      <c r="Q1520" s="16" t="n"/>
      <c r="R1520" s="16" t="n"/>
    </row>
    <row r="1521" ht="15" customHeight="1" s="12">
      <c r="P1521" s="16" t="n"/>
      <c r="Q1521" s="16" t="n"/>
      <c r="R1521" s="16" t="n"/>
    </row>
    <row r="1522" ht="15" customHeight="1" s="12">
      <c r="P1522" s="16" t="n"/>
      <c r="Q1522" s="16" t="n"/>
      <c r="R1522" s="16" t="n"/>
    </row>
    <row r="1523" ht="15" customHeight="1" s="12">
      <c r="P1523" s="16" t="n"/>
      <c r="Q1523" s="16" t="n"/>
      <c r="R1523" s="16" t="n"/>
    </row>
    <row r="1524" ht="15" customHeight="1" s="12">
      <c r="P1524" s="16" t="n"/>
      <c r="Q1524" s="16" t="n"/>
      <c r="R1524" s="16" t="n"/>
    </row>
    <row r="1525" ht="15" customHeight="1" s="12">
      <c r="P1525" s="16" t="n"/>
      <c r="Q1525" s="16" t="n"/>
      <c r="R1525" s="16" t="n"/>
    </row>
    <row r="1526" ht="15" customHeight="1" s="12">
      <c r="P1526" s="16" t="n"/>
      <c r="Q1526" s="16" t="n"/>
      <c r="R1526" s="16" t="n"/>
    </row>
    <row r="1527" ht="15" customHeight="1" s="12">
      <c r="P1527" s="16" t="n"/>
      <c r="Q1527" s="16" t="n"/>
      <c r="R1527" s="16" t="n"/>
    </row>
    <row r="1528" ht="15" customHeight="1" s="12">
      <c r="P1528" s="16" t="n"/>
      <c r="Q1528" s="16" t="n"/>
      <c r="R1528" s="16" t="n"/>
    </row>
    <row r="1529" ht="15" customHeight="1" s="12">
      <c r="P1529" s="16" t="n"/>
      <c r="Q1529" s="16" t="n"/>
      <c r="R1529" s="16" t="n"/>
    </row>
    <row r="1530" ht="15" customHeight="1" s="12">
      <c r="P1530" s="16" t="n"/>
      <c r="Q1530" s="16" t="n"/>
      <c r="R1530" s="16" t="n"/>
    </row>
    <row r="1531" ht="15" customHeight="1" s="12">
      <c r="P1531" s="16" t="n"/>
      <c r="Q1531" s="16" t="n"/>
      <c r="R1531" s="16" t="n"/>
    </row>
    <row r="1532" ht="15" customHeight="1" s="12">
      <c r="P1532" s="16" t="n"/>
      <c r="Q1532" s="16" t="n"/>
      <c r="R1532" s="16" t="n"/>
    </row>
    <row r="1533" ht="15" customHeight="1" s="12">
      <c r="P1533" s="16" t="n"/>
      <c r="Q1533" s="16" t="n"/>
      <c r="R1533" s="16" t="n"/>
    </row>
    <row r="1534" ht="15" customHeight="1" s="12">
      <c r="P1534" s="16" t="n"/>
      <c r="Q1534" s="16" t="n"/>
      <c r="R1534" s="16" t="n"/>
    </row>
    <row r="1535" ht="15" customHeight="1" s="12">
      <c r="P1535" s="16" t="n"/>
      <c r="Q1535" s="16" t="n"/>
      <c r="R1535" s="16" t="n"/>
    </row>
    <row r="1536" ht="15" customHeight="1" s="12">
      <c r="P1536" s="16" t="n"/>
      <c r="Q1536" s="16" t="n"/>
      <c r="R1536" s="16" t="n"/>
    </row>
    <row r="1537" ht="15" customHeight="1" s="12">
      <c r="P1537" s="16" t="n"/>
      <c r="Q1537" s="16" t="n"/>
      <c r="R1537" s="16" t="n"/>
    </row>
    <row r="1538" ht="15" customHeight="1" s="12">
      <c r="P1538" s="16" t="n"/>
      <c r="Q1538" s="16" t="n"/>
      <c r="R1538" s="16" t="n"/>
    </row>
    <row r="1539" ht="15" customHeight="1" s="12">
      <c r="P1539" s="16" t="n"/>
      <c r="Q1539" s="16" t="n"/>
      <c r="R1539" s="16" t="n"/>
    </row>
    <row r="1540" ht="15" customHeight="1" s="12">
      <c r="P1540" s="16" t="n"/>
      <c r="Q1540" s="16" t="n"/>
      <c r="R1540" s="16" t="n"/>
    </row>
    <row r="1541" ht="15" customHeight="1" s="12">
      <c r="P1541" s="16" t="n"/>
      <c r="Q1541" s="16" t="n"/>
      <c r="R1541" s="16" t="n"/>
    </row>
    <row r="1542" ht="15" customHeight="1" s="12">
      <c r="P1542" s="16" t="n"/>
      <c r="Q1542" s="16" t="n"/>
      <c r="R1542" s="16" t="n"/>
    </row>
    <row r="1543" ht="15" customHeight="1" s="12">
      <c r="P1543" s="16" t="n"/>
      <c r="Q1543" s="16" t="n"/>
      <c r="R1543" s="16" t="n"/>
    </row>
    <row r="1544" ht="15" customHeight="1" s="12">
      <c r="P1544" s="16" t="n"/>
      <c r="Q1544" s="16" t="n"/>
      <c r="R1544" s="16" t="n"/>
    </row>
    <row r="1545" ht="15" customHeight="1" s="12">
      <c r="P1545" s="16" t="n"/>
      <c r="Q1545" s="16" t="n"/>
      <c r="R1545" s="16" t="n"/>
    </row>
    <row r="1546" ht="15" customHeight="1" s="12">
      <c r="P1546" s="16" t="n"/>
      <c r="Q1546" s="16" t="n"/>
      <c r="R1546" s="16" t="n"/>
    </row>
    <row r="1547" ht="15" customHeight="1" s="12">
      <c r="P1547" s="16" t="n"/>
      <c r="Q1547" s="16" t="n"/>
      <c r="R1547" s="16" t="n"/>
    </row>
    <row r="1548" ht="15" customHeight="1" s="12">
      <c r="P1548" s="16" t="n"/>
      <c r="Q1548" s="16" t="n"/>
      <c r="R1548" s="16" t="n"/>
    </row>
    <row r="1549" ht="15" customHeight="1" s="12">
      <c r="P1549" s="16" t="n"/>
      <c r="Q1549" s="16" t="n"/>
      <c r="R1549" s="16" t="n"/>
    </row>
    <row r="1550" ht="15" customHeight="1" s="12">
      <c r="P1550" s="16" t="n"/>
      <c r="Q1550" s="16" t="n"/>
      <c r="R1550" s="16" t="n"/>
    </row>
    <row r="1551" ht="15" customHeight="1" s="12">
      <c r="P1551" s="16" t="n"/>
      <c r="Q1551" s="16" t="n"/>
      <c r="R1551" s="16" t="n"/>
    </row>
    <row r="1552" ht="15" customHeight="1" s="12">
      <c r="A1552" s="16" t="inlineStr">
        <is>
          <t>F185-1</t>
        </is>
      </c>
      <c r="B1552" s="16" t="inlineStr">
        <is>
          <t>invima</t>
        </is>
      </c>
      <c r="C1552" s="16" t="inlineStr">
        <is>
          <t>Certificaciones y vigencias</t>
        </is>
      </c>
      <c r="D1552" s="16" t="inlineStr">
        <is>
          <t>C185</t>
        </is>
      </c>
      <c r="E1552" s="16" t="inlineStr">
        <is>
          <t>Tres certificaciones en una misma visita</t>
        </is>
      </c>
      <c r="F1552" s="16" t="inlineStr">
        <is>
          <t>Un grupo empresarial tiene una planta de licores, una de cosméticos y una línea de productos de higiene doméstica. Pide una reunión para saber cuánto le dura cada certificación y cada autorización, porque el año pasado se le venció una sin darse cuenta y tuvo que parar la producción.</t>
        </is>
      </c>
      <c r="G1552" s="16" t="inlineStr">
        <is>
          <t>El certificado de cumplimiento de Buenas Prácticas de Manufactura para bebidas alcohólicas tiene una vigencia de</t>
        </is>
      </c>
      <c r="H1552" s="16" t="inlineStr">
        <is>
          <t>Cuatro (4) años desde la ejecutoria del acto que lo concede</t>
        </is>
      </c>
      <c r="I1552" s="16" t="inlineStr">
        <is>
          <t>Cinco (5) años desde la ejecutoria del acto que lo concede</t>
        </is>
      </c>
      <c r="J1552" s="16" t="inlineStr">
        <is>
          <t>Siete (7) años desde la ejecutoria del acto que lo concede</t>
        </is>
      </c>
      <c r="K1552" s="16" t="inlineStr">
        <is>
          <t>A</t>
        </is>
      </c>
      <c r="L1552" s="16" t="inlineStr">
        <is>
          <t>Cuatro (4) años desde la ejecutoria del acto que lo concede, renovables por igual período. Decreto 1686 de 2012, artículo 43. Desde el 15 de enero de 2026, el artículo 41 (modificado por el artículo 7 del Decreto 1083 de 2025) permite solicitar el certificado de manera voluntaria, aunque el cumplimiento de las BPM sigue siendo obligatorio (artículo 22).</t>
        </is>
      </c>
      <c r="M1552" s="16" t="inlineStr">
        <is>
          <t>Cinco años corresponde a la certificación de BPM cosmética en Colombia y siete a la notificación sanitaria obligatoria de cosméticos: ninguno aplica a bebidas alcohólicas.</t>
        </is>
      </c>
      <c r="N1552" s="16" t="inlineStr">
        <is>
          <t>Decreto 1686 de 2012, arts. 41, 43 (mod. Decreto 1083 de 2025) y 22</t>
        </is>
      </c>
      <c r="O1552" s="16" t="inlineStr">
        <is>
          <t>SI</t>
        </is>
      </c>
      <c r="P1552" s="16" t="inlineStr">
        <is>
          <t>Alta</t>
        </is>
      </c>
      <c r="Q1552" s="16" t="inlineStr">
        <is>
          <t>v2</t>
        </is>
      </c>
      <c r="R1552" s="16" t="inlineStr">
        <is>
          <t>Específico</t>
        </is>
      </c>
    </row>
    <row r="1553" ht="15" customHeight="1" s="12">
      <c r="A1553" s="16" t="inlineStr">
        <is>
          <t>F185-2</t>
        </is>
      </c>
      <c r="B1553" s="16" t="inlineStr">
        <is>
          <t>invima</t>
        </is>
      </c>
      <c r="C1553" s="16" t="inlineStr">
        <is>
          <t>Certificaciones y vigencias</t>
        </is>
      </c>
      <c r="D1553" s="16" t="inlineStr">
        <is>
          <t>C185</t>
        </is>
      </c>
      <c r="E1553" s="16" t="inlineStr">
        <is>
          <t>Tres certificaciones en una misma visita</t>
        </is>
      </c>
      <c r="F1553" s="16" t="inlineStr">
        <is>
          <t>Un grupo empresarial tiene una planta de licores, una de cosméticos y una línea de productos de higiene doméstica. Pide una reunión para saber cuánto le dura cada certificación y cada autorización, porque el año pasado se le venció una sin darse cuenta y tuvo que parar la producción.</t>
        </is>
      </c>
      <c r="G1553" s="16" t="inlineStr">
        <is>
          <t>Para un establecimiento colombiano, la certificación de Buenas Prácticas de Manufactura cosmética tiene una vigencia de</t>
        </is>
      </c>
      <c r="H1553" s="16" t="inlineStr">
        <is>
          <t>Tres (3) años, igual que en Bolivia, Ecuador y Perú</t>
        </is>
      </c>
      <c r="I1553" s="16" t="inlineStr">
        <is>
          <t>Cinco (5) años, con verificación de la autoridad nacional</t>
        </is>
      </c>
      <c r="J1553" s="16" t="inlineStr">
        <is>
          <t>Diez (10) años, como el registro de dispositivos médicos</t>
        </is>
      </c>
      <c r="K1553" s="16" t="inlineStr">
        <is>
          <t>B</t>
        </is>
      </c>
      <c r="L1553" s="16" t="inlineStr">
        <is>
          <t>Cinco (5) años para Colombia. La Resolución 2206 de 2021 de la Secretaría General de la Comunidad Andina, que reglamenta el artículo 51 de la Decisión 833 de 2018, fija tres años para Bolivia, Ecuador y Perú y cinco para Colombia.</t>
        </is>
      </c>
      <c r="M1553" s="16" t="inlineStr">
        <is>
          <t>Tres años es la vigencia en los otros países miembros, no en Colombia; los diez años corresponden al registro sanitario de dispositivos médicos.</t>
        </is>
      </c>
      <c r="N1553" s="16" t="inlineStr">
        <is>
          <t>Resolución 2206 de 2021 (CAN), reglamentaria del art. 51 de la Decisión 833 de 2018</t>
        </is>
      </c>
      <c r="O1553" s="16" t="inlineStr">
        <is>
          <t>SI</t>
        </is>
      </c>
      <c r="P1553" s="16" t="inlineStr">
        <is>
          <t>Alta</t>
        </is>
      </c>
      <c r="Q1553" s="16" t="inlineStr">
        <is>
          <t>v2</t>
        </is>
      </c>
      <c r="R1553" s="16" t="inlineStr">
        <is>
          <t>Específico</t>
        </is>
      </c>
    </row>
    <row r="1554" ht="15" customHeight="1" s="12">
      <c r="A1554" s="16" t="inlineStr">
        <is>
          <t>F185-3</t>
        </is>
      </c>
      <c r="B1554" s="16" t="inlineStr">
        <is>
          <t>invima</t>
        </is>
      </c>
      <c r="C1554" s="16" t="inlineStr">
        <is>
          <t>Certificaciones y vigencias</t>
        </is>
      </c>
      <c r="D1554" s="16" t="inlineStr">
        <is>
          <t>C185</t>
        </is>
      </c>
      <c r="E1554" s="16" t="inlineStr">
        <is>
          <t>Tres certificaciones en una misma visita</t>
        </is>
      </c>
      <c r="F1554" s="16" t="inlineStr">
        <is>
          <t>Un grupo empresarial tiene una planta de licores, una de cosméticos y una línea de productos de higiene doméstica. Pide una reunión para saber cuánto le dura cada certificación y cada autorización, porque el año pasado se le venció una sin darse cuenta y tuvo que parar la producción.</t>
        </is>
      </c>
      <c r="G1554" s="16" t="inlineStr">
        <is>
          <t>La notificación sanitaria obligatoria (NSO) de un producto cosmético tiene una vigencia de</t>
        </is>
      </c>
      <c r="H1554" s="16" t="inlineStr">
        <is>
          <t>Cinco (5) años</t>
        </is>
      </c>
      <c r="I1554" s="16" t="inlineStr">
        <is>
          <t>Diez (10) años</t>
        </is>
      </c>
      <c r="J1554" s="16" t="inlineStr">
        <is>
          <t>Siete (7) años</t>
        </is>
      </c>
      <c r="K1554" s="16" t="inlineStr">
        <is>
          <t>C</t>
        </is>
      </c>
      <c r="L1554" s="16" t="inlineStr">
        <is>
          <t>Siete (7) años. Decisión 833 de 2018 de la Comunidad Andina, artículo 18.</t>
        </is>
      </c>
      <c r="M1554" s="16" t="inlineStr">
        <is>
          <t>Cinco años es la vigencia del registro sanitario de alimentos y de la certificación BPM cosmética; diez, la de la notificación sanitaria de alimentos y la de los dispositivos médicos.</t>
        </is>
      </c>
      <c r="N1554" s="16" t="inlineStr">
        <is>
          <t>Decisión Andina 833 de 2018, art. 18</t>
        </is>
      </c>
      <c r="O1554" s="16" t="inlineStr">
        <is>
          <t>SI</t>
        </is>
      </c>
      <c r="P1554" s="16" t="inlineStr">
        <is>
          <t>Alta</t>
        </is>
      </c>
      <c r="Q1554" s="16" t="inlineStr">
        <is>
          <t>v2</t>
        </is>
      </c>
      <c r="R1554" s="16" t="inlineStr">
        <is>
          <t>Específico</t>
        </is>
      </c>
    </row>
    <row r="1555" ht="15" customHeight="1" s="12">
      <c r="A1555" s="16" t="inlineStr">
        <is>
          <t>F186-1</t>
        </is>
      </c>
      <c r="B1555" s="16" t="inlineStr">
        <is>
          <t>invima</t>
        </is>
      </c>
      <c r="C1555" s="16" t="inlineStr">
        <is>
          <t>Certificaciones y vigencias</t>
        </is>
      </c>
      <c r="D1555" s="16" t="inlineStr">
        <is>
          <t>C186</t>
        </is>
      </c>
      <c r="E1555" s="16" t="inlineStr">
        <is>
          <t>Cuánto dura cada autorización</t>
        </is>
      </c>
      <c r="F1555" s="16" t="inlineStr">
        <is>
          <t>En una capacitación interna, tres profesionales discuten por cuánto tiempo se otorgan las autorizaciones sanitarias. Uno afirma que todas duran cinco años, otro dice que diez, y el tercero sostiene que depende del riesgo del producto y del tipo de trámite.</t>
        </is>
      </c>
      <c r="G1555" s="16" t="inlineStr">
        <is>
          <t>Para alimentos, la vigencia del registro sanitario (RSA) y la del permiso sanitario (PSA) son, respectivamente, de</t>
        </is>
      </c>
      <c r="H1555" s="16" t="inlineStr">
        <is>
          <t>Cinco (5) y siete (7) años</t>
        </is>
      </c>
      <c r="I1555" s="16" t="inlineStr">
        <is>
          <t>Cinco (5) y cinco (5) años</t>
        </is>
      </c>
      <c r="J1555" s="16" t="inlineStr">
        <is>
          <t>Siete (7) y diez (10) años</t>
        </is>
      </c>
      <c r="K1555" s="16" t="inlineStr">
        <is>
          <t>A</t>
        </is>
      </c>
      <c r="L1555" s="16" t="inlineStr">
        <is>
          <t>Cinco (5) años el registro y siete (7) el permiso, renovables por períodos iguales y con solicitud tres meses antes del vencimiento. Resolución 2674 de 2013, artículo 39.</t>
        </is>
      </c>
      <c r="M1555" s="16" t="inlineStr">
        <is>
          <t>Igualar ambos en cinco años desconoce el artículo 39; siete y diez confunde el permiso con la notificación sanitaria, que dura diez años (artículo 41).</t>
        </is>
      </c>
      <c r="N1555" s="16" t="inlineStr">
        <is>
          <t>Resolución 2674 de 2013, arts. 39 y 41</t>
        </is>
      </c>
      <c r="O1555" s="16" t="inlineStr">
        <is>
          <t>SI</t>
        </is>
      </c>
      <c r="P1555" s="16" t="inlineStr">
        <is>
          <t>Media</t>
        </is>
      </c>
      <c r="Q1555" s="16" t="inlineStr">
        <is>
          <t>v2</t>
        </is>
      </c>
      <c r="R1555" s="16" t="inlineStr">
        <is>
          <t>Específico</t>
        </is>
      </c>
    </row>
    <row r="1556" ht="15" customHeight="1" s="12">
      <c r="A1556" s="16" t="inlineStr">
        <is>
          <t>F186-2</t>
        </is>
      </c>
      <c r="B1556" s="16" t="inlineStr">
        <is>
          <t>invima</t>
        </is>
      </c>
      <c r="C1556" s="16" t="inlineStr">
        <is>
          <t>Certificaciones y vigencias</t>
        </is>
      </c>
      <c r="D1556" s="16" t="inlineStr">
        <is>
          <t>C186</t>
        </is>
      </c>
      <c r="E1556" s="16" t="inlineStr">
        <is>
          <t>Cuánto dura cada autorización</t>
        </is>
      </c>
      <c r="F1556" s="16" t="inlineStr">
        <is>
          <t>En una capacitación interna, tres profesionales discuten por cuánto tiempo se otorgan las autorizaciones sanitarias. Uno afirma que todas duran cinco años, otro dice que diez, y el tercero sostiene que depende del riesgo del producto y del tipo de trámite.</t>
        </is>
      </c>
      <c r="G1556" s="16" t="inlineStr">
        <is>
          <t>El registro sanitario y el permiso de comercialización de un dispositivo médico tienen una vigencia de</t>
        </is>
      </c>
      <c r="H1556" s="16" t="inlineStr">
        <is>
          <t>Cinco (5) años desde la expedición del acto administrativo</t>
        </is>
      </c>
      <c r="I1556" s="16" t="inlineStr">
        <is>
          <t>Diez (10) años desde la expedición del acto administrativo</t>
        </is>
      </c>
      <c r="J1556" s="16" t="inlineStr">
        <is>
          <t>Indefinida, mientras el titular reporte los cambios</t>
        </is>
      </c>
      <c r="K1556" s="16" t="inlineStr">
        <is>
          <t>B</t>
        </is>
      </c>
      <c r="L1556" s="16" t="inlineStr">
        <is>
          <t>Diez (10) años contados desde la expedición del acto administrativo. Decreto 4725 de 2005, artículo 31.</t>
        </is>
      </c>
      <c r="M1556" s="16" t="inlineStr">
        <is>
          <t>Cinco años corresponde al registro sanitario de alimentos; la vigencia indefinida es la de los medicamentos desde el Decreto 1474 de 2023, no la de los dispositivos.</t>
        </is>
      </c>
      <c r="N1556" s="16" t="inlineStr">
        <is>
          <t>Decreto 4725 de 2005, art. 31</t>
        </is>
      </c>
      <c r="O1556" s="16" t="inlineStr">
        <is>
          <t>SI</t>
        </is>
      </c>
      <c r="P1556" s="16" t="inlineStr">
        <is>
          <t>Media</t>
        </is>
      </c>
      <c r="Q1556" s="16" t="inlineStr">
        <is>
          <t>v2</t>
        </is>
      </c>
      <c r="R1556" s="16" t="inlineStr">
        <is>
          <t>Específico</t>
        </is>
      </c>
    </row>
    <row r="1557" ht="15" customHeight="1" s="12">
      <c r="A1557" s="16" t="inlineStr">
        <is>
          <t>F186-3</t>
        </is>
      </c>
      <c r="B1557" s="16" t="inlineStr">
        <is>
          <t>invima</t>
        </is>
      </c>
      <c r="C1557" s="16" t="inlineStr">
        <is>
          <t>Certificaciones y vigencias</t>
        </is>
      </c>
      <c r="D1557" s="16" t="inlineStr">
        <is>
          <t>C186</t>
        </is>
      </c>
      <c r="E1557" s="16" t="inlineStr">
        <is>
          <t>Cuánto dura cada autorización</t>
        </is>
      </c>
      <c r="F1557" s="16" t="inlineStr">
        <is>
          <t>En una capacitación interna, tres profesionales discuten por cuánto tiempo se otorgan las autorizaciones sanitarias. Uno afirma que todas duran cinco años, otro dice que diez, y el tercero sostiene que depende del riesgo del producto y del tipo de trámite.</t>
        </is>
      </c>
      <c r="G1557" s="16" t="inlineStr">
        <is>
          <t>El registro sanitario de un medicamento de síntesis química tiene hoy una vigencia</t>
        </is>
      </c>
      <c r="H1557" s="16" t="inlineStr">
        <is>
          <t>De cinco (5) años, renovable por períodos iguales</t>
        </is>
      </c>
      <c r="I1557" s="16" t="inlineStr">
        <is>
          <t>De diez (10) años, igual que la de los dispositivos médicos</t>
        </is>
      </c>
      <c r="J1557" s="16" t="inlineStr">
        <is>
          <t>Indefinida, sujeta a la vigilancia posterior del Invima</t>
        </is>
      </c>
      <c r="K1557" s="16" t="inlineStr">
        <is>
          <t>C</t>
        </is>
      </c>
      <c r="L1557" s="16" t="inlineStr">
        <is>
          <t>Indefinida. El Decreto 1474 de 2023 modificó el artículo 16 del Decreto 677 de 1995 y eliminó la renovación quinquenal; el Invima conserva la facultad de revisar de oficio el registro.</t>
        </is>
      </c>
      <c r="M1557" s="16" t="inlineStr">
        <is>
          <t>Los cinco años eran la regla anterior al Decreto 1474 de 2023; los diez años corresponden a los dispositivos médicos.</t>
        </is>
      </c>
      <c r="N1557" s="16" t="inlineStr">
        <is>
          <t>Decreto 677 de 1995, art. 16, modificado por el Decreto 1474 de 2023</t>
        </is>
      </c>
      <c r="O1557" s="16" t="inlineStr">
        <is>
          <t>SI</t>
        </is>
      </c>
      <c r="P1557" s="16" t="inlineStr">
        <is>
          <t>Media</t>
        </is>
      </c>
      <c r="Q1557" s="16" t="inlineStr">
        <is>
          <t>v2</t>
        </is>
      </c>
      <c r="R1557" s="16" t="inlineStr">
        <is>
          <t>Específico</t>
        </is>
      </c>
    </row>
    <row r="1558" ht="15" customHeight="1" s="12">
      <c r="A1558" s="16" t="inlineStr">
        <is>
          <t>F187-1</t>
        </is>
      </c>
      <c r="B1558" s="16" t="inlineStr">
        <is>
          <t>invima</t>
        </is>
      </c>
      <c r="C1558" s="16" t="inlineStr">
        <is>
          <t>Certificaciones y vigencias</t>
        </is>
      </c>
      <c r="D1558" s="16" t="inlineStr">
        <is>
          <t>C187</t>
        </is>
      </c>
      <c r="E1558" s="16" t="inlineStr">
        <is>
          <t>Casos especiales de vigencia</t>
        </is>
      </c>
      <c r="F1558" s="16" t="inlineStr">
        <is>
          <t>Tres solicitudes llegan el mismo día: un importador pregunta cada cuánto debe recertificarse en capacidad de almacenamiento, un microempresario de viche consulta por su registro sanitario, y una droguería quiere saber cuánto le dura su inscripción ante el Fondo Nacional de Estupefacientes.</t>
        </is>
      </c>
      <c r="G1558" s="16" t="inlineStr">
        <is>
          <t>Sobre el plazo para solicitar la recertificación en Capacidad de Almacenamiento y Acondicionamiento (CCAA), usted debe responder que</t>
        </is>
      </c>
      <c r="H1558" s="16" t="inlineStr">
        <is>
          <t>El Decreto 4725 de 2005 no fija un término y debe consultarse la doctrina del Invima</t>
        </is>
      </c>
      <c r="I1558" s="16" t="inlineStr">
        <is>
          <t>El Decreto 4725 de 2005 fija seis (6) meses antes del vencimiento</t>
        </is>
      </c>
      <c r="J1558" s="16" t="inlineStr">
        <is>
          <t>El Decreto 4725 de 2005 fija tres (3) meses antes del vencimiento</t>
        </is>
      </c>
      <c r="K1558" s="16" t="inlineStr">
        <is>
          <t>A</t>
        </is>
      </c>
      <c r="L1558" s="16" t="inlineStr">
        <is>
          <t>El Decreto 4725 de 2005 no estipula el término en que las empresas certificadas deben solicitar la visita de recertificación del CCAA, como lo ha precisado el propio Invima; los requisitos del certificado están en la Resolución 4002 de 2007.</t>
        </is>
      </c>
      <c r="M1558" s="16" t="inlineStr">
        <is>
          <t>Los seis y los tres meses se toman de otros trámites: la anticipación de tres meses aplica a la renovación de registros y permisos de alimentos, no al CCAA.</t>
        </is>
      </c>
      <c r="N1558" s="16" t="inlineStr">
        <is>
          <t>Decreto 4725 de 2005, arts. 10 y 11; Resolución 4002 de 2007; doctrina del Invima</t>
        </is>
      </c>
      <c r="O1558" s="16" t="inlineStr">
        <is>
          <t>SI</t>
        </is>
      </c>
      <c r="P1558" s="16" t="inlineStr">
        <is>
          <t>Alta</t>
        </is>
      </c>
      <c r="Q1558" s="16" t="inlineStr">
        <is>
          <t>v2</t>
        </is>
      </c>
      <c r="R1558" s="16" t="inlineStr">
        <is>
          <t>Específico</t>
        </is>
      </c>
    </row>
    <row r="1559" ht="15" customHeight="1" s="12">
      <c r="A1559" s="16" t="inlineStr">
        <is>
          <t>F187-2</t>
        </is>
      </c>
      <c r="B1559" s="16" t="inlineStr">
        <is>
          <t>invima</t>
        </is>
      </c>
      <c r="C1559" s="16" t="inlineStr">
        <is>
          <t>Certificaciones y vigencias</t>
        </is>
      </c>
      <c r="D1559" s="16" t="inlineStr">
        <is>
          <t>C187</t>
        </is>
      </c>
      <c r="E1559" s="16" t="inlineStr">
        <is>
          <t>Casos especiales de vigencia</t>
        </is>
      </c>
      <c r="F1559" s="16" t="inlineStr">
        <is>
          <t>Tres solicitudes llegan el mismo día: un importador pregunta cada cuánto debe recertificarse en capacidad de almacenamiento, un microempresario de viche consulta por su registro sanitario, y una droguería quiere saber cuánto le dura su inscripción ante el Fondo Nacional de Estupefacientes.</t>
        </is>
      </c>
      <c r="G1559" s="16" t="inlineStr">
        <is>
          <t>El registro sanitario de bebidas alcohólicas otorgado a un microempresario tiene una vigencia de</t>
        </is>
      </c>
      <c r="H1559" s="16" t="inlineStr">
        <is>
          <t>Cinco (5) años, renovable sucesivamente sin límite</t>
        </is>
      </c>
      <c r="I1559" s="16" t="inlineStr">
        <is>
          <t>Cinco (5) años, renovable por una sola vez</t>
        </is>
      </c>
      <c r="J1559" s="16" t="inlineStr">
        <is>
          <t>Diez (10) años, renovable por una sola vez</t>
        </is>
      </c>
      <c r="K1559" s="16" t="inlineStr">
        <is>
          <t>B</t>
        </is>
      </c>
      <c r="L1559" s="16" t="inlineStr">
        <is>
          <t>Cinco (5) años desde la firmeza del acto, renovable por una sola vez y por el mismo término. Decreto 1366 de 2020, artículo 6.</t>
        </is>
      </c>
      <c r="M1559" s="16" t="inlineStr">
        <is>
          <t>La renovación sucesiva sin límite es la regla del registro ordinario de alimentos; los diez años no corresponden a este registro.</t>
        </is>
      </c>
      <c r="N1559" s="16" t="inlineStr">
        <is>
          <t>Decreto 1366 de 2020, art. 6</t>
        </is>
      </c>
      <c r="O1559" s="16" t="inlineStr">
        <is>
          <t>SI</t>
        </is>
      </c>
      <c r="P1559" s="16" t="inlineStr">
        <is>
          <t>Alta</t>
        </is>
      </c>
      <c r="Q1559" s="16" t="inlineStr">
        <is>
          <t>v2</t>
        </is>
      </c>
      <c r="R1559" s="16" t="inlineStr">
        <is>
          <t>Específico</t>
        </is>
      </c>
    </row>
    <row r="1560" ht="15" customHeight="1" s="12">
      <c r="A1560" s="16" t="inlineStr">
        <is>
          <t>F187-3</t>
        </is>
      </c>
      <c r="B1560" s="16" t="inlineStr">
        <is>
          <t>invima</t>
        </is>
      </c>
      <c r="C1560" s="16" t="inlineStr">
        <is>
          <t>Certificaciones y vigencias</t>
        </is>
      </c>
      <c r="D1560" s="16" t="inlineStr">
        <is>
          <t>C187</t>
        </is>
      </c>
      <c r="E1560" s="16" t="inlineStr">
        <is>
          <t>Casos especiales de vigencia</t>
        </is>
      </c>
      <c r="F1560" s="16" t="inlineStr">
        <is>
          <t>Tres solicitudes llegan el mismo día: un importador pregunta cada cuánto debe recertificarse en capacidad de almacenamiento, un microempresario de viche consulta por su registro sanitario, y una droguería quiere saber cuánto le dura su inscripción ante el Fondo Nacional de Estupefacientes.</t>
        </is>
      </c>
      <c r="G1560" s="16" t="inlineStr">
        <is>
          <t>La inscripción de una droguería ante el Fondo Nacional de Estupefacientes tiene una vigencia de</t>
        </is>
      </c>
      <c r="H1560" s="16" t="inlineStr">
        <is>
          <t>Cuatro (4) años, con renovación solicitada un mes antes</t>
        </is>
      </c>
      <c r="I1560" s="16" t="inlineStr">
        <is>
          <t>Un (1) año, con renovación automática si hay movimientos</t>
        </is>
      </c>
      <c r="J1560" s="16" t="inlineStr">
        <is>
          <t>Cinco (5) años, con renovación solicitada tres meses antes</t>
        </is>
      </c>
      <c r="K1560" s="16" t="inlineStr">
        <is>
          <t>C</t>
        </is>
      </c>
      <c r="L1560" s="16" t="inlineStr">
        <is>
          <t>Cinco (5) años, y la renovación se pide con tres meses de anticipación. Resolución 1478 de 2006, artículo 30; el artículo 32 prevé la cancelación automática si pasa un año sin movimientos.</t>
        </is>
      </c>
      <c r="M1560" s="16" t="inlineStr">
        <is>
          <t>Los cuatro años corresponden al certificado BPM de bebidas alcohólicas; el año sin movimientos no es una vigencia sino la causal de cancelación automática.</t>
        </is>
      </c>
      <c r="N1560" s="16" t="inlineStr">
        <is>
          <t>Resolución 1478 de 2006, arts. 30 y 32</t>
        </is>
      </c>
      <c r="O1560" s="16" t="inlineStr">
        <is>
          <t>SI</t>
        </is>
      </c>
      <c r="P1560" s="16" t="inlineStr">
        <is>
          <t>Alta</t>
        </is>
      </c>
      <c r="Q1560" s="16" t="inlineStr">
        <is>
          <t>v2</t>
        </is>
      </c>
      <c r="R1560" s="16" t="inlineStr">
        <is>
          <t>Específico</t>
        </is>
      </c>
    </row>
    <row r="1561" ht="15" customHeight="1" s="12">
      <c r="R1561" s="16" t="n"/>
    </row>
    <row r="1562" ht="15" customHeight="1" s="12">
      <c r="R1562" s="16" t="n"/>
    </row>
    <row r="1563" ht="15" customHeight="1" s="12">
      <c r="R1563" s="16" t="n"/>
    </row>
    <row r="1564" ht="15" customHeight="1" s="12">
      <c r="R1564" s="16" t="n"/>
    </row>
    <row r="1565" ht="15" customHeight="1" s="12">
      <c r="R1565" s="16" t="n"/>
    </row>
    <row r="1566" ht="15" customHeight="1" s="12">
      <c r="R1566" s="16" t="n"/>
    </row>
    <row r="1567" ht="15" customHeight="1" s="12">
      <c r="R1567" s="16" t="n"/>
    </row>
    <row r="1568" ht="15" customHeight="1" s="12">
      <c r="R1568" s="16" t="n"/>
    </row>
    <row r="1569" ht="15" customHeight="1" s="12">
      <c r="R1569" s="16" t="n"/>
    </row>
    <row r="1570" ht="15" customHeight="1" s="12">
      <c r="R1570" s="16" t="n"/>
    </row>
    <row r="1571" ht="15" customHeight="1" s="12">
      <c r="R1571" s="16" t="n"/>
    </row>
    <row r="1572" ht="15" customHeight="1" s="12">
      <c r="R1572" s="16" t="n"/>
    </row>
    <row r="1573" ht="15" customHeight="1" s="12">
      <c r="R1573" s="16" t="n"/>
    </row>
    <row r="1574" ht="15" customHeight="1" s="12">
      <c r="R1574" s="16" t="n"/>
    </row>
    <row r="1575" ht="15" customHeight="1" s="12">
      <c r="R1575" s="16" t="n"/>
    </row>
    <row r="1576" ht="15" customHeight="1" s="12">
      <c r="R1576" s="16" t="n"/>
    </row>
    <row r="1577" ht="15" customHeight="1" s="12">
      <c r="R1577" s="16" t="n"/>
    </row>
    <row r="1578" ht="15" customHeight="1" s="12">
      <c r="R1578" s="16" t="n"/>
    </row>
    <row r="1579" ht="15" customHeight="1" s="12">
      <c r="R1579" s="16" t="n"/>
    </row>
    <row r="1580" ht="15" customHeight="1" s="12">
      <c r="R1580" s="16" t="n"/>
    </row>
    <row r="1581" ht="15" customHeight="1" s="12">
      <c r="R1581" s="16" t="n"/>
    </row>
    <row r="1582" ht="15" customHeight="1" s="12">
      <c r="R1582" s="16" t="n"/>
    </row>
    <row r="1583" ht="15" customHeight="1" s="12">
      <c r="R1583" s="16" t="n"/>
    </row>
    <row r="1584" ht="15" customHeight="1" s="12">
      <c r="R1584" s="16" t="n"/>
    </row>
    <row r="1585" ht="15" customHeight="1" s="12">
      <c r="R1585" s="16" t="n"/>
    </row>
    <row r="1586" ht="15" customHeight="1" s="12">
      <c r="R1586" s="16" t="n"/>
    </row>
    <row r="1587" ht="15" customHeight="1" s="12">
      <c r="R1587" s="16" t="n"/>
    </row>
    <row r="1588" ht="15" customHeight="1" s="12">
      <c r="R1588" s="16" t="n"/>
    </row>
    <row r="1589" ht="15" customHeight="1" s="12">
      <c r="R1589" s="16" t="n"/>
    </row>
    <row r="1590" ht="15" customHeight="1" s="12">
      <c r="R1590" s="16" t="n"/>
    </row>
    <row r="1591" ht="15" customHeight="1" s="12">
      <c r="R1591" s="16" t="n"/>
    </row>
    <row r="1592" ht="15" customHeight="1" s="12">
      <c r="R1592" s="16" t="n"/>
    </row>
    <row r="1593" ht="15" customHeight="1" s="12">
      <c r="R1593" s="16" t="n"/>
    </row>
    <row r="1594" ht="15" customHeight="1" s="12">
      <c r="R1594" s="16" t="n"/>
    </row>
    <row r="1595" ht="15" customHeight="1" s="12">
      <c r="R1595" s="16" t="n"/>
    </row>
    <row r="1596" ht="15" customHeight="1" s="12">
      <c r="R1596" s="16" t="n"/>
    </row>
    <row r="1597" ht="15" customHeight="1" s="12">
      <c r="R1597" s="16" t="n"/>
    </row>
    <row r="1598" ht="15" customHeight="1" s="12">
      <c r="R1598" s="16" t="n"/>
    </row>
    <row r="1599" ht="15" customHeight="1" s="12">
      <c r="R1599" s="16" t="n"/>
    </row>
    <row r="1600" ht="15" customHeight="1" s="12">
      <c r="R1600" s="16" t="n"/>
    </row>
    <row r="1601" ht="15" customHeight="1" s="12">
      <c r="R1601" s="16" t="n"/>
    </row>
    <row r="1602" ht="15" customHeight="1" s="12">
      <c r="R1602" s="16" t="n"/>
    </row>
    <row r="1603" ht="15" customHeight="1" s="12">
      <c r="R1603" s="16" t="n"/>
    </row>
    <row r="1604" ht="15" customHeight="1" s="12">
      <c r="R1604" s="16" t="n"/>
    </row>
    <row r="1605" ht="15" customHeight="1" s="12">
      <c r="R1605" s="16" t="n"/>
    </row>
    <row r="1606" ht="15" customHeight="1" s="12">
      <c r="R1606" s="16" t="n"/>
    </row>
    <row r="1607" ht="15" customHeight="1" s="12">
      <c r="R1607" s="16" t="n"/>
    </row>
    <row r="1608" ht="15" customHeight="1" s="12">
      <c r="R1608" s="16" t="n"/>
    </row>
    <row r="1609" ht="15" customHeight="1" s="12">
      <c r="R1609" s="16" t="n"/>
    </row>
    <row r="1610" ht="15" customHeight="1" s="12">
      <c r="R1610" s="16" t="n"/>
    </row>
    <row r="1611" ht="15" customHeight="1" s="12">
      <c r="R1611" s="16" t="n"/>
    </row>
    <row r="1612" ht="15" customHeight="1" s="12">
      <c r="R1612" s="16" t="n"/>
    </row>
    <row r="1613" ht="15" customHeight="1" s="12">
      <c r="R1613" s="16" t="n"/>
    </row>
    <row r="1614" ht="15" customHeight="1" s="12">
      <c r="R1614" s="16" t="n"/>
    </row>
    <row r="1615" ht="15" customHeight="1" s="12">
      <c r="R1615" s="16" t="n"/>
    </row>
    <row r="1616" ht="15" customHeight="1" s="12">
      <c r="R1616" s="16" t="n"/>
    </row>
    <row r="1617" ht="15" customHeight="1" s="12">
      <c r="R1617" s="16" t="n"/>
    </row>
    <row r="1618" ht="15" customHeight="1" s="12">
      <c r="R1618" s="16" t="n"/>
    </row>
    <row r="1619" ht="15" customHeight="1" s="12">
      <c r="R1619" s="16" t="n"/>
    </row>
    <row r="1620" ht="15" customHeight="1" s="12">
      <c r="R1620" s="16" t="n"/>
    </row>
    <row r="1621" ht="15" customHeight="1" s="12">
      <c r="R1621" s="16" t="n"/>
    </row>
    <row r="1622" ht="15" customHeight="1" s="12">
      <c r="R1622" s="16" t="n"/>
    </row>
    <row r="1623" ht="15" customHeight="1" s="12">
      <c r="R1623" s="16" t="n"/>
    </row>
    <row r="1624" ht="15" customHeight="1" s="12">
      <c r="R1624" s="16" t="n"/>
    </row>
    <row r="1625" ht="15" customHeight="1" s="12">
      <c r="R1625" s="16" t="n"/>
    </row>
    <row r="1626" ht="15" customHeight="1" s="12">
      <c r="R1626" s="16" t="n"/>
    </row>
    <row r="1627" ht="15" customHeight="1" s="12">
      <c r="R1627" s="16" t="n"/>
    </row>
    <row r="1628" ht="15" customHeight="1" s="12">
      <c r="R1628" s="16" t="n"/>
    </row>
    <row r="1629" ht="15" customHeight="1" s="12">
      <c r="R1629" s="16" t="n"/>
    </row>
    <row r="1630" ht="15" customHeight="1" s="12">
      <c r="R1630" s="16" t="n"/>
    </row>
    <row r="1631" ht="15" customHeight="1" s="12">
      <c r="R1631" s="16" t="n"/>
    </row>
    <row r="1632" ht="15" customHeight="1" s="12">
      <c r="R1632" s="16" t="n"/>
    </row>
    <row r="1633" ht="15" customHeight="1" s="12">
      <c r="R1633" s="16" t="n"/>
    </row>
    <row r="1634" ht="15" customHeight="1" s="12">
      <c r="R1634" s="16" t="n"/>
    </row>
    <row r="1635" ht="15" customHeight="1" s="12">
      <c r="R1635" s="16" t="n"/>
    </row>
    <row r="1636" ht="15" customHeight="1" s="12">
      <c r="R1636" s="16" t="n"/>
    </row>
    <row r="1637" ht="15" customHeight="1" s="12">
      <c r="R1637" s="16" t="n"/>
    </row>
    <row r="1638" ht="15" customHeight="1" s="12">
      <c r="R1638" s="16" t="n"/>
    </row>
    <row r="1639" ht="15" customHeight="1" s="12">
      <c r="R1639" s="16" t="n"/>
    </row>
    <row r="1640" ht="15" customHeight="1" s="12">
      <c r="R1640" s="16" t="n"/>
    </row>
    <row r="1641" ht="15" customHeight="1" s="12">
      <c r="R1641" s="16" t="n"/>
    </row>
    <row r="1642" ht="15" customHeight="1" s="12">
      <c r="R1642" s="16" t="n"/>
    </row>
    <row r="1643" ht="15" customHeight="1" s="12">
      <c r="R1643" s="16" t="n"/>
    </row>
    <row r="1644" ht="15" customHeight="1" s="12">
      <c r="R1644" s="16" t="n"/>
    </row>
    <row r="1645" ht="15" customHeight="1" s="12">
      <c r="R1645" s="16" t="n"/>
    </row>
    <row r="1646" ht="15" customHeight="1" s="12">
      <c r="R1646" s="16" t="n"/>
    </row>
    <row r="1647" ht="15" customHeight="1" s="12">
      <c r="R1647" s="16" t="n"/>
    </row>
    <row r="1648" ht="15" customHeight="1" s="12">
      <c r="R1648" s="16" t="n"/>
    </row>
    <row r="1649" ht="15" customHeight="1" s="12">
      <c r="R1649" s="16" t="n"/>
    </row>
    <row r="1650" ht="15" customHeight="1" s="12">
      <c r="R1650" s="16" t="n"/>
    </row>
    <row r="1651" ht="15" customHeight="1" s="12">
      <c r="R1651" s="16" t="n"/>
    </row>
    <row r="1652" ht="15" customHeight="1" s="12">
      <c r="R1652" s="16" t="n"/>
    </row>
    <row r="1653" ht="15" customHeight="1" s="12">
      <c r="R1653" s="16" t="n"/>
    </row>
    <row r="1654" ht="15" customHeight="1" s="12">
      <c r="R1654" s="16" t="n"/>
    </row>
    <row r="1655" ht="15" customHeight="1" s="12">
      <c r="R1655" s="16" t="n"/>
    </row>
    <row r="1656" ht="15" customHeight="1" s="12">
      <c r="R1656" s="16" t="n"/>
    </row>
    <row r="1657" ht="15" customHeight="1" s="12">
      <c r="R1657" s="16" t="n"/>
    </row>
    <row r="1658" ht="15" customHeight="1" s="12">
      <c r="R1658" s="16" t="n"/>
    </row>
    <row r="1659" ht="15" customHeight="1" s="12">
      <c r="R1659" s="16" t="n"/>
    </row>
    <row r="1660" ht="15" customHeight="1" s="12">
      <c r="R1660" s="16" t="n"/>
    </row>
    <row r="1661" ht="15" customHeight="1" s="12">
      <c r="R1661" s="16" t="n"/>
    </row>
    <row r="1662" ht="15" customHeight="1" s="12">
      <c r="R1662" s="16" t="n"/>
    </row>
    <row r="1663" ht="15" customHeight="1" s="12">
      <c r="R1663" s="16" t="n"/>
    </row>
    <row r="1664" ht="15" customHeight="1" s="12">
      <c r="R1664" s="16" t="n"/>
    </row>
    <row r="1665" ht="15" customHeight="1" s="12">
      <c r="R1665" s="16" t="n"/>
    </row>
    <row r="1666" ht="15" customHeight="1" s="12">
      <c r="R1666" s="16" t="n"/>
    </row>
    <row r="1667" ht="15" customHeight="1" s="12">
      <c r="R1667" s="16" t="n"/>
    </row>
    <row r="1668" ht="15" customHeight="1" s="12">
      <c r="R1668" s="16" t="n"/>
    </row>
    <row r="1669" ht="15" customHeight="1" s="12">
      <c r="R1669" s="16" t="n"/>
    </row>
    <row r="1670" ht="15" customHeight="1" s="12">
      <c r="R1670" s="16" t="n"/>
    </row>
    <row r="1671" ht="15" customHeight="1" s="12">
      <c r="R1671" s="16" t="n"/>
    </row>
    <row r="1672" ht="15" customHeight="1" s="12">
      <c r="R1672" s="16" t="n"/>
    </row>
    <row r="1673" ht="15" customHeight="1" s="12">
      <c r="R1673" s="16" t="n"/>
    </row>
    <row r="1674" ht="15" customHeight="1" s="12">
      <c r="R1674" s="16" t="n"/>
    </row>
    <row r="1675" ht="15" customHeight="1" s="12">
      <c r="R1675" s="16" t="n"/>
    </row>
    <row r="1676" ht="15" customHeight="1" s="12">
      <c r="R1676" s="16" t="n"/>
    </row>
    <row r="1677" ht="15" customHeight="1" s="12">
      <c r="R1677" s="16" t="n"/>
    </row>
    <row r="1678" ht="15" customHeight="1" s="12">
      <c r="R1678" s="16" t="n"/>
    </row>
    <row r="1679" ht="15" customHeight="1" s="12">
      <c r="R1679" s="16" t="n"/>
    </row>
    <row r="1680" ht="15" customHeight="1" s="12">
      <c r="R1680" s="16" t="n"/>
    </row>
    <row r="1681" ht="15" customHeight="1" s="12">
      <c r="R1681" s="16" t="n"/>
    </row>
    <row r="1682" ht="15" customHeight="1" s="12">
      <c r="R1682" s="16" t="n"/>
    </row>
    <row r="1683" ht="15" customHeight="1" s="12">
      <c r="R1683" s="16" t="n"/>
    </row>
    <row r="1684" ht="15" customHeight="1" s="12">
      <c r="R1684" s="16" t="n"/>
    </row>
    <row r="1685" ht="15" customHeight="1" s="12">
      <c r="R1685" s="16" t="n"/>
    </row>
    <row r="1686" ht="15" customHeight="1" s="12">
      <c r="R1686" s="16" t="n"/>
    </row>
    <row r="1687" ht="15" customHeight="1" s="12">
      <c r="R1687" s="16" t="n"/>
    </row>
    <row r="1688" ht="15" customHeight="1" s="12">
      <c r="R1688" s="16" t="n"/>
    </row>
    <row r="1689" ht="15" customHeight="1" s="12">
      <c r="R1689" s="16" t="n"/>
    </row>
    <row r="1690" ht="15" customHeight="1" s="12">
      <c r="R1690" s="16" t="n"/>
    </row>
    <row r="1691" ht="15" customHeight="1" s="12">
      <c r="R1691" s="16" t="n"/>
    </row>
    <row r="1692" ht="15" customHeight="1" s="12">
      <c r="R1692" s="16" t="n"/>
    </row>
    <row r="1693" ht="15" customHeight="1" s="12">
      <c r="R1693" s="16" t="n"/>
    </row>
    <row r="1694" ht="15" customHeight="1" s="12">
      <c r="R1694" s="16" t="n"/>
    </row>
    <row r="1695" ht="15" customHeight="1" s="12">
      <c r="R1695" s="16" t="n"/>
    </row>
    <row r="1696" ht="15" customHeight="1" s="12">
      <c r="R1696" s="16" t="n"/>
    </row>
    <row r="1697" ht="15" customHeight="1" s="12">
      <c r="R1697" s="16" t="n"/>
    </row>
    <row r="1698" ht="15" customHeight="1" s="12">
      <c r="R1698" s="16" t="n"/>
    </row>
    <row r="1699" ht="15" customHeight="1" s="12">
      <c r="R1699" s="16" t="n"/>
    </row>
    <row r="1700" ht="15" customHeight="1" s="12">
      <c r="R1700" s="16" t="n"/>
    </row>
    <row r="1701" ht="15" customHeight="1" s="12">
      <c r="R1701" s="16" t="n"/>
    </row>
    <row r="1702" ht="15" customHeight="1" s="12">
      <c r="R1702" s="16" t="n"/>
    </row>
    <row r="1703" ht="15" customHeight="1" s="12">
      <c r="R1703" s="16" t="n"/>
    </row>
    <row r="1704" ht="15" customHeight="1" s="12">
      <c r="R1704" s="16" t="n"/>
    </row>
    <row r="1705" ht="15" customHeight="1" s="12">
      <c r="R1705" s="16" t="n"/>
    </row>
    <row r="1706" ht="15" customHeight="1" s="12">
      <c r="R1706" s="16" t="n"/>
    </row>
    <row r="1707" ht="15" customHeight="1" s="12">
      <c r="R1707" s="16" t="n"/>
    </row>
    <row r="1708" ht="15" customHeight="1" s="12">
      <c r="R1708" s="16" t="n"/>
    </row>
    <row r="1709" ht="15" customHeight="1" s="12">
      <c r="R1709" s="16" t="n"/>
    </row>
    <row r="1710" ht="15" customHeight="1" s="12">
      <c r="R1710" s="16" t="n"/>
    </row>
    <row r="1711" ht="15" customHeight="1" s="12">
      <c r="R1711" s="16" t="n"/>
    </row>
    <row r="1712" ht="15" customHeight="1" s="12">
      <c r="R1712" s="16" t="n"/>
    </row>
    <row r="1713" ht="15" customHeight="1" s="12">
      <c r="R1713" s="16" t="n"/>
    </row>
    <row r="1714" ht="15" customHeight="1" s="12">
      <c r="R1714" s="16" t="n"/>
    </row>
    <row r="1715" ht="15" customHeight="1" s="12">
      <c r="R1715" s="16" t="n"/>
    </row>
    <row r="1716" ht="15" customHeight="1" s="12">
      <c r="R1716" s="16" t="n"/>
    </row>
    <row r="1717" ht="15" customHeight="1" s="12">
      <c r="R1717" s="16" t="n"/>
    </row>
    <row r="1718" ht="15" customHeight="1" s="12">
      <c r="R1718" s="16" t="n"/>
    </row>
    <row r="1719" ht="15" customHeight="1" s="12">
      <c r="R1719" s="16" t="n"/>
    </row>
    <row r="1720" ht="15" customHeight="1" s="12">
      <c r="R1720" s="16" t="n"/>
    </row>
    <row r="1721" ht="15" customHeight="1" s="12">
      <c r="R1721" s="16" t="n"/>
    </row>
    <row r="1722" ht="15" customHeight="1" s="12">
      <c r="R1722" s="16" t="n"/>
    </row>
    <row r="1723" ht="15" customHeight="1" s="12">
      <c r="R1723" s="16" t="n"/>
    </row>
    <row r="1724" ht="15" customHeight="1" s="12">
      <c r="R1724" s="16" t="n"/>
    </row>
    <row r="1725" ht="15" customHeight="1" s="12">
      <c r="R1725" s="16" t="n"/>
    </row>
    <row r="1726" ht="15" customHeight="1" s="12">
      <c r="R1726" s="16" t="n"/>
    </row>
    <row r="1727" ht="15" customHeight="1" s="12">
      <c r="R1727" s="16" t="n"/>
    </row>
    <row r="1728" ht="15" customHeight="1" s="12">
      <c r="R1728" s="16" t="n"/>
    </row>
    <row r="1729" ht="15" customHeight="1" s="12">
      <c r="R1729" s="16" t="n"/>
    </row>
    <row r="1730" ht="15" customHeight="1" s="12">
      <c r="R1730" s="16" t="n"/>
    </row>
    <row r="1731" ht="15" customHeight="1" s="12">
      <c r="R1731" s="16" t="n"/>
    </row>
    <row r="1732" ht="15" customHeight="1" s="12">
      <c r="R1732" s="16" t="n"/>
    </row>
    <row r="1733" ht="15" customHeight="1" s="12">
      <c r="R1733" s="16" t="n"/>
    </row>
    <row r="1734" ht="15" customHeight="1" s="12">
      <c r="R1734" s="16" t="n"/>
    </row>
    <row r="1735" ht="15" customHeight="1" s="12">
      <c r="R1735" s="16" t="n"/>
    </row>
    <row r="1736" ht="15" customHeight="1" s="12">
      <c r="R1736" s="16" t="n"/>
    </row>
    <row r="1737" ht="15" customHeight="1" s="12">
      <c r="R1737" s="16" t="n"/>
    </row>
    <row r="1738" ht="15" customHeight="1" s="12">
      <c r="R1738" s="16" t="n"/>
    </row>
    <row r="1739" ht="15" customHeight="1" s="12">
      <c r="R1739" s="16" t="n"/>
    </row>
    <row r="1740" ht="15" customHeight="1" s="12">
      <c r="R1740" s="16" t="n"/>
    </row>
    <row r="1741" ht="15" customHeight="1" s="12">
      <c r="R1741" s="16" t="n"/>
    </row>
    <row r="1742" ht="15" customHeight="1" s="12">
      <c r="R1742" s="16" t="n"/>
    </row>
    <row r="1743" ht="15" customHeight="1" s="12">
      <c r="R1743" s="16" t="n"/>
    </row>
    <row r="1744" ht="15" customHeight="1" s="12">
      <c r="R1744" s="16" t="n"/>
    </row>
    <row r="1745" ht="15" customHeight="1" s="12">
      <c r="R1745" s="16" t="n"/>
    </row>
    <row r="1746" ht="15" customHeight="1" s="12">
      <c r="R1746" s="16" t="n"/>
    </row>
    <row r="1747" ht="15" customHeight="1" s="12">
      <c r="R1747" s="16" t="n"/>
    </row>
    <row r="1748" ht="15" customHeight="1" s="12">
      <c r="R1748" s="16" t="n"/>
    </row>
    <row r="1749" ht="15" customHeight="1" s="12">
      <c r="R1749" s="16" t="n"/>
    </row>
    <row r="1750" ht="15" customHeight="1" s="12">
      <c r="R1750" s="16" t="n"/>
    </row>
    <row r="1751" ht="15" customHeight="1" s="12">
      <c r="R1751" s="16" t="n"/>
    </row>
    <row r="1752" ht="15" customHeight="1" s="12">
      <c r="R1752" s="16" t="n"/>
    </row>
    <row r="1753" ht="15" customHeight="1" s="12">
      <c r="R1753" s="16" t="n"/>
    </row>
    <row r="1754" ht="15" customHeight="1" s="12">
      <c r="R1754" s="16" t="n"/>
    </row>
    <row r="1755" ht="15" customHeight="1" s="12">
      <c r="R1755" s="16" t="n"/>
    </row>
    <row r="1756" ht="15" customHeight="1" s="12">
      <c r="R1756" s="16" t="n"/>
    </row>
    <row r="1757" ht="15" customHeight="1" s="12">
      <c r="R1757" s="16" t="n"/>
    </row>
    <row r="1758" ht="15" customHeight="1" s="12">
      <c r="R1758" s="16" t="n"/>
    </row>
    <row r="1759" ht="15" customHeight="1" s="12">
      <c r="R1759" s="16" t="n"/>
    </row>
    <row r="1760" ht="15" customHeight="1" s="12">
      <c r="R1760" s="16" t="n"/>
    </row>
    <row r="1761" ht="15" customHeight="1" s="12">
      <c r="R1761" s="16" t="n"/>
    </row>
    <row r="1762" ht="15" customHeight="1" s="12">
      <c r="R1762" s="16" t="n"/>
    </row>
    <row r="1763" ht="15" customHeight="1" s="12">
      <c r="R1763" s="16" t="n"/>
    </row>
    <row r="1764" ht="15" customHeight="1" s="12">
      <c r="R1764" s="16" t="n"/>
    </row>
    <row r="1765" ht="15" customHeight="1" s="12">
      <c r="R1765" s="16" t="n"/>
    </row>
    <row r="1766" ht="15" customHeight="1" s="12">
      <c r="R1766" s="16" t="n"/>
    </row>
    <row r="1767" ht="15" customHeight="1" s="12">
      <c r="R1767" s="16" t="n"/>
    </row>
    <row r="1768" ht="15" customHeight="1" s="12">
      <c r="R1768" s="16" t="n"/>
    </row>
    <row r="1769" ht="15" customHeight="1" s="12">
      <c r="R1769" s="16" t="n"/>
    </row>
    <row r="1770" ht="15" customHeight="1" s="12">
      <c r="R1770" s="16" t="n"/>
    </row>
    <row r="1771" ht="15" customHeight="1" s="12">
      <c r="R1771" s="16" t="n"/>
    </row>
    <row r="1772" ht="15" customHeight="1" s="12">
      <c r="R1772" s="16" t="n"/>
    </row>
    <row r="1773" ht="15" customHeight="1" s="12">
      <c r="R1773" s="16" t="n"/>
    </row>
    <row r="1774" ht="15" customHeight="1" s="12">
      <c r="R1774" s="16" t="n"/>
    </row>
    <row r="1775" ht="15" customHeight="1" s="12">
      <c r="R1775" s="16" t="n"/>
    </row>
    <row r="1776" ht="15" customHeight="1" s="12">
      <c r="R1776" s="16" t="n"/>
    </row>
    <row r="1777" ht="15" customHeight="1" s="12">
      <c r="R1777" s="16" t="n"/>
    </row>
    <row r="1778" ht="15" customHeight="1" s="12">
      <c r="R1778" s="16" t="n"/>
    </row>
    <row r="1779" ht="15" customHeight="1" s="12">
      <c r="R1779" s="16" t="n"/>
    </row>
    <row r="1780" ht="15" customHeight="1" s="12">
      <c r="R1780" s="16" t="n"/>
    </row>
    <row r="1781" ht="15" customHeight="1" s="12">
      <c r="R1781" s="16" t="n"/>
    </row>
    <row r="1782" ht="15" customHeight="1" s="12">
      <c r="R1782" s="16" t="n"/>
    </row>
    <row r="1783" ht="15" customHeight="1" s="12">
      <c r="R1783" s="16" t="n"/>
    </row>
    <row r="1784" ht="15" customHeight="1" s="12">
      <c r="R1784" s="16" t="n"/>
    </row>
    <row r="1785" ht="15" customHeight="1" s="12">
      <c r="R1785" s="16" t="n"/>
    </row>
    <row r="1786" ht="15" customHeight="1" s="12">
      <c r="R1786" s="16" t="n"/>
    </row>
    <row r="1787" ht="15" customHeight="1" s="12">
      <c r="R1787" s="16" t="n"/>
    </row>
    <row r="1788" ht="15" customHeight="1" s="12">
      <c r="R1788" s="16" t="n"/>
    </row>
    <row r="1789" ht="15" customHeight="1" s="12">
      <c r="R1789" s="16" t="n"/>
    </row>
    <row r="1790" ht="15" customHeight="1" s="12">
      <c r="R1790" s="16" t="n"/>
    </row>
    <row r="1791" ht="15" customHeight="1" s="12">
      <c r="R1791" s="16" t="n"/>
    </row>
    <row r="1792" ht="15" customHeight="1" s="12">
      <c r="R1792" s="16" t="n"/>
    </row>
    <row r="1793" ht="15" customHeight="1" s="12">
      <c r="R1793" s="16" t="n"/>
    </row>
    <row r="1794" ht="15" customHeight="1" s="12">
      <c r="R1794" s="16" t="n"/>
    </row>
    <row r="1795" ht="15" customHeight="1" s="12">
      <c r="R1795" s="16" t="n"/>
    </row>
    <row r="1796" ht="15" customHeight="1" s="12">
      <c r="R1796" s="16" t="n"/>
    </row>
    <row r="1797" ht="15" customHeight="1" s="12">
      <c r="R1797" s="16" t="n"/>
    </row>
    <row r="1798" ht="15" customHeight="1" s="12">
      <c r="R1798" s="16" t="n"/>
    </row>
    <row r="1799" ht="15" customHeight="1" s="12">
      <c r="R1799" s="16" t="n"/>
    </row>
    <row r="1800" ht="15" customHeight="1" s="12">
      <c r="R1800" s="16" t="n"/>
    </row>
    <row r="1801" ht="15" customHeight="1" s="12">
      <c r="R1801" s="16" t="n"/>
    </row>
    <row r="1802" ht="15" customHeight="1" s="12">
      <c r="R1802" s="16" t="n"/>
    </row>
    <row r="1803" ht="15" customHeight="1" s="12">
      <c r="R1803" s="16" t="n"/>
    </row>
    <row r="1804" ht="15" customHeight="1" s="12">
      <c r="R1804" s="16" t="n"/>
    </row>
    <row r="1805" ht="15" customHeight="1" s="12">
      <c r="R1805" s="16" t="n"/>
    </row>
    <row r="1806" ht="15" customHeight="1" s="12">
      <c r="R1806" s="16" t="n"/>
    </row>
    <row r="1807" ht="15" customHeight="1" s="12">
      <c r="R1807" s="16" t="n"/>
    </row>
    <row r="1808" ht="15" customHeight="1" s="12">
      <c r="R1808" s="16" t="n"/>
    </row>
    <row r="1809" ht="15" customHeight="1" s="12">
      <c r="R1809" s="16" t="n"/>
    </row>
    <row r="1810" ht="15" customHeight="1" s="12">
      <c r="R1810" s="16" t="n"/>
    </row>
    <row r="1811" ht="15" customHeight="1" s="12">
      <c r="R1811" s="16" t="n"/>
    </row>
    <row r="1812" ht="15" customHeight="1" s="12">
      <c r="R1812" s="16" t="n"/>
    </row>
    <row r="1813" ht="15" customHeight="1" s="12">
      <c r="R1813" s="16" t="n"/>
    </row>
    <row r="1814" ht="15" customHeight="1" s="12">
      <c r="R1814" s="16" t="n"/>
    </row>
    <row r="1815" ht="15" customHeight="1" s="12">
      <c r="R1815" s="16" t="n"/>
    </row>
    <row r="1816" ht="15" customHeight="1" s="12">
      <c r="R1816" s="16" t="n"/>
    </row>
    <row r="1817" ht="15" customHeight="1" s="12">
      <c r="R1817" s="16" t="n"/>
    </row>
    <row r="1818" ht="15" customHeight="1" s="12">
      <c r="R1818" s="16" t="n"/>
    </row>
    <row r="1819" ht="15" customHeight="1" s="12">
      <c r="R1819" s="16" t="n"/>
    </row>
    <row r="1820" ht="15" customHeight="1" s="12">
      <c r="R1820" s="16" t="n"/>
    </row>
    <row r="1821" ht="15" customHeight="1" s="12">
      <c r="R1821" s="16" t="n"/>
    </row>
    <row r="1822" ht="15" customHeight="1" s="12">
      <c r="R1822" s="16" t="n"/>
    </row>
    <row r="1823" ht="15" customHeight="1" s="12">
      <c r="R1823" s="16" t="n"/>
    </row>
    <row r="1824" ht="15" customHeight="1" s="12">
      <c r="R1824" s="16" t="n"/>
    </row>
    <row r="1825" ht="15" customHeight="1" s="12">
      <c r="R1825" s="16" t="n"/>
    </row>
    <row r="1826" ht="15" customHeight="1" s="12">
      <c r="R1826" s="16" t="n"/>
    </row>
    <row r="1827" ht="15" customHeight="1" s="12">
      <c r="R1827" s="16" t="n"/>
    </row>
    <row r="1828" ht="15" customHeight="1" s="12">
      <c r="R1828" s="16" t="n"/>
    </row>
    <row r="1829" ht="15" customHeight="1" s="12">
      <c r="R1829" s="16" t="n"/>
    </row>
    <row r="1830" ht="15" customHeight="1" s="12">
      <c r="R1830" s="16" t="n"/>
    </row>
    <row r="1831" ht="15" customHeight="1" s="12">
      <c r="R1831" s="16" t="n"/>
    </row>
    <row r="1832" ht="15" customHeight="1" s="12">
      <c r="R1832" s="16" t="n"/>
    </row>
    <row r="1833" ht="15" customHeight="1" s="12">
      <c r="R1833" s="16" t="n"/>
    </row>
    <row r="1834" ht="15" customHeight="1" s="12">
      <c r="R1834" s="16" t="n"/>
    </row>
    <row r="1835" ht="15" customHeight="1" s="12">
      <c r="R1835" s="16" t="n"/>
    </row>
    <row r="1836" ht="15" customHeight="1" s="12">
      <c r="R1836" s="16" t="n"/>
    </row>
    <row r="1837" ht="15" customHeight="1" s="12">
      <c r="R1837" s="16" t="n"/>
    </row>
    <row r="1838" ht="15" customHeight="1" s="12">
      <c r="R1838" s="16" t="n"/>
    </row>
    <row r="1839" ht="15" customHeight="1" s="12">
      <c r="R1839" s="16" t="n"/>
    </row>
    <row r="1840" ht="15" customHeight="1" s="12">
      <c r="R1840" s="16" t="n"/>
    </row>
    <row r="1841" ht="15" customHeight="1" s="12">
      <c r="R1841" s="16" t="n"/>
    </row>
    <row r="1842" ht="15" customHeight="1" s="12">
      <c r="R1842" s="16" t="n"/>
    </row>
    <row r="1843" ht="15" customHeight="1" s="12">
      <c r="R1843" s="16" t="n"/>
    </row>
    <row r="1844" ht="15" customHeight="1" s="12">
      <c r="R1844" s="16" t="n"/>
    </row>
    <row r="1845" ht="15" customHeight="1" s="12">
      <c r="R1845" s="16" t="n"/>
    </row>
    <row r="1846" ht="15" customHeight="1" s="12">
      <c r="R1846" s="16" t="n"/>
    </row>
    <row r="1847" ht="15" customHeight="1" s="12">
      <c r="R1847" s="16" t="n"/>
    </row>
    <row r="1848" ht="15" customHeight="1" s="12">
      <c r="R1848" s="16" t="n"/>
    </row>
    <row r="1849" ht="15" customHeight="1" s="12">
      <c r="R1849" s="16" t="n"/>
    </row>
    <row r="1850" ht="15" customHeight="1" s="12">
      <c r="R1850" s="16" t="n"/>
    </row>
    <row r="1851" ht="15" customHeight="1" s="12">
      <c r="R1851" s="16" t="n"/>
    </row>
    <row r="1852" ht="15" customHeight="1" s="12">
      <c r="R1852" s="16" t="n"/>
    </row>
    <row r="1853" ht="15" customHeight="1" s="12">
      <c r="R1853" s="16" t="n"/>
    </row>
    <row r="1854" ht="15" customHeight="1" s="12">
      <c r="R1854" s="16" t="n"/>
    </row>
    <row r="1855" ht="15" customHeight="1" s="12">
      <c r="R1855" s="16" t="n"/>
    </row>
    <row r="1856" ht="15" customHeight="1" s="12">
      <c r="R1856" s="16" t="n"/>
    </row>
    <row r="1857" ht="15" customHeight="1" s="12">
      <c r="R1857" s="16" t="n"/>
    </row>
    <row r="1858" ht="15" customHeight="1" s="12">
      <c r="R1858" s="16" t="n"/>
    </row>
    <row r="1859" ht="15" customHeight="1" s="12">
      <c r="R1859" s="16" t="n"/>
    </row>
    <row r="1860" ht="15" customHeight="1" s="12">
      <c r="R1860" s="16" t="n"/>
    </row>
    <row r="1861" ht="15" customHeight="1" s="12">
      <c r="R1861" s="16" t="n"/>
    </row>
    <row r="1862" ht="15" customHeight="1" s="12">
      <c r="R1862" s="16" t="n"/>
    </row>
    <row r="1863" ht="15" customHeight="1" s="12">
      <c r="R1863" s="16" t="n"/>
    </row>
    <row r="1864" ht="15" customHeight="1" s="12">
      <c r="R1864" s="16" t="n"/>
    </row>
    <row r="1865" ht="15" customHeight="1" s="12">
      <c r="R1865" s="16" t="n"/>
    </row>
    <row r="1866" ht="15" customHeight="1" s="12">
      <c r="R1866" s="16" t="n"/>
    </row>
    <row r="1867" ht="15" customHeight="1" s="12">
      <c r="R1867" s="16" t="n"/>
    </row>
    <row r="1868" ht="15" customHeight="1" s="12">
      <c r="R1868" s="16" t="n"/>
    </row>
    <row r="1869" ht="15" customHeight="1" s="12">
      <c r="R1869" s="16" t="n"/>
    </row>
    <row r="1870" ht="15" customHeight="1" s="12">
      <c r="R1870" s="16" t="n"/>
    </row>
    <row r="1871" ht="15" customHeight="1" s="12">
      <c r="R1871" s="16" t="n"/>
    </row>
    <row r="1872" ht="15" customHeight="1" s="12">
      <c r="R1872" s="16" t="n"/>
    </row>
    <row r="1873" ht="15" customHeight="1" s="12">
      <c r="R1873" s="16" t="n"/>
    </row>
    <row r="1874" ht="15" customHeight="1" s="12">
      <c r="R1874" s="16" t="n"/>
    </row>
    <row r="1875" ht="15" customHeight="1" s="12">
      <c r="R1875" s="16" t="n"/>
    </row>
    <row r="1876" ht="15" customHeight="1" s="12">
      <c r="R1876" s="16" t="n"/>
    </row>
    <row r="1877" ht="15" customHeight="1" s="12">
      <c r="R1877" s="16" t="n"/>
    </row>
    <row r="1878" ht="15" customHeight="1" s="12">
      <c r="R1878" s="16" t="n"/>
    </row>
    <row r="1879" ht="15" customHeight="1" s="12">
      <c r="R1879" s="16" t="n"/>
    </row>
    <row r="1880" ht="15" customHeight="1" s="12">
      <c r="R1880" s="16" t="n"/>
    </row>
    <row r="1881" ht="15" customHeight="1" s="12">
      <c r="R1881" s="16" t="n"/>
    </row>
    <row r="1882" ht="15" customHeight="1" s="12">
      <c r="R1882" s="16" t="n"/>
    </row>
    <row r="1883" ht="15" customHeight="1" s="12">
      <c r="R1883" s="16" t="n"/>
    </row>
    <row r="1884" ht="15" customHeight="1" s="12">
      <c r="R1884" s="16" t="n"/>
    </row>
    <row r="1885" ht="15" customHeight="1" s="12">
      <c r="R1885" s="16" t="n"/>
    </row>
    <row r="1886" ht="15" customHeight="1" s="12">
      <c r="R1886" s="16" t="n"/>
    </row>
    <row r="1887" ht="15" customHeight="1" s="12">
      <c r="R1887" s="16" t="n"/>
    </row>
    <row r="1888" ht="15" customHeight="1" s="12">
      <c r="R1888" s="16" t="n"/>
    </row>
    <row r="1889" ht="15" customHeight="1" s="12">
      <c r="R1889" s="16" t="n"/>
    </row>
    <row r="1890" ht="15" customHeight="1" s="12">
      <c r="R1890" s="16" t="n"/>
    </row>
    <row r="1891" ht="15" customHeight="1" s="12">
      <c r="R1891" s="16" t="n"/>
    </row>
    <row r="1892" ht="15" customHeight="1" s="12">
      <c r="R1892" s="16" t="n"/>
    </row>
    <row r="1893" ht="15" customHeight="1" s="12">
      <c r="R1893" s="16" t="n"/>
    </row>
    <row r="1894" ht="15" customHeight="1" s="12">
      <c r="R1894" s="16" t="n"/>
    </row>
    <row r="1895" ht="15" customHeight="1" s="12">
      <c r="R1895" s="16" t="n"/>
    </row>
    <row r="1896" ht="15" customHeight="1" s="12">
      <c r="R1896" s="16" t="n"/>
    </row>
    <row r="1897" ht="15" customHeight="1" s="12">
      <c r="R1897" s="16" t="n"/>
    </row>
    <row r="1898" ht="15" customHeight="1" s="12">
      <c r="R1898" s="16" t="n"/>
    </row>
    <row r="1899" ht="15" customHeight="1" s="12">
      <c r="R1899" s="16" t="n"/>
    </row>
    <row r="1900" ht="15" customHeight="1" s="12">
      <c r="R1900" s="16" t="n"/>
    </row>
    <row r="1901" ht="15" customHeight="1" s="12">
      <c r="R1901" s="16" t="n"/>
    </row>
    <row r="1902" ht="15" customHeight="1" s="12">
      <c r="R1902" s="16" t="n"/>
    </row>
    <row r="1903" ht="15" customHeight="1" s="12">
      <c r="R1903" s="16" t="n"/>
    </row>
    <row r="1904" ht="15" customHeight="1" s="12">
      <c r="R1904" s="16" t="n"/>
    </row>
    <row r="1905" ht="15" customHeight="1" s="12">
      <c r="R1905" s="16" t="n"/>
    </row>
    <row r="1906" ht="15" customHeight="1" s="12">
      <c r="R1906" s="16" t="n"/>
    </row>
    <row r="1907" ht="15" customHeight="1" s="12">
      <c r="R1907" s="16" t="n"/>
    </row>
    <row r="1908" ht="15" customHeight="1" s="12">
      <c r="R1908" s="16" t="n"/>
    </row>
    <row r="1909" ht="15" customHeight="1" s="12">
      <c r="R1909" s="16" t="n"/>
    </row>
    <row r="1910" ht="15" customHeight="1" s="12">
      <c r="R1910" s="16" t="n"/>
    </row>
    <row r="1911" ht="15" customHeight="1" s="12">
      <c r="R1911" s="16" t="n"/>
    </row>
    <row r="1912" ht="15" customHeight="1" s="12">
      <c r="R1912" s="16" t="n"/>
    </row>
    <row r="1913" ht="15" customHeight="1" s="12">
      <c r="R1913" s="16" t="n"/>
    </row>
    <row r="1914" ht="15" customHeight="1" s="12">
      <c r="R1914" s="16" t="n"/>
    </row>
    <row r="1915" ht="15" customHeight="1" s="12">
      <c r="R1915" s="16" t="n"/>
    </row>
    <row r="1916" ht="15" customHeight="1" s="12">
      <c r="R1916" s="16" t="n"/>
    </row>
    <row r="1917" ht="15" customHeight="1" s="12">
      <c r="R1917" s="16" t="n"/>
    </row>
    <row r="1918" ht="15" customHeight="1" s="12">
      <c r="R1918" s="16" t="n"/>
    </row>
    <row r="1919" ht="15" customHeight="1" s="12">
      <c r="R1919" s="16" t="n"/>
    </row>
    <row r="1920" ht="15" customHeight="1" s="12">
      <c r="R1920" s="16" t="n"/>
    </row>
    <row r="1921" ht="15" customHeight="1" s="12">
      <c r="R1921" s="16" t="n"/>
    </row>
    <row r="1922" ht="15" customHeight="1" s="12">
      <c r="R1922" s="16" t="n"/>
    </row>
    <row r="1923" ht="15" customHeight="1" s="12">
      <c r="R1923" s="16" t="n"/>
    </row>
    <row r="1924" ht="15" customHeight="1" s="12">
      <c r="R1924" s="16" t="n"/>
    </row>
    <row r="1925" ht="15" customHeight="1" s="12">
      <c r="R1925" s="16" t="n"/>
    </row>
    <row r="1926" ht="15" customHeight="1" s="12">
      <c r="R1926" s="16" t="n"/>
    </row>
    <row r="1927" ht="15" customHeight="1" s="12">
      <c r="R1927" s="16" t="n"/>
    </row>
    <row r="1928" ht="15" customHeight="1" s="12">
      <c r="R1928" s="16" t="n"/>
    </row>
    <row r="1929" ht="15" customHeight="1" s="12">
      <c r="R1929" s="16" t="n"/>
    </row>
    <row r="1930" ht="15" customHeight="1" s="12">
      <c r="R1930" s="16" t="n"/>
    </row>
    <row r="1931" ht="15" customHeight="1" s="12">
      <c r="R1931" s="16" t="n"/>
    </row>
    <row r="1932" ht="15" customHeight="1" s="12">
      <c r="R1932" s="16" t="n"/>
    </row>
    <row r="1933" ht="15" customHeight="1" s="12">
      <c r="R1933" s="16" t="n"/>
    </row>
    <row r="1934" ht="15" customHeight="1" s="12">
      <c r="R1934" s="16" t="n"/>
    </row>
    <row r="1935" ht="15" customHeight="1" s="12">
      <c r="R1935" s="16" t="n"/>
    </row>
    <row r="1936" ht="15" customHeight="1" s="12">
      <c r="R1936" s="16" t="n"/>
    </row>
    <row r="1937" ht="15" customHeight="1" s="12">
      <c r="R1937" s="16" t="n"/>
    </row>
    <row r="1938" ht="15" customHeight="1" s="12">
      <c r="R1938" s="16" t="n"/>
    </row>
    <row r="1939" ht="15" customHeight="1" s="12">
      <c r="R1939" s="16" t="n"/>
    </row>
    <row r="1940" ht="15" customHeight="1" s="12">
      <c r="R1940" s="16" t="n"/>
    </row>
    <row r="1941" ht="15" customHeight="1" s="12">
      <c r="R1941" s="16" t="n"/>
    </row>
    <row r="1942" ht="15" customHeight="1" s="12">
      <c r="R1942" s="16" t="n"/>
    </row>
    <row r="1943" ht="15" customHeight="1" s="12">
      <c r="R1943" s="16" t="n"/>
    </row>
    <row r="1944" ht="15" customHeight="1" s="12">
      <c r="R1944" s="16" t="n"/>
    </row>
    <row r="1945" ht="15" customHeight="1" s="12">
      <c r="R1945" s="16" t="n"/>
    </row>
    <row r="1946" ht="15" customHeight="1" s="12">
      <c r="R1946" s="16" t="n"/>
    </row>
    <row r="1947" ht="15" customHeight="1" s="12">
      <c r="R1947" s="16" t="n"/>
    </row>
    <row r="1948" ht="15" customHeight="1" s="12">
      <c r="R1948" s="16" t="n"/>
    </row>
    <row r="1949" ht="15" customHeight="1" s="12">
      <c r="R1949" s="16" t="n"/>
    </row>
    <row r="1950" ht="15" customHeight="1" s="12">
      <c r="R1950" s="16" t="n"/>
    </row>
    <row r="1951" ht="15" customHeight="1" s="12">
      <c r="R1951" s="16" t="n"/>
    </row>
    <row r="1952" ht="15" customHeight="1" s="12">
      <c r="R1952" s="16" t="n"/>
    </row>
    <row r="1953" ht="15" customHeight="1" s="12">
      <c r="R1953" s="16" t="n"/>
    </row>
    <row r="1954" ht="15" customHeight="1" s="12">
      <c r="R1954" s="16" t="n"/>
    </row>
    <row r="1955" ht="15" customHeight="1" s="12">
      <c r="R1955" s="16" t="n"/>
    </row>
    <row r="1956" ht="15" customHeight="1" s="12">
      <c r="R1956" s="16" t="n"/>
    </row>
    <row r="1957" ht="15" customHeight="1" s="12">
      <c r="R1957" s="16" t="n"/>
    </row>
    <row r="1958" ht="15" customHeight="1" s="12">
      <c r="R1958" s="16" t="n"/>
    </row>
    <row r="1959" ht="15" customHeight="1" s="12">
      <c r="R1959" s="16" t="n"/>
    </row>
    <row r="1960" ht="15" customHeight="1" s="12">
      <c r="R1960" s="16" t="n"/>
    </row>
    <row r="1961" ht="15" customHeight="1" s="12">
      <c r="R1961" s="16" t="n"/>
    </row>
    <row r="1962" ht="15" customHeight="1" s="12">
      <c r="R1962" s="16" t="n"/>
    </row>
    <row r="1963" ht="15" customHeight="1" s="12">
      <c r="R1963" s="16" t="n"/>
    </row>
    <row r="1964" ht="15" customHeight="1" s="12">
      <c r="R1964" s="16" t="n"/>
    </row>
    <row r="1965" ht="15" customHeight="1" s="12">
      <c r="R1965" s="16" t="n"/>
    </row>
    <row r="1966" ht="15" customHeight="1" s="12">
      <c r="R1966" s="16" t="n"/>
    </row>
    <row r="1967" ht="15" customHeight="1" s="12">
      <c r="R1967" s="16" t="n"/>
    </row>
    <row r="1968" ht="15" customHeight="1" s="12">
      <c r="R1968" s="16" t="n"/>
    </row>
    <row r="1969" ht="15" customHeight="1" s="12">
      <c r="R1969" s="16" t="n"/>
    </row>
    <row r="1970" ht="15" customHeight="1" s="12">
      <c r="R1970" s="16" t="n"/>
    </row>
    <row r="1971" ht="15" customHeight="1" s="12">
      <c r="R1971" s="16" t="n"/>
    </row>
    <row r="1972" ht="15" customHeight="1" s="12">
      <c r="R1972" s="16" t="n"/>
    </row>
    <row r="1973" ht="15" customHeight="1" s="12">
      <c r="R1973" s="16" t="n"/>
    </row>
    <row r="1974" ht="15" customHeight="1" s="12">
      <c r="R1974" s="16" t="n"/>
    </row>
    <row r="1975" ht="15" customHeight="1" s="12">
      <c r="R1975" s="16" t="n"/>
    </row>
    <row r="1976" ht="15" customHeight="1" s="12">
      <c r="R1976" s="16" t="n"/>
    </row>
    <row r="1977" ht="15" customHeight="1" s="12">
      <c r="R1977" s="16" t="n"/>
    </row>
    <row r="1978" ht="15" customHeight="1" s="12">
      <c r="R1978" s="16" t="n"/>
    </row>
    <row r="1979" ht="15" customHeight="1" s="12">
      <c r="R1979" s="16" t="n"/>
    </row>
    <row r="1980" ht="15" customHeight="1" s="12">
      <c r="R1980" s="16" t="n"/>
    </row>
    <row r="1981" ht="15" customHeight="1" s="12">
      <c r="R1981" s="16" t="n"/>
    </row>
    <row r="1982" ht="15" customHeight="1" s="12">
      <c r="R1982" s="16" t="n"/>
    </row>
    <row r="1983" ht="15" customHeight="1" s="12">
      <c r="R1983" s="16" t="n"/>
    </row>
    <row r="1984" ht="15" customHeight="1" s="12">
      <c r="R1984" s="16" t="n"/>
    </row>
    <row r="1985" ht="15" customHeight="1" s="12">
      <c r="R1985" s="16" t="n"/>
    </row>
    <row r="1986" ht="15" customHeight="1" s="12">
      <c r="R1986" s="16" t="n"/>
    </row>
    <row r="1987" ht="15" customHeight="1" s="12">
      <c r="R1987" s="16" t="n"/>
    </row>
    <row r="1988" ht="15" customHeight="1" s="12">
      <c r="R1988" s="16" t="n"/>
    </row>
    <row r="1989" ht="15" customHeight="1" s="12">
      <c r="R1989" s="16" t="n"/>
    </row>
    <row r="1990" ht="15" customHeight="1" s="12">
      <c r="R1990" s="16" t="n"/>
    </row>
    <row r="1991" ht="15" customHeight="1" s="12">
      <c r="R1991" s="16" t="n"/>
    </row>
    <row r="1992" ht="15" customHeight="1" s="12">
      <c r="R1992" s="16" t="n"/>
    </row>
    <row r="1993" ht="15" customHeight="1" s="12">
      <c r="R1993" s="16" t="n"/>
    </row>
    <row r="1994" ht="15" customHeight="1" s="12">
      <c r="R1994" s="16" t="n"/>
    </row>
    <row r="1995" ht="15" customHeight="1" s="12">
      <c r="R1995" s="16" t="n"/>
    </row>
    <row r="1996" ht="15" customHeight="1" s="12">
      <c r="R1996" s="16" t="n"/>
    </row>
    <row r="1997" ht="15" customHeight="1" s="12">
      <c r="R1997" s="16" t="n"/>
    </row>
    <row r="1998" ht="15" customHeight="1" s="12">
      <c r="R1998" s="16" t="n"/>
    </row>
    <row r="1999" ht="15" customHeight="1" s="12">
      <c r="R1999" s="16" t="n"/>
    </row>
    <row r="2000" ht="15" customHeight="1" s="12">
      <c r="R2000" s="16" t="n"/>
    </row>
    <row r="2001" ht="15" customHeight="1" s="12">
      <c r="A2001" s="16" t="inlineStr">
        <is>
          <t>F188-1</t>
        </is>
      </c>
      <c r="B2001" s="16" t="inlineStr">
        <is>
          <t>comun</t>
        </is>
      </c>
      <c r="C2001" s="16" t="inlineStr">
        <is>
          <t>Gestión documental</t>
        </is>
      </c>
      <c r="D2001" s="16" t="inlineStr">
        <is>
          <t>C188</t>
        </is>
      </c>
      <c r="E2001" s="16" t="inlineStr">
        <is>
          <t>Los papeles del grupo</t>
        </is>
      </c>
      <c r="F2001" s="16" t="inlineStr">
        <is>
          <t>Su grupo recibe correspondencia todos los días, produce actas y guarda expedientes de visitas. La profesional nueva pregunta por dónde empieza el ciclo del documento, quién responde por lo que produce y qué pasa con lo que ya cumplió su tiempo en el archivo de gestión.</t>
        </is>
      </c>
      <c r="G2001" s="16" t="inlineStr">
        <is>
          <t>El conjunto ordenado de etapas por las que pasa un documento en la entidad se denomina</t>
        </is>
      </c>
      <c r="H2001" s="16" t="inlineStr">
        <is>
          <t>Archivística aplicada, que clasifica y describe</t>
        </is>
      </c>
      <c r="I2001" s="16" t="inlineStr">
        <is>
          <t>Trámite interno, de la recepción a la respuesta</t>
        </is>
      </c>
      <c r="J2001" s="16" t="inlineStr">
        <is>
          <t>Gestión documental, de la producción a la disposición final</t>
        </is>
      </c>
      <c r="K2001" s="16" t="inlineStr">
        <is>
          <t>C</t>
        </is>
      </c>
      <c r="L2001" s="16" t="inlineStr">
        <is>
          <t>La gestión documental cubre producción, recepción, distribución, trámite, organización, consulta, conservación y disposición final. Ley 594 de 2000, artículos 3 y 22.</t>
        </is>
      </c>
      <c r="M2001" s="16" t="inlineStr">
        <is>
          <t>La archivística es la disciplina, no el ciclo del documento; el trámite es apenas una de las etapas de ese ciclo.</t>
        </is>
      </c>
      <c r="N2001" s="16" t="inlineStr">
        <is>
          <t>Ley 594 de 2000, arts. 3 y 22</t>
        </is>
      </c>
      <c r="O2001" s="16" t="inlineStr">
        <is>
          <t>SI</t>
        </is>
      </c>
      <c r="P2001" s="16" t="inlineStr">
        <is>
          <t>Media</t>
        </is>
      </c>
      <c r="Q2001" s="16" t="inlineStr">
        <is>
          <t>v2</t>
        </is>
      </c>
      <c r="R2001" s="16" t="inlineStr">
        <is>
          <t>Básico</t>
        </is>
      </c>
    </row>
    <row r="2002" ht="15" customHeight="1" s="12">
      <c r="A2002" s="16" t="inlineStr">
        <is>
          <t>F188-2</t>
        </is>
      </c>
      <c r="B2002" s="16" t="inlineStr">
        <is>
          <t>comun</t>
        </is>
      </c>
      <c r="C2002" s="16" t="inlineStr">
        <is>
          <t>Gestión documental</t>
        </is>
      </c>
      <c r="D2002" s="16" t="inlineStr">
        <is>
          <t>C188</t>
        </is>
      </c>
      <c r="E2002" s="16" t="inlineStr">
        <is>
          <t>Los papeles del grupo</t>
        </is>
      </c>
      <c r="F2002" s="16" t="inlineStr">
        <is>
          <t>Su grupo recibe correspondencia todos los días, produce actas y guarda expedientes de visitas. La profesional nueva pregunta por dónde empieza el ciclo del documento, quién responde por lo que produce y qué pasa con lo que ya cumplió su tiempo en el archivo de gestión.</t>
        </is>
      </c>
      <c r="G2002" s="16" t="inlineStr">
        <is>
          <t>La responsabilidad por los documentos que produce un servidor público, al desvincularse del cargo</t>
        </is>
      </c>
      <c r="H2002" s="16" t="inlineStr">
        <is>
          <t>Termina con el acta de entrega del puesto y del inventario, que firma el jefe y el saliente</t>
        </is>
      </c>
      <c r="I2002" s="16" t="inlineStr">
        <is>
          <t>Se mantiene y debe entregar los documentos inventariados</t>
        </is>
      </c>
      <c r="J2002" s="16" t="inlineStr">
        <is>
          <t>Pasa al jefe inmediato desde el retiro</t>
        </is>
      </c>
      <c r="K2002" s="16" t="inlineStr">
        <is>
          <t>B</t>
        </is>
      </c>
      <c r="L2002" s="16" t="inlineStr">
        <is>
          <t>El servidor que se desvincula entrega los documentos y archivos a su cargo, debidamente inventariados. Ley 594 de 2000, artículos 15 y 16.</t>
        </is>
      </c>
      <c r="M2002" s="16" t="inlineStr">
        <is>
          <t>El acta de entrega documenta la obligación, pero no la extingue; el jefe recibe el inventario sin relevar al servidor de su responsabilidad.</t>
        </is>
      </c>
      <c r="N2002" s="16" t="inlineStr">
        <is>
          <t>Ley 594 de 2000, arts. 15 y 16</t>
        </is>
      </c>
      <c r="O2002" s="16" t="inlineStr">
        <is>
          <t>SI</t>
        </is>
      </c>
      <c r="P2002" s="16" t="inlineStr">
        <is>
          <t>Media</t>
        </is>
      </c>
      <c r="Q2002" s="16" t="inlineStr">
        <is>
          <t>v2</t>
        </is>
      </c>
      <c r="R2002" s="16" t="inlineStr">
        <is>
          <t>Básico</t>
        </is>
      </c>
    </row>
    <row r="2003" ht="15" customHeight="1" s="12">
      <c r="A2003" s="16" t="inlineStr">
        <is>
          <t>F188-3</t>
        </is>
      </c>
      <c r="B2003" s="16" t="inlineStr">
        <is>
          <t>comun</t>
        </is>
      </c>
      <c r="C2003" s="16" t="inlineStr">
        <is>
          <t>Gestión documental</t>
        </is>
      </c>
      <c r="D2003" s="16" t="inlineStr">
        <is>
          <t>C188</t>
        </is>
      </c>
      <c r="E2003" s="16" t="inlineStr">
        <is>
          <t>Los papeles del grupo</t>
        </is>
      </c>
      <c r="F2003" s="16" t="inlineStr">
        <is>
          <t>Su grupo recibe correspondencia todos los días, produce actas y guarda expedientes de visitas. La profesional nueva pregunta por dónde empieza el ciclo del documento, quién responde por lo que produce y qué pasa con lo que ya cumplió su tiempo en el archivo de gestión.</t>
        </is>
      </c>
      <c r="G2003" s="16" t="inlineStr">
        <is>
          <t>Cuando un expediente cumple su tiempo en el archivo de gestión, lo que sigue es</t>
        </is>
      </c>
      <c r="H2003" s="16" t="inlineStr">
        <is>
          <t>La transferencia primaria al archivo central</t>
        </is>
      </c>
      <c r="I2003" s="16" t="inlineStr">
        <is>
          <t>La transferencia secundaria al archivo histórico, con el inventario y el acta correspondiente</t>
        </is>
      </c>
      <c r="J2003" s="16" t="inlineStr">
        <is>
          <t>La digitalización y la baja del papel</t>
        </is>
      </c>
      <c r="K2003" s="16" t="inlineStr">
        <is>
          <t>A</t>
        </is>
      </c>
      <c r="L2003" s="16" t="inlineStr">
        <is>
          <t>Del archivo de gestión el expediente pasa por transferencia primaria al archivo central; la secundaria es la que va al archivo histórico. Ley 594 de 2000, artículos 23 y 24.</t>
        </is>
      </c>
      <c r="M2003" s="16" t="inlineStr">
        <is>
          <t>La transferencia secundaria ocurre después, hacia el archivo histórico; la digitalización es un medio técnico y no sustituye la transferencia.</t>
        </is>
      </c>
      <c r="N2003" s="16" t="inlineStr">
        <is>
          <t>Ley 594 de 2000, arts. 23 y 24</t>
        </is>
      </c>
      <c r="O2003" s="16" t="inlineStr">
        <is>
          <t>SI</t>
        </is>
      </c>
      <c r="P2003" s="16" t="inlineStr">
        <is>
          <t>Media</t>
        </is>
      </c>
      <c r="Q2003" s="16" t="inlineStr">
        <is>
          <t>v2</t>
        </is>
      </c>
      <c r="R2003" s="16" t="inlineStr">
        <is>
          <t>Básico</t>
        </is>
      </c>
    </row>
    <row r="2004" ht="15" customHeight="1" s="12">
      <c r="A2004" s="16" t="inlineStr">
        <is>
          <t>F189-1</t>
        </is>
      </c>
      <c r="B2004" s="16" t="inlineStr">
        <is>
          <t>comun</t>
        </is>
      </c>
      <c r="C2004" s="16" t="inlineStr">
        <is>
          <t>Gestión documental</t>
        </is>
      </c>
      <c r="D2004" s="16" t="inlineStr">
        <is>
          <t>C189</t>
        </is>
      </c>
      <c r="E2004" s="16" t="inlineStr">
        <is>
          <t>Una tabla de retención que nadie aplica</t>
        </is>
      </c>
      <c r="F2004" s="16" t="inlineStr">
        <is>
          <t>En la auditoría se encuentra que el grupo guarda copias de los mismos documentos en tres carpetas distintas, que el expediente de un vigilado tiene folios sueltos sin numerar y que nadie sabe quién aprueba la eliminación de lo que ya cumplió su retención.</t>
        </is>
      </c>
      <c r="G2004" s="16" t="inlineStr">
        <is>
          <t>Frente a las copias que el grupo conserva además del expediente original, lo correcto es</t>
        </is>
      </c>
      <c r="H2004" s="16" t="inlineStr">
        <is>
          <t>Depurarlas, porque el valor está en el expediente original</t>
        </is>
      </c>
      <c r="I2004" s="16" t="inlineStr">
        <is>
          <t>Conservarlas el mismo tiempo del original y transferirlas con él al archivo central</t>
        </is>
      </c>
      <c r="J2004" s="16" t="inlineStr">
        <is>
          <t>Trasladarlas al archivo central aparte</t>
        </is>
      </c>
      <c r="K2004" s="16" t="inlineStr">
        <is>
          <t>A</t>
        </is>
      </c>
      <c r="L2004" s="16" t="inlineStr">
        <is>
          <t>Las copias de apoyo se depuran en el archivo de gestión: no se transfieren ni se conservan con los tiempos del original. Ley 594 de 2000, artículos 22 y 24.</t>
        </is>
      </c>
      <c r="M2004" s="16" t="inlineStr">
        <is>
          <t>Darles el tiempo del original multiplica el archivo sin valor; trasladarlas al central traslada el problema.</t>
        </is>
      </c>
      <c r="N2004" s="16" t="inlineStr">
        <is>
          <t>Ley 594 de 2000, arts. 22 y 24</t>
        </is>
      </c>
      <c r="O2004" s="16" t="inlineStr">
        <is>
          <t>SI</t>
        </is>
      </c>
      <c r="P2004" s="16" t="inlineStr">
        <is>
          <t>Alta</t>
        </is>
      </c>
      <c r="Q2004" s="16" t="inlineStr">
        <is>
          <t>v2</t>
        </is>
      </c>
      <c r="R2004" s="16" t="inlineStr">
        <is>
          <t>Básico</t>
        </is>
      </c>
    </row>
    <row r="2005" ht="15" customHeight="1" s="12">
      <c r="A2005" s="16" t="inlineStr">
        <is>
          <t>F189-2</t>
        </is>
      </c>
      <c r="B2005" s="16" t="inlineStr">
        <is>
          <t>comun</t>
        </is>
      </c>
      <c r="C2005" s="16" t="inlineStr">
        <is>
          <t>Gestión documental</t>
        </is>
      </c>
      <c r="D2005" s="16" t="inlineStr">
        <is>
          <t>C189</t>
        </is>
      </c>
      <c r="E2005" s="16" t="inlineStr">
        <is>
          <t>Una tabla de retención que nadie aplica</t>
        </is>
      </c>
      <c r="F2005" s="16" t="inlineStr">
        <is>
          <t>En la auditoría se encuentra que el grupo guarda copias de los mismos documentos en tres carpetas distintas, que el expediente de un vigilado tiene folios sueltos sin numerar y que nadie sabe quién aprueba la eliminación de lo que ya cumplió su retención.</t>
        </is>
      </c>
      <c r="G2005" s="16" t="inlineStr">
        <is>
          <t>La foliación del expediente tiene como finalidad principal</t>
        </is>
      </c>
      <c r="H2005" s="16" t="inlineStr">
        <is>
          <t>Facilitar la búsqueda por número de folio</t>
        </is>
      </c>
      <c r="I2005" s="16" t="inlineStr">
        <is>
          <t>Garantizar la integridad y el orden del expediente</t>
        </is>
      </c>
      <c r="J2005" s="16" t="inlineStr">
        <is>
          <t>Cumplir el requisito de la auditoría</t>
        </is>
      </c>
      <c r="K2005" s="16" t="inlineStr">
        <is>
          <t>B</t>
        </is>
      </c>
      <c r="L2005" s="16" t="inlineStr">
        <is>
          <t>La foliación asegura la integridad, la secuencia y el control del expediente, y es condición de su valor probatorio. Ley 594 de 2000, artículos 4 y 22.</t>
        </is>
      </c>
      <c r="M2005" s="16" t="inlineStr">
        <is>
          <t>La búsqueda es un beneficio secundario; cumplir con la auditoría no es una finalidad archivística.</t>
        </is>
      </c>
      <c r="N2005" s="16" t="inlineStr">
        <is>
          <t>Ley 594 de 2000, arts. 4 y 22</t>
        </is>
      </c>
      <c r="O2005" s="16" t="inlineStr">
        <is>
          <t>SI</t>
        </is>
      </c>
      <c r="P2005" s="16" t="inlineStr">
        <is>
          <t>Alta</t>
        </is>
      </c>
      <c r="Q2005" s="16" t="inlineStr">
        <is>
          <t>v2</t>
        </is>
      </c>
      <c r="R2005" s="16" t="inlineStr">
        <is>
          <t>Básico</t>
        </is>
      </c>
    </row>
    <row r="2006" ht="15" customHeight="1" s="12">
      <c r="A2006" s="16" t="inlineStr">
        <is>
          <t>F189-3</t>
        </is>
      </c>
      <c r="B2006" s="16" t="inlineStr">
        <is>
          <t>comun</t>
        </is>
      </c>
      <c r="C2006" s="16" t="inlineStr">
        <is>
          <t>Gestión documental</t>
        </is>
      </c>
      <c r="D2006" s="16" t="inlineStr">
        <is>
          <t>C189</t>
        </is>
      </c>
      <c r="E2006" s="16" t="inlineStr">
        <is>
          <t>Una tabla de retención que nadie aplica</t>
        </is>
      </c>
      <c r="F2006" s="16" t="inlineStr">
        <is>
          <t>En la auditoría se encuentra que el grupo guarda copias de los mismos documentos en tres carpetas distintas, que el expediente de un vigilado tiene folios sueltos sin numerar y que nadie sabe quién aprueba la eliminación de lo que ya cumplió su retención.</t>
        </is>
      </c>
      <c r="G2006" s="16" t="inlineStr">
        <is>
          <t>La eliminación de documentos que cumplieron su tiempo de retención requiere</t>
        </is>
      </c>
      <c r="H2006" s="16" t="inlineStr">
        <is>
          <t>Autorización previa del Archivo General de la Nación para cada serie que se vaya a eliminar</t>
        </is>
      </c>
      <c r="I2006" s="16" t="inlineStr">
        <is>
          <t>Concepto del jefe del área productora</t>
        </is>
      </c>
      <c r="J2006" s="16" t="inlineStr">
        <is>
          <t>Decisión del comité interno de archivo</t>
        </is>
      </c>
      <c r="K2006" s="16" t="inlineStr">
        <is>
          <t>C</t>
        </is>
      </c>
      <c r="L2006" s="16" t="inlineStr">
        <is>
          <t>La eliminación se decide con base en la tabla de retención, la aprueba el comité interno de archivo y se documenta con acta e inventario. Ley 594 de 2000, artículos 24 y 28.</t>
        </is>
      </c>
      <c r="M2006" s="16" t="inlineStr">
        <is>
          <t>El Archivo General fija la política y convalida las tablas, pero no autoriza cada eliminación; el concepto del jefe no reemplaza la decisión del comité.</t>
        </is>
      </c>
      <c r="N2006" s="16" t="inlineStr">
        <is>
          <t>Ley 594 de 2000, arts. 24 y 28</t>
        </is>
      </c>
      <c r="O2006" s="16" t="inlineStr">
        <is>
          <t>SI</t>
        </is>
      </c>
      <c r="P2006" s="16" t="inlineStr">
        <is>
          <t>Alta</t>
        </is>
      </c>
      <c r="Q2006" s="16" t="inlineStr">
        <is>
          <t>v2</t>
        </is>
      </c>
      <c r="R2006" s="16" t="inlineStr">
        <is>
          <t>Básico</t>
        </is>
      </c>
    </row>
    <row r="2007" ht="15" customHeight="1" s="12">
      <c r="A2007" s="16" t="inlineStr">
        <is>
          <t>F190-1</t>
        </is>
      </c>
      <c r="B2007" s="16" t="inlineStr">
        <is>
          <t>comun</t>
        </is>
      </c>
      <c r="C2007" s="16" t="inlineStr">
        <is>
          <t>Planeación e indicadores</t>
        </is>
      </c>
      <c r="D2007" s="16" t="inlineStr">
        <is>
          <t>C190</t>
        </is>
      </c>
      <c r="E2007" s="16" t="inlineStr">
        <is>
          <t>El plan que se arma en enero</t>
        </is>
      </c>
      <c r="F2007" s="16" t="inlineStr">
        <is>
          <t>Es 20 de enero y la entidad debe dejar listos sus planes del año. La oficina de planeación pide a cada grupo sus metas y sus indicadores, y pregunta cómo se integran los planes institucionales y en qué dimensión del modelo de gestión se ubican.</t>
        </is>
      </c>
      <c r="G2007" s="16" t="inlineStr">
        <is>
          <t>Los planes institucionales y estratégicos de la entidad deben integrarse en un solo plan de acción</t>
        </is>
      </c>
      <c r="H2007" s="16" t="inlineStr">
        <is>
          <t>A más tardar el 31 de enero</t>
        </is>
      </c>
      <c r="I2007" s="16" t="inlineStr">
        <is>
          <t>Dentro del primer trimestre de la vigencia, cuando ya se conoce la ejecución del año anterior</t>
        </is>
      </c>
      <c r="J2007" s="16" t="inlineStr">
        <is>
          <t>Antes de aprobar el presupuesto</t>
        </is>
      </c>
      <c r="K2007" s="16" t="inlineStr">
        <is>
          <t>A</t>
        </is>
      </c>
      <c r="L2007" s="16" t="inlineStr">
        <is>
          <t>El Decreto 612 de 2018 ordena integrar los planes institucionales y estratégicos al plan de acción, a más tardar el 31 de enero de cada año.</t>
        </is>
      </c>
      <c r="M2007" s="16" t="inlineStr">
        <is>
          <t>El primer trimestre y la aprobación del presupuesto son plazos de otros procesos, no el de la integración de los planes.</t>
        </is>
      </c>
      <c r="N2007" s="16" t="inlineStr">
        <is>
          <t>Decreto 612 de 2018, art. 1</t>
        </is>
      </c>
      <c r="O2007" s="16" t="inlineStr">
        <is>
          <t>SI</t>
        </is>
      </c>
      <c r="P2007" s="16" t="inlineStr">
        <is>
          <t>Media</t>
        </is>
      </c>
      <c r="Q2007" s="16" t="inlineStr">
        <is>
          <t>v2</t>
        </is>
      </c>
      <c r="R2007" s="16" t="inlineStr">
        <is>
          <t>Básico</t>
        </is>
      </c>
    </row>
    <row r="2008" ht="15" customHeight="1" s="12">
      <c r="A2008" s="16" t="inlineStr">
        <is>
          <t>F190-2</t>
        </is>
      </c>
      <c r="B2008" s="16" t="inlineStr">
        <is>
          <t>comun</t>
        </is>
      </c>
      <c r="C2008" s="16" t="inlineStr">
        <is>
          <t>Planeación e indicadores</t>
        </is>
      </c>
      <c r="D2008" s="16" t="inlineStr">
        <is>
          <t>C190</t>
        </is>
      </c>
      <c r="E2008" s="16" t="inlineStr">
        <is>
          <t>El plan que se arma en enero</t>
        </is>
      </c>
      <c r="F2008" s="16" t="inlineStr">
        <is>
          <t>Es 20 de enero y la entidad debe dejar listos sus planes del año. La oficina de planeación pide a cada grupo sus metas y sus indicadores, y pregunta cómo se integran los planes institucionales y en qué dimensión del modelo de gestión se ubican.</t>
        </is>
      </c>
      <c r="G2008" s="16" t="inlineStr">
        <is>
          <t>Un indicador que mide cuántas de las visitas programadas se ejecutaron corresponde a</t>
        </is>
      </c>
      <c r="H2008" s="16" t="inlineStr">
        <is>
          <t>Eficiencia, que relaciona resultado y recursos</t>
        </is>
      </c>
      <c r="I2008" s="16" t="inlineStr">
        <is>
          <t>Eficacia, porque compara lo hecho con lo programado</t>
        </is>
      </c>
      <c r="J2008" s="16" t="inlineStr">
        <is>
          <t>Efectividad, porque mide el cambio logrado</t>
        </is>
      </c>
      <c r="K2008" s="16" t="inlineStr">
        <is>
          <t>B</t>
        </is>
      </c>
      <c r="L2008" s="16" t="inlineStr">
        <is>
          <t>La eficacia compara el resultado con la meta programada; la eficiencia relaciona resultado y recursos, y la efectividad mira el cambio logrado. Decreto 1499 de 2017, artículo 2.2.22.3.2, dimensión de evaluación de resultados.</t>
        </is>
      </c>
      <c r="M2008" s="16" t="inlineStr">
        <is>
          <t>La eficiencia exige medir recursos, que aquí no se consideran; la efectividad mira el impacto, no el cumplimiento de la programación.</t>
        </is>
      </c>
      <c r="N2008" s="16" t="inlineStr">
        <is>
          <t>Decreto 1499 de 2017, art. 2.2.22.3.2</t>
        </is>
      </c>
      <c r="O2008" s="16" t="inlineStr">
        <is>
          <t>SI</t>
        </is>
      </c>
      <c r="P2008" s="16" t="inlineStr">
        <is>
          <t>Media</t>
        </is>
      </c>
      <c r="Q2008" s="16" t="inlineStr">
        <is>
          <t>v2</t>
        </is>
      </c>
      <c r="R2008" s="16" t="inlineStr">
        <is>
          <t>Básico</t>
        </is>
      </c>
    </row>
    <row r="2009" ht="15" customHeight="1" s="12">
      <c r="A2009" s="16" t="inlineStr">
        <is>
          <t>F190-3</t>
        </is>
      </c>
      <c r="B2009" s="16" t="inlineStr">
        <is>
          <t>comun</t>
        </is>
      </c>
      <c r="C2009" s="16" t="inlineStr">
        <is>
          <t>Planeación e indicadores</t>
        </is>
      </c>
      <c r="D2009" s="16" t="inlineStr">
        <is>
          <t>C190</t>
        </is>
      </c>
      <c r="E2009" s="16" t="inlineStr">
        <is>
          <t>El plan que se arma en enero</t>
        </is>
      </c>
      <c r="F2009" s="16" t="inlineStr">
        <is>
          <t>Es 20 de enero y la entidad debe dejar listos sus planes del año. La oficina de planeación pide a cada grupo sus metas y sus indicadores, y pregunta cómo se integran los planes institucionales y en qué dimensión del modelo de gestión se ubican.</t>
        </is>
      </c>
      <c r="G2009" s="16" t="inlineStr">
        <is>
          <t>La definición de la meta y de los recursos para alcanzarla pertenece, en el modelo de gestión, a la dimensión de</t>
        </is>
      </c>
      <c r="H2009" s="16" t="inlineStr">
        <is>
          <t>Evaluación de resultados, que verifica el avance y ajusta lo planeado cada trimestre</t>
        </is>
      </c>
      <c r="I2009" s="16" t="inlineStr">
        <is>
          <t>Gestión con valores para resultados</t>
        </is>
      </c>
      <c r="J2009" s="16" t="inlineStr">
        <is>
          <t>Direccionamiento estratégico y planeación</t>
        </is>
      </c>
      <c r="K2009" s="16" t="inlineStr">
        <is>
          <t>C</t>
        </is>
      </c>
      <c r="L2009" s="16" t="inlineStr">
        <is>
          <t>El direccionamiento estratégico y la planeación definen a dónde va la entidad y con qué recursos. Decreto 1499 de 2017, artículo 2.2.22.3.2.</t>
        </is>
      </c>
      <c r="M2009" s="16" t="inlineStr">
        <is>
          <t>La evaluación de resultados mide lo alcanzado y la gestión con valores ejecuta lo planeado: ninguna define la meta.</t>
        </is>
      </c>
      <c r="N2009" s="16" t="inlineStr">
        <is>
          <t>Decreto 1499 de 2017, art. 2.2.22.3.2</t>
        </is>
      </c>
      <c r="O2009" s="16" t="inlineStr">
        <is>
          <t>SI</t>
        </is>
      </c>
      <c r="P2009" s="16" t="inlineStr">
        <is>
          <t>Media</t>
        </is>
      </c>
      <c r="Q2009" s="16" t="inlineStr">
        <is>
          <t>v2</t>
        </is>
      </c>
      <c r="R2009" s="16" t="inlineStr">
        <is>
          <t>Básico</t>
        </is>
      </c>
    </row>
    <row r="2010" ht="15" customHeight="1" s="12">
      <c r="A2010" s="16" t="inlineStr">
        <is>
          <t>F191-1</t>
        </is>
      </c>
      <c r="B2010" s="16" t="inlineStr">
        <is>
          <t>comun</t>
        </is>
      </c>
      <c r="C2010" s="16" t="inlineStr">
        <is>
          <t>Protección de datos y seguridad de la información</t>
        </is>
      </c>
      <c r="D2010" s="16" t="inlineStr">
        <is>
          <t>C191</t>
        </is>
      </c>
      <c r="E2010" s="16" t="inlineStr">
        <is>
          <t>Dos escritos del mismo titular</t>
        </is>
      </c>
      <c r="F2010" s="16" t="inlineStr">
        <is>
          <t>Una ciudadana pide por escrito que le informen qué datos suyos tiene la entidad. Doce días hábiles después, sin respuesta, radica un segundo escrito en el que afirma que el dato de su dirección está errado y pide corregirlo, y anuncia que acudirá a la Superintendencia.</t>
        </is>
      </c>
      <c r="G2010" s="16" t="inlineStr">
        <is>
          <t>El término máximo para atender el primer escrito, que es una consulta, es de</t>
        </is>
      </c>
      <c r="H2010" s="16" t="inlineStr">
        <is>
          <t>Quince (15) días hábiles desde el día siguiente al recibo, prorrogables por ocho más</t>
        </is>
      </c>
      <c r="I2010" s="16" t="inlineStr">
        <is>
          <t>Quince (15) días hábiles desde su recibo</t>
        </is>
      </c>
      <c r="J2010" s="16" t="inlineStr">
        <is>
          <t>Diez (10) días hábiles desde su recibo</t>
        </is>
      </c>
      <c r="K2010" s="16" t="inlineStr">
        <is>
          <t>C</t>
        </is>
      </c>
      <c r="L2010" s="16" t="inlineStr">
        <is>
          <t>La consulta se atiende en máximo diez (10) días hábiles, prorrogables por cinco más informando los motivos. Ley 1581 de 2012, artículo 14.</t>
        </is>
      </c>
      <c r="M2010" s="16" t="inlineStr">
        <is>
          <t>Los quince días hábiles son el término del reclamo, y el conteo desde el día siguiente corresponde también al reclamo, no a la consulta.</t>
        </is>
      </c>
      <c r="N2010" s="16" t="inlineStr">
        <is>
          <t>Ley 1581 de 2012, art. 14</t>
        </is>
      </c>
      <c r="O2010" s="16" t="inlineStr">
        <is>
          <t>SI</t>
        </is>
      </c>
      <c r="P2010" s="16" t="inlineStr">
        <is>
          <t>Alta</t>
        </is>
      </c>
      <c r="Q2010" s="16" t="inlineStr">
        <is>
          <t>v2</t>
        </is>
      </c>
      <c r="R2010" s="16" t="inlineStr">
        <is>
          <t>Básico</t>
        </is>
      </c>
    </row>
    <row r="2011" ht="15" customHeight="1" s="12">
      <c r="A2011" s="16" t="inlineStr">
        <is>
          <t>F191-2</t>
        </is>
      </c>
      <c r="B2011" s="16" t="inlineStr">
        <is>
          <t>comun</t>
        </is>
      </c>
      <c r="C2011" s="16" t="inlineStr">
        <is>
          <t>Protección de datos y seguridad de la información</t>
        </is>
      </c>
      <c r="D2011" s="16" t="inlineStr">
        <is>
          <t>C191</t>
        </is>
      </c>
      <c r="E2011" s="16" t="inlineStr">
        <is>
          <t>Dos escritos del mismo titular</t>
        </is>
      </c>
      <c r="F2011" s="16" t="inlineStr">
        <is>
          <t>Una ciudadana pide por escrito que le informen qué datos suyos tiene la entidad. Doce días hábiles después, sin respuesta, radica un segundo escrito en el que afirma que el dato de su dirección está errado y pide corregirlo, y anuncia que acudirá a la Superintendencia.</t>
        </is>
      </c>
      <c r="G2011" s="16" t="inlineStr">
        <is>
          <t>El segundo escrito, que pide corregir el dato, debe atenderse en</t>
        </is>
      </c>
      <c r="H2011" s="16" t="inlineStr">
        <is>
          <t>Quince (15) días hábiles desde el día siguiente al recibo</t>
        </is>
      </c>
      <c r="I2011" s="16" t="inlineStr">
        <is>
          <t>Diez (10) días hábiles desde el día siguiente al recibo, prorrogables por cinco días más</t>
        </is>
      </c>
      <c r="J2011" s="16" t="inlineStr">
        <is>
          <t>Quince (15) días calendario desde el radicado</t>
        </is>
      </c>
      <c r="K2011" s="16" t="inlineStr">
        <is>
          <t>A</t>
        </is>
      </c>
      <c r="L2011" s="16" t="inlineStr">
        <is>
          <t>El reclamo se atiende en máximo quince (15) días hábiles contados desde el día siguiente al recibo, prorrogables por ocho más. Ley 1581 de 2012, artículo 15.</t>
        </is>
      </c>
      <c r="M2011" s="16" t="inlineStr">
        <is>
          <t>Los diez días hábiles son el término de la consulta; contar en días calendario acorta indebidamente el plazo legal.</t>
        </is>
      </c>
      <c r="N2011" s="16" t="inlineStr">
        <is>
          <t>Ley 1581 de 2012, art. 15</t>
        </is>
      </c>
      <c r="O2011" s="16" t="inlineStr">
        <is>
          <t>SI</t>
        </is>
      </c>
      <c r="P2011" s="16" t="inlineStr">
        <is>
          <t>Alta</t>
        </is>
      </c>
      <c r="Q2011" s="16" t="inlineStr">
        <is>
          <t>v2</t>
        </is>
      </c>
      <c r="R2011" s="16" t="inlineStr">
        <is>
          <t>Básico</t>
        </is>
      </c>
    </row>
    <row r="2012" ht="15" customHeight="1" s="12">
      <c r="A2012" s="16" t="inlineStr">
        <is>
          <t>F191-3</t>
        </is>
      </c>
      <c r="B2012" s="16" t="inlineStr">
        <is>
          <t>comun</t>
        </is>
      </c>
      <c r="C2012" s="16" t="inlineStr">
        <is>
          <t>Protección de datos y seguridad de la información</t>
        </is>
      </c>
      <c r="D2012" s="16" t="inlineStr">
        <is>
          <t>C191</t>
        </is>
      </c>
      <c r="E2012" s="16" t="inlineStr">
        <is>
          <t>Dos escritos del mismo titular</t>
        </is>
      </c>
      <c r="F2012" s="16" t="inlineStr">
        <is>
          <t>Una ciudadana pide por escrito que le informen qué datos suyos tiene la entidad. Doce días hábiles después, sin respuesta, radica un segundo escrito en el que afirma que el dato de su dirección está errado y pide corregirlo, y anuncia que acudirá a la Superintendencia.</t>
        </is>
      </c>
      <c r="G2012" s="16" t="inlineStr">
        <is>
          <t>Sobre su anuncio de acudir a la Superintendencia, usted debe advertirle que</t>
        </is>
      </c>
      <c r="H2012" s="16" t="inlineStr">
        <is>
          <t>Puede presentar la queja en cualquier momento</t>
        </is>
      </c>
      <c r="I2012" s="16" t="inlineStr">
        <is>
          <t>Debe agotar antes el trámite del reclamo ante la entidad</t>
        </is>
      </c>
      <c r="J2012" s="16" t="inlineStr">
        <is>
          <t>Debe esperar una decisión desfavorable</t>
        </is>
      </c>
      <c r="K2012" s="16" t="inlineStr">
        <is>
          <t>B</t>
        </is>
      </c>
      <c r="L2012" s="16" t="inlineStr">
        <is>
          <t>La ley exige agotar el trámite de consulta o reclamo ante el responsable como requisito de procedibilidad para acudir a la Superintendencia. Ley 1581 de 2012, artículo 16.</t>
        </is>
      </c>
      <c r="M2012" s="16" t="inlineStr">
        <is>
          <t>Acudir en cualquier momento desconoce ese requisito; y no se exige una decisión desfavorable, basta con agotar el trámite.</t>
        </is>
      </c>
      <c r="N2012" s="16" t="inlineStr">
        <is>
          <t>Ley 1581 de 2012, art. 16</t>
        </is>
      </c>
      <c r="O2012" s="16" t="inlineStr">
        <is>
          <t>SI</t>
        </is>
      </c>
      <c r="P2012" s="16" t="inlineStr">
        <is>
          <t>Alta</t>
        </is>
      </c>
      <c r="Q2012" s="16" t="inlineStr">
        <is>
          <t>v2</t>
        </is>
      </c>
      <c r="R2012" s="16" t="inlineStr">
        <is>
          <t>Básico</t>
        </is>
      </c>
    </row>
    <row r="2013" ht="15" customHeight="1" s="12">
      <c r="A2013" s="16" t="inlineStr">
        <is>
          <t>F192-1</t>
        </is>
      </c>
      <c r="B2013" s="16" t="inlineStr">
        <is>
          <t>comun</t>
        </is>
      </c>
      <c r="C2013" s="16" t="inlineStr">
        <is>
          <t>Talento humano y bienestar</t>
        </is>
      </c>
      <c r="D2013" s="16" t="inlineStr">
        <is>
          <t>C192</t>
        </is>
      </c>
      <c r="E2013" s="16" t="inlineStr">
        <is>
          <t>Capacitación, bienestar e incentivos</t>
        </is>
      </c>
      <c r="F2013" s="16" t="inlineStr">
        <is>
          <t>El grupo de talento humano prepara los programas del año. Un profesional pregunta si un curso de posgrado puede pagarse con el plan de capacitación, si el día de la familia hace parte de bienestar y qué diferencia hay entre un estímulo y un incentivo.</t>
        </is>
      </c>
      <c r="G2013" s="16" t="inlineStr">
        <is>
          <t>La capacitación de los empleados públicos se orienta a</t>
        </is>
      </c>
      <c r="H2013" s="16" t="inlineStr">
        <is>
          <t>Financiar la formación de posgrado del empleado de carrera con cargo al plan institucional</t>
        </is>
      </c>
      <c r="I2013" s="16" t="inlineStr">
        <is>
          <t>Reconocer el desempeño destacado del equipo</t>
        </is>
      </c>
      <c r="J2013" s="16" t="inlineStr">
        <is>
          <t>Desarrollar las capacidades que exige el desempeño del empleo</t>
        </is>
      </c>
      <c r="K2013" s="16" t="inlineStr">
        <is>
          <t>C</t>
        </is>
      </c>
      <c r="L2013" s="16" t="inlineStr">
        <is>
          <t>La capacitación busca desarrollar las capacidades y destrezas necesarias para el desempeño. La educación formal de posgrado no se financia con el plan de capacitación. Ley 1567 de 1998, artículos 4 y 6.</t>
        </is>
      </c>
      <c r="M2013" s="16" t="inlineStr">
        <is>
          <t>Financiar el posgrado corresponde a otras figuras, como los incentivos por estudios; reconocer el desempeño es propio de los estímulos.</t>
        </is>
      </c>
      <c r="N2013" s="16" t="inlineStr">
        <is>
          <t>Ley 1567 de 1998, arts. 4 y 6</t>
        </is>
      </c>
      <c r="O2013" s="16" t="inlineStr">
        <is>
          <t>SI</t>
        </is>
      </c>
      <c r="P2013" s="16" t="inlineStr">
        <is>
          <t>Media</t>
        </is>
      </c>
      <c r="Q2013" s="16" t="inlineStr">
        <is>
          <t>v2</t>
        </is>
      </c>
      <c r="R2013" s="16" t="inlineStr">
        <is>
          <t>Básico</t>
        </is>
      </c>
    </row>
    <row r="2014" ht="15" customHeight="1" s="12">
      <c r="A2014" s="16" t="inlineStr">
        <is>
          <t>F192-2</t>
        </is>
      </c>
      <c r="B2014" s="16" t="inlineStr">
        <is>
          <t>comun</t>
        </is>
      </c>
      <c r="C2014" s="16" t="inlineStr">
        <is>
          <t>Talento humano y bienestar</t>
        </is>
      </c>
      <c r="D2014" s="16" t="inlineStr">
        <is>
          <t>C192</t>
        </is>
      </c>
      <c r="E2014" s="16" t="inlineStr">
        <is>
          <t>Capacitación, bienestar e incentivos</t>
        </is>
      </c>
      <c r="F2014" s="16" t="inlineStr">
        <is>
          <t>El grupo de talento humano prepara los programas del año. Un profesional pregunta si un curso de posgrado puede pagarse con el plan de capacitación, si el día de la familia hace parte de bienestar y qué diferencia hay entre un estímulo y un incentivo.</t>
        </is>
      </c>
      <c r="G2014" s="16" t="inlineStr">
        <is>
          <t>Los programas de bienestar social de la entidad deben</t>
        </is>
      </c>
      <c r="H2014" s="16" t="inlineStr">
        <is>
          <t>Atender las necesidades de protección y desarrollo del empleado</t>
        </is>
      </c>
      <c r="I2014" s="16" t="inlineStr">
        <is>
          <t>Cubrir las prestaciones asistenciales de salud</t>
        </is>
      </c>
      <c r="J2014" s="16" t="inlineStr">
        <is>
          <t>Premiar a los equipos mejor calificados</t>
        </is>
      </c>
      <c r="K2014" s="16" t="inlineStr">
        <is>
          <t>A</t>
        </is>
      </c>
      <c r="L2014" s="16" t="inlineStr">
        <is>
          <t>El bienestar social busca la calidad de vida del empleado y su familia, en lo protector y en lo de desarrollo. Ley 1567 de 1998, artículos 19 y 20.</t>
        </is>
      </c>
      <c r="M2014" s="16" t="inlineStr">
        <is>
          <t>Las prestaciones asistenciales corren por el sistema de seguridad social; premiar equipos es el plan de incentivos.</t>
        </is>
      </c>
      <c r="N2014" s="16" t="inlineStr">
        <is>
          <t>Ley 1567 de 1998, arts. 19 y 20</t>
        </is>
      </c>
      <c r="O2014" s="16" t="inlineStr">
        <is>
          <t>SI</t>
        </is>
      </c>
      <c r="P2014" s="16" t="inlineStr">
        <is>
          <t>Media</t>
        </is>
      </c>
      <c r="Q2014" s="16" t="inlineStr">
        <is>
          <t>v2</t>
        </is>
      </c>
      <c r="R2014" s="16" t="inlineStr">
        <is>
          <t>Básico</t>
        </is>
      </c>
    </row>
    <row r="2015" ht="15" customHeight="1" s="12">
      <c r="A2015" s="16" t="inlineStr">
        <is>
          <t>F192-3</t>
        </is>
      </c>
      <c r="B2015" s="16" t="inlineStr">
        <is>
          <t>comun</t>
        </is>
      </c>
      <c r="C2015" s="16" t="inlineStr">
        <is>
          <t>Talento humano y bienestar</t>
        </is>
      </c>
      <c r="D2015" s="16" t="inlineStr">
        <is>
          <t>C192</t>
        </is>
      </c>
      <c r="E2015" s="16" t="inlineStr">
        <is>
          <t>Capacitación, bienestar e incentivos</t>
        </is>
      </c>
      <c r="F2015" s="16" t="inlineStr">
        <is>
          <t>El grupo de talento humano prepara los programas del año. Un profesional pregunta si un curso de posgrado puede pagarse con el plan de capacitación, si el día de la familia hace parte de bienestar y qué diferencia hay entre un estímulo y un incentivo.</t>
        </is>
      </c>
      <c r="G2015" s="16" t="inlineStr">
        <is>
          <t>El reconocimiento al equipo de trabajo con mejor desempeño hace parte de</t>
        </is>
      </c>
      <c r="H2015" s="16" t="inlineStr">
        <is>
          <t>El plan institucional de capacitación, que incluye la inducción y la reinducción del personal</t>
        </is>
      </c>
      <c r="I2015" s="16" t="inlineStr">
        <is>
          <t>El plan de incentivos de la entidad</t>
        </is>
      </c>
      <c r="J2015" s="16" t="inlineStr">
        <is>
          <t>El programa de bienestar social laboral</t>
        </is>
      </c>
      <c r="K2015" s="16" t="inlineStr">
        <is>
          <t>B</t>
        </is>
      </c>
      <c r="L2015" s="16" t="inlineStr">
        <is>
          <t>Los incentivos, pecuniarios y no pecuniarios, reconocen el desempeño de empleados y equipos. Ley 1567 de 1998, artículos 26 y 29.</t>
        </is>
      </c>
      <c r="M2015" s="16" t="inlineStr">
        <is>
          <t>La capacitación desarrolla capacidades y el bienestar atiende calidad de vida: ninguno reconoce el desempeño.</t>
        </is>
      </c>
      <c r="N2015" s="16" t="inlineStr">
        <is>
          <t>Ley 1567 de 1998, arts. 26 y 29</t>
        </is>
      </c>
      <c r="O2015" s="16" t="inlineStr">
        <is>
          <t>SI</t>
        </is>
      </c>
      <c r="P2015" s="16" t="inlineStr">
        <is>
          <t>Media</t>
        </is>
      </c>
      <c r="Q2015" s="16" t="inlineStr">
        <is>
          <t>v2</t>
        </is>
      </c>
      <c r="R2015" s="16" t="inlineStr">
        <is>
          <t>Básico</t>
        </is>
      </c>
    </row>
    <row r="2016" ht="15" customHeight="1" s="12">
      <c r="A2016" s="16" t="inlineStr">
        <is>
          <t>F193-1</t>
        </is>
      </c>
      <c r="B2016" s="16" t="inlineStr">
        <is>
          <t>comun</t>
        </is>
      </c>
      <c r="C2016" s="16" t="inlineStr">
        <is>
          <t>Empleo público y carrera administrativa</t>
        </is>
      </c>
      <c r="D2016" s="16" t="inlineStr">
        <is>
          <t>C193</t>
        </is>
      </c>
      <c r="E2016" s="16" t="inlineStr">
        <is>
          <t>Tres movimientos en la planta</t>
        </is>
      </c>
      <c r="F2016" s="16" t="inlineStr">
        <is>
          <t>Queda vacante temporalmente un empleo de profesional especializado. El coordinador quiere encargar a alguien del grupo, a otra persona le ofrecen un empleo de libre nombramiento en otra entidad y una tercera lleva dos años nombrada en provisionalidad en un empleo de carrera.</t>
        </is>
      </c>
      <c r="G2016" s="16" t="inlineStr">
        <is>
          <t>Para encargar a un empleado de carrera en ese empleo, la entidad debe</t>
        </is>
      </c>
      <c r="H2016" s="16" t="inlineStr">
        <is>
          <t>Escoger al empleado con mayor antigüedad en la entidad y en el nivel del empleo vacante</t>
        </is>
      </c>
      <c r="I2016" s="16" t="inlineStr">
        <is>
          <t>Preferir a quien acredite requisitos y desempeño</t>
        </is>
      </c>
      <c r="J2016" s="16" t="inlineStr">
        <is>
          <t>Abrir una convocatoria interna entre interesados</t>
        </is>
      </c>
      <c r="K2016" s="16" t="inlineStr">
        <is>
          <t>B</t>
        </is>
      </c>
      <c r="L2016" s="16" t="inlineStr">
        <is>
          <t>El encargo recae en el empleado de carrera que acredite los requisitos, tenga evaluación sobresaliente y no haya sido sancionado. Ley 909 de 2004, artículo 24, modificado por el artículo 1 de la Ley 1960 de 2019.</t>
        </is>
      </c>
      <c r="M2016" s="16" t="inlineStr">
        <is>
          <t>La antigüedad por sí sola no es el criterio legal, y la convocatoria interna no está prevista para el encargo.</t>
        </is>
      </c>
      <c r="N2016" s="16" t="inlineStr">
        <is>
          <t>Ley 909 de 2004, art. 24 (mod. Ley 1960 de 2019, art. 1)</t>
        </is>
      </c>
      <c r="O2016" s="16" t="inlineStr">
        <is>
          <t>SI</t>
        </is>
      </c>
      <c r="P2016" s="16" t="inlineStr">
        <is>
          <t>Alta</t>
        </is>
      </c>
      <c r="Q2016" s="16" t="inlineStr">
        <is>
          <t>v2</t>
        </is>
      </c>
      <c r="R2016" s="16" t="inlineStr">
        <is>
          <t>Básico</t>
        </is>
      </c>
    </row>
    <row r="2017" ht="15" customHeight="1" s="12">
      <c r="A2017" s="16" t="inlineStr">
        <is>
          <t>F193-2</t>
        </is>
      </c>
      <c r="B2017" s="16" t="inlineStr">
        <is>
          <t>comun</t>
        </is>
      </c>
      <c r="C2017" s="16" t="inlineStr">
        <is>
          <t>Empleo público y carrera administrativa</t>
        </is>
      </c>
      <c r="D2017" s="16" t="inlineStr">
        <is>
          <t>C193</t>
        </is>
      </c>
      <c r="E2017" s="16" t="inlineStr">
        <is>
          <t>Tres movimientos en la planta</t>
        </is>
      </c>
      <c r="F2017" s="16" t="inlineStr">
        <is>
          <t>Queda vacante temporalmente un empleo de profesional especializado. El coordinador quiere encargar a alguien del grupo, a otra persona le ofrecen un empleo de libre nombramiento en otra entidad y una tercera lleva dos años nombrada en provisionalidad en un empleo de carrera.</t>
        </is>
      </c>
      <c r="G2017" s="16" t="inlineStr">
        <is>
          <t>El empleado de carrera que acepta un empleo de libre nombramiento en otra entidad</t>
        </is>
      </c>
      <c r="H2017" s="16" t="inlineStr">
        <is>
          <t>Queda en comisión y conserva sus derechos de carrera</t>
        </is>
      </c>
      <c r="I2017" s="16" t="inlineStr">
        <is>
          <t>Pierde los derechos de carrera desde la posesión en el empleo de libre nombramiento</t>
        </is>
      </c>
      <c r="J2017" s="16" t="inlineStr">
        <is>
          <t>Debe renunciar antes de posesionarse</t>
        </is>
      </c>
      <c r="K2017" s="16" t="inlineStr">
        <is>
          <t>A</t>
        </is>
      </c>
      <c r="L2017" s="16" t="inlineStr">
        <is>
          <t>El empleado de carrera puede obtener comisión para desempeñar un empleo de libre nombramiento y remoción, conservando los derechos de carrera. Ley 909 de 2004, artículo 26.</t>
        </is>
      </c>
      <c r="M2017" s="16" t="inlineStr">
        <is>
          <t>Perder los derechos o renunciar desconoce la figura de la comisión, que existe justamente para proteger la carrera.</t>
        </is>
      </c>
      <c r="N2017" s="16" t="inlineStr">
        <is>
          <t>Ley 909 de 2004, art. 26</t>
        </is>
      </c>
      <c r="O2017" s="16" t="inlineStr">
        <is>
          <t>SI</t>
        </is>
      </c>
      <c r="P2017" s="16" t="inlineStr">
        <is>
          <t>Alta</t>
        </is>
      </c>
      <c r="Q2017" s="16" t="inlineStr">
        <is>
          <t>v2</t>
        </is>
      </c>
      <c r="R2017" s="16" t="inlineStr">
        <is>
          <t>Básico</t>
        </is>
      </c>
    </row>
    <row r="2018" ht="15" customHeight="1" s="12">
      <c r="A2018" s="16" t="inlineStr">
        <is>
          <t>F193-3</t>
        </is>
      </c>
      <c r="B2018" s="16" t="inlineStr">
        <is>
          <t>comun</t>
        </is>
      </c>
      <c r="C2018" s="16" t="inlineStr">
        <is>
          <t>Empleo público y carrera administrativa</t>
        </is>
      </c>
      <c r="D2018" s="16" t="inlineStr">
        <is>
          <t>C193</t>
        </is>
      </c>
      <c r="E2018" s="16" t="inlineStr">
        <is>
          <t>Tres movimientos en la planta</t>
        </is>
      </c>
      <c r="F2018" s="16" t="inlineStr">
        <is>
          <t>Queda vacante temporalmente un empleo de profesional especializado. El coordinador quiere encargar a alguien del grupo, a otra persona le ofrecen un empleo de libre nombramiento en otra entidad y una tercera lleva dos años nombrada en provisionalidad en un empleo de carrera.</t>
        </is>
      </c>
      <c r="G2018" s="16" t="inlineStr">
        <is>
          <t>El nombramiento en provisionalidad en un empleo de carrera</t>
        </is>
      </c>
      <c r="H2018" s="16" t="inlineStr">
        <is>
          <t>Se convierte en carrera a los tres años</t>
        </is>
      </c>
      <c r="I2018" s="16" t="inlineStr">
        <is>
          <t>Solo termina por evaluación no satisfactoria</t>
        </is>
      </c>
      <c r="J2018" s="16" t="inlineStr">
        <is>
          <t>Es transitorio y termina cuando el empleo se provee por concurso</t>
        </is>
      </c>
      <c r="K2018" s="16" t="inlineStr">
        <is>
          <t>C</t>
        </is>
      </c>
      <c r="L2018" s="16" t="inlineStr">
        <is>
          <t>La provisionalidad es transitoria: el empleo de carrera se provee por concurso y el provisional no adquiere derechos de carrera por el paso del tiempo. Ley 909 de 2004, artículos 24 y 25.</t>
        </is>
      </c>
      <c r="M2018" s="16" t="inlineStr">
        <is>
          <t>Ningún término convierte la provisionalidad en carrera, y el provisional no se evalúa con el régimen del empleado de carrera.</t>
        </is>
      </c>
      <c r="N2018" s="16" t="inlineStr">
        <is>
          <t>Ley 909 de 2004, arts. 24 y 25</t>
        </is>
      </c>
      <c r="O2018" s="16" t="inlineStr">
        <is>
          <t>SI</t>
        </is>
      </c>
      <c r="P2018" s="16" t="inlineStr">
        <is>
          <t>Alta</t>
        </is>
      </c>
      <c r="Q2018" s="16" t="inlineStr">
        <is>
          <t>v2</t>
        </is>
      </c>
      <c r="R2018" s="16" t="inlineStr">
        <is>
          <t>Básico</t>
        </is>
      </c>
    </row>
    <row r="2019" ht="15" customHeight="1" s="12">
      <c r="A2019" s="16" t="inlineStr">
        <is>
          <t>F194-1</t>
        </is>
      </c>
      <c r="B2019" s="16" t="inlineStr">
        <is>
          <t>comun</t>
        </is>
      </c>
      <c r="C2019" s="16" t="inlineStr">
        <is>
          <t>Lectura crítica</t>
        </is>
      </c>
      <c r="D2019" s="16" t="inlineStr">
        <is>
          <t>C194</t>
        </is>
      </c>
      <c r="E2019" s="16" t="inlineStr">
        <is>
          <t>Lectura crítica</t>
        </is>
      </c>
      <c r="F2019" s="16" t="inlineStr">
        <is>
          <t>La entidad publicó que el tiempo promedio de respuesta a las peticiones bajó de 12 a 8 días en el último semestre. El informe aclara que el promedio se calculó sobre las peticiones cerradas en el periodo y que 1.400 peticiones seguían abiertas al corte, algunas radicadas hace más de cuatro meses.</t>
        </is>
      </c>
      <c r="G2019" s="16" t="inlineStr">
        <is>
          <t>El dato del promedio, tal como está calculado:</t>
        </is>
      </c>
      <c r="H2019" s="16" t="inlineStr">
        <is>
          <t>Sobrestima la demora real, porque incluye peticiones de semestres anteriores</t>
        </is>
      </c>
      <c r="I2019" s="16" t="inlineStr">
        <is>
          <t>Refleja la demora real, porque el promedio se calculó sobre casos cerrados</t>
        </is>
      </c>
      <c r="J2019" s="16" t="inlineStr">
        <is>
          <t>Subestima la demora real, porque deja por fuera las peticiones aún abiertas</t>
        </is>
      </c>
      <c r="K2019" s="16" t="inlineStr">
        <is>
          <t>C</t>
        </is>
      </c>
      <c r="L2019" s="16" t="inlineStr">
        <is>
          <t>Al promediar solo lo cerrado, las peticiones más demoradas, que siguen abiertas, no entran en el cálculo y el promedio queda mejor de lo que es.</t>
        </is>
      </c>
      <c r="M2019" s="16" t="inlineStr">
        <is>
          <t>Decir que refleja la realidad ignora las 1.400 abiertas; decir que la sobrestima invierte el sentido del sesgo.</t>
        </is>
      </c>
      <c r="O2019" s="16" t="inlineStr">
        <is>
          <t>SI</t>
        </is>
      </c>
      <c r="P2019" s="16" t="inlineStr">
        <is>
          <t>Alta</t>
        </is>
      </c>
      <c r="Q2019" s="16" t="inlineStr">
        <is>
          <t>v2</t>
        </is>
      </c>
      <c r="R2019" s="16" t="inlineStr">
        <is>
          <t>Aptitudes</t>
        </is>
      </c>
    </row>
    <row r="2020" ht="15" customHeight="1" s="12">
      <c r="A2020" s="16" t="inlineStr">
        <is>
          <t>F195-1</t>
        </is>
      </c>
      <c r="B2020" s="16" t="inlineStr">
        <is>
          <t>comun</t>
        </is>
      </c>
      <c r="C2020" s="16" t="inlineStr">
        <is>
          <t>Lectura crítica</t>
        </is>
      </c>
      <c r="D2020" s="16" t="inlineStr">
        <is>
          <t>C195</t>
        </is>
      </c>
      <c r="E2020" s="16" t="inlineStr">
        <is>
          <t>Lectura crítica</t>
        </is>
      </c>
      <c r="F2020" s="16" t="inlineStr">
        <is>
          <t>La entidad publicó que el tiempo promedio de respuesta a las peticiones bajó de 12 a 8 días en el último semestre. El informe aclara que el promedio se calculó sobre las peticiones cerradas en el periodo y que 1.400 peticiones seguían abiertas al corte, algunas radicadas hace más de cuatro meses.</t>
        </is>
      </c>
      <c r="G2020" s="16" t="inlineStr">
        <is>
          <t>Del texto se puede afirmar con certeza que:</t>
        </is>
      </c>
      <c r="H2020" s="16" t="inlineStr">
        <is>
          <t>El promedio de días de las peticiones cerradas disminuyó frente al periodo anterior</t>
        </is>
      </c>
      <c r="I2020" s="16" t="inlineStr">
        <is>
          <t>La entidad mejoró la atención al ciudadano durante el semestre analizado</t>
        </is>
      </c>
      <c r="J2020" s="16" t="inlineStr">
        <is>
          <t>Las peticiones abiertas fueron radicadas todas hace más de cuatro meses</t>
        </is>
      </c>
      <c r="K2020" s="16" t="inlineStr">
        <is>
          <t>A</t>
        </is>
      </c>
      <c r="L2020" s="16" t="inlineStr">
        <is>
          <t>Lo único que el texto afirma es la caída del promedio de las cerradas; la mejora general y la antigüedad de todas las abiertas no se siguen de él.</t>
        </is>
      </c>
      <c r="M2020" s="16" t="inlineStr">
        <is>
          <t>Afirmar la mejora general excede lo dicho, y el texto habla de algunas peticiones antiguas, no de todas.</t>
        </is>
      </c>
      <c r="O2020" s="16" t="inlineStr">
        <is>
          <t>SI</t>
        </is>
      </c>
      <c r="P2020" s="16" t="inlineStr">
        <is>
          <t>Media</t>
        </is>
      </c>
      <c r="Q2020" s="16" t="inlineStr">
        <is>
          <t>v2</t>
        </is>
      </c>
      <c r="R2020" s="16" t="inlineStr">
        <is>
          <t>Aptitudes</t>
        </is>
      </c>
    </row>
    <row r="2021" ht="15" customHeight="1" s="12">
      <c r="A2021" s="16" t="inlineStr">
        <is>
          <t>F196-1</t>
        </is>
      </c>
      <c r="B2021" s="16" t="inlineStr">
        <is>
          <t>comun</t>
        </is>
      </c>
      <c r="C2021" s="16" t="inlineStr">
        <is>
          <t>Lectura crítica</t>
        </is>
      </c>
      <c r="D2021" s="16" t="inlineStr">
        <is>
          <t>C196</t>
        </is>
      </c>
      <c r="E2021" s="16" t="inlineStr">
        <is>
          <t>Lectura crítica</t>
        </is>
      </c>
      <c r="F2021" s="16" t="inlineStr">
        <is>
          <t>Un columnista sostiene que los concursos de méritos deberían eliminar la valoración de antecedentes, porque premia a quien tuvo dinero para estudiar posgrados. Reconoce que la experiencia también se valora, pero afirma que quien ya trabajó en el sector lleva ventaja.</t>
        </is>
      </c>
      <c r="G2021" s="16" t="inlineStr">
        <is>
          <t>La estructura del argumento del columnista es:</t>
        </is>
      </c>
      <c r="H2021" s="16" t="inlineStr">
        <is>
          <t>Una descripción del procedimiento de valoración que aplican los concursos de méritos</t>
        </is>
      </c>
      <c r="I2021" s="16" t="inlineStr">
        <is>
          <t>Una comparación entre dos concursos que valoran de forma distinta los antecedentes</t>
        </is>
      </c>
      <c r="J2021" s="16" t="inlineStr">
        <is>
          <t>Una propuesta apoyada en que el factor cuestionado favorece a quien ya tiene ventajas</t>
        </is>
      </c>
      <c r="K2021" s="16" t="inlineStr">
        <is>
          <t>C</t>
        </is>
      </c>
      <c r="L2021" s="16" t="inlineStr">
        <is>
          <t>El columnista propone eliminar un factor y lo sustenta en que ese factor reproduce ventajas previas.</t>
        </is>
      </c>
      <c r="M2021" s="16" t="inlineStr">
        <is>
          <t>No hay descripción neutra del procedimiento ni comparación entre dos concursos: hay una tesis con su razón.</t>
        </is>
      </c>
      <c r="O2021" s="16" t="inlineStr">
        <is>
          <t>SI</t>
        </is>
      </c>
      <c r="P2021" s="16" t="inlineStr">
        <is>
          <t>Alta</t>
        </is>
      </c>
      <c r="Q2021" s="16" t="inlineStr">
        <is>
          <t>v2</t>
        </is>
      </c>
      <c r="R2021" s="16" t="inlineStr">
        <is>
          <t>Aptitudes</t>
        </is>
      </c>
    </row>
    <row r="2022" ht="15" customHeight="1" s="12">
      <c r="A2022" s="16" t="inlineStr">
        <is>
          <t>F197-1</t>
        </is>
      </c>
      <c r="B2022" s="16" t="inlineStr">
        <is>
          <t>comun</t>
        </is>
      </c>
      <c r="C2022" s="16" t="inlineStr">
        <is>
          <t>Lectura crítica</t>
        </is>
      </c>
      <c r="D2022" s="16" t="inlineStr">
        <is>
          <t>C197</t>
        </is>
      </c>
      <c r="E2022" s="16" t="inlineStr">
        <is>
          <t>Lectura crítica</t>
        </is>
      </c>
      <c r="F2022" s="16" t="inlineStr">
        <is>
          <t>Un columnista sostiene que los concursos de méritos deberían eliminar la valoración de antecedentes, porque premia a quien tuvo dinero para estudiar posgrados. Reconoce que la experiencia también se valora, pero afirma que quien ya trabajó en el sector lleva ventaja.</t>
        </is>
      </c>
      <c r="G2022" s="16" t="inlineStr">
        <is>
          <t>La concesión que hace el columnista consiste en:</t>
        </is>
      </c>
      <c r="H2022" s="16" t="inlineStr">
        <is>
          <t>Admitir que la experiencia también se valora, aunque la considere otra fuente de ventaja</t>
        </is>
      </c>
      <c r="I2022" s="16" t="inlineStr">
        <is>
          <t>Admitir que la valoración de antecedentes tiene un peso menor que las pruebas escritas</t>
        </is>
      </c>
      <c r="J2022" s="16" t="inlineStr">
        <is>
          <t>Admitir que los posgrados mejoran el desempeño de quien ocupa el empleo público</t>
        </is>
      </c>
      <c r="K2022" s="16" t="inlineStr">
        <is>
          <t>A</t>
        </is>
      </c>
      <c r="L2022" s="16" t="inlineStr">
        <is>
          <t>Conceder es reconocer algo que juega en contra de la propia tesis: aquí reconoce que no solo se valoran posgrados.</t>
        </is>
      </c>
      <c r="M2022" s="16" t="inlineStr">
        <is>
          <t>Ni el desempeño ni el peso porcentual aparecen en el texto: son añadidos del lector.</t>
        </is>
      </c>
      <c r="O2022" s="16" t="inlineStr">
        <is>
          <t>SI</t>
        </is>
      </c>
      <c r="P2022" s="16" t="inlineStr">
        <is>
          <t>Media</t>
        </is>
      </c>
      <c r="Q2022" s="16" t="inlineStr">
        <is>
          <t>v2</t>
        </is>
      </c>
      <c r="R2022" s="16" t="inlineStr">
        <is>
          <t>Aptitudes</t>
        </is>
      </c>
    </row>
    <row r="2023" ht="15" customHeight="1" s="12">
      <c r="A2023" s="16" t="inlineStr">
        <is>
          <t>F198-1</t>
        </is>
      </c>
      <c r="B2023" s="16" t="inlineStr">
        <is>
          <t>comun</t>
        </is>
      </c>
      <c r="C2023" s="16" t="inlineStr">
        <is>
          <t>Lectura crítica</t>
        </is>
      </c>
      <c r="D2023" s="16" t="inlineStr">
        <is>
          <t>C198</t>
        </is>
      </c>
      <c r="E2023" s="16" t="inlineStr">
        <is>
          <t>Lectura crítica</t>
        </is>
      </c>
      <c r="F2023" s="16" t="inlineStr">
        <is>
          <t>Una circular interna dice: «Los servidores deberán responder las solicitudes dentro del término legal. Quien no pueda hacerlo informará al jefe inmediato antes del vencimiento, con la justificación correspondiente».</t>
        </is>
      </c>
      <c r="G2023" s="16" t="inlineStr">
        <is>
          <t>Según la circular, informar al jefe procede cuando:</t>
        </is>
      </c>
      <c r="H2023" s="16" t="inlineStr">
        <is>
          <t>La solicitud exige consultar a otra dependencia de la entidad</t>
        </is>
      </c>
      <c r="I2023" s="16" t="inlineStr">
        <is>
          <t>Se prevé que no será posible responder dentro del término legal</t>
        </is>
      </c>
      <c r="J2023" s="16" t="inlineStr">
        <is>
          <t>Ya venció el término legal y la solicitud sigue sin respuesta</t>
        </is>
      </c>
      <c r="K2023" s="16" t="inlineStr">
        <is>
          <t>B</t>
        </is>
      </c>
      <c r="L2023" s="16" t="inlineStr">
        <is>
          <t>La circular ata el aviso a la imposibilidad prevista y exige que ocurra antes del vencimiento.</t>
        </is>
      </c>
      <c r="M2023" s="16" t="inlineStr">
        <is>
          <t>Avisar después del vencimiento contradice el texto, y consultar a otra área no es el supuesto que la circular regula.</t>
        </is>
      </c>
      <c r="O2023" s="16" t="inlineStr">
        <is>
          <t>SI</t>
        </is>
      </c>
      <c r="P2023" s="16" t="inlineStr">
        <is>
          <t>Basica</t>
        </is>
      </c>
      <c r="Q2023" s="16" t="inlineStr">
        <is>
          <t>v2</t>
        </is>
      </c>
      <c r="R2023" s="16" t="inlineStr">
        <is>
          <t>Aptitudes</t>
        </is>
      </c>
    </row>
    <row r="2024" ht="15" customHeight="1" s="12">
      <c r="A2024" s="16" t="inlineStr">
        <is>
          <t>F199-1</t>
        </is>
      </c>
      <c r="B2024" s="16" t="inlineStr">
        <is>
          <t>comun</t>
        </is>
      </c>
      <c r="C2024" s="16" t="inlineStr">
        <is>
          <t>Lectura crítica</t>
        </is>
      </c>
      <c r="D2024" s="16" t="inlineStr">
        <is>
          <t>C199</t>
        </is>
      </c>
      <c r="E2024" s="16" t="inlineStr">
        <is>
          <t>Lectura crítica</t>
        </is>
      </c>
      <c r="F2024" s="16" t="inlineStr">
        <is>
          <t>Una circular interna dice: «Los servidores deberán responder las solicitudes dentro del término legal. Quien no pueda hacerlo informará al jefe inmediato antes del vencimiento, con la justificación correspondiente».</t>
        </is>
      </c>
      <c r="G2024" s="16" t="inlineStr">
        <is>
          <t>La expresión «con la justificación correspondiente» significa que:</t>
        </is>
      </c>
      <c r="H2024" s="16" t="inlineStr">
        <is>
          <t>El jefe inmediato debe autorizar por escrito la demora en la respuesta</t>
        </is>
      </c>
      <c r="I2024" s="16" t="inlineStr">
        <is>
          <t>El aviso debe explicar por qué no se alcanza a responder en el término</t>
        </is>
      </c>
      <c r="J2024" s="16" t="inlineStr">
        <is>
          <t>La demora queda excusada con el solo hecho de haber dado el aviso</t>
        </is>
      </c>
      <c r="K2024" s="16" t="inlineStr">
        <is>
          <t>B</t>
        </is>
      </c>
      <c r="L2024" s="16" t="inlineStr">
        <is>
          <t>La justificación califica al aviso: no basta con avisar, hay que decir la razón.</t>
        </is>
      </c>
      <c r="M2024" s="16" t="inlineStr">
        <is>
          <t>La autorización del jefe y la excusa automática son efectos que el texto no establece.</t>
        </is>
      </c>
      <c r="O2024" s="16" t="inlineStr">
        <is>
          <t>SI</t>
        </is>
      </c>
      <c r="P2024" s="16" t="inlineStr">
        <is>
          <t>Media</t>
        </is>
      </c>
      <c r="Q2024" s="16" t="inlineStr">
        <is>
          <t>v2</t>
        </is>
      </c>
      <c r="R2024" s="16" t="inlineStr">
        <is>
          <t>Aptitudes</t>
        </is>
      </c>
    </row>
    <row r="2025" ht="15" customHeight="1" s="12">
      <c r="A2025" s="16" t="inlineStr">
        <is>
          <t>F200-1</t>
        </is>
      </c>
      <c r="B2025" s="16" t="inlineStr">
        <is>
          <t>comun</t>
        </is>
      </c>
      <c r="C2025" s="16" t="inlineStr">
        <is>
          <t>Lectura crítica</t>
        </is>
      </c>
      <c r="D2025" s="16" t="inlineStr">
        <is>
          <t>C200</t>
        </is>
      </c>
      <c r="E2025" s="16" t="inlineStr">
        <is>
          <t>Lectura crítica</t>
        </is>
      </c>
      <c r="F2025" s="16" t="inlineStr">
        <is>
          <t>Dos informes analizan el mismo servicio. El primero concluye que la satisfacción subió porque el 78 % de los encuestados la calificó como buena. El segundo advierte que solo respondió el 9 % de los usuarios y que la encuesta se entregó al salir de consulta.</t>
        </is>
      </c>
      <c r="G2025" s="16" t="inlineStr">
        <is>
          <t>La objeción del segundo informe apunta a:</t>
        </is>
      </c>
      <c r="H2025" s="16" t="inlineStr">
        <is>
          <t>El porcentaje de satisfacción, que fue calculado con una fórmula equivocada</t>
        </is>
      </c>
      <c r="I2025" s="16" t="inlineStr">
        <is>
          <t>La conclusión del primer informe, que contradice los datos que él mismo presenta</t>
        </is>
      </c>
      <c r="J2025" s="16" t="inlineStr">
        <is>
          <t>La forma en que se recogieron los datos, que puede sesgar el resultado</t>
        </is>
      </c>
      <c r="K2025" s="16" t="inlineStr">
        <is>
          <t>C</t>
        </is>
      </c>
      <c r="L2025" s="16" t="inlineStr">
        <is>
          <t>El reparo es metodológico: pocos respondientes y un momento de aplicación que selecciona a cierto tipo de usuario.</t>
        </is>
      </c>
      <c r="M2025" s="16" t="inlineStr">
        <is>
          <t>No se discute la aritmética del porcentaje ni se señala contradicción interna en el primer informe.</t>
        </is>
      </c>
      <c r="O2025" s="16" t="inlineStr">
        <is>
          <t>SI</t>
        </is>
      </c>
      <c r="P2025" s="16" t="inlineStr">
        <is>
          <t>Alta</t>
        </is>
      </c>
      <c r="Q2025" s="16" t="inlineStr">
        <is>
          <t>v2</t>
        </is>
      </c>
      <c r="R2025" s="16" t="inlineStr">
        <is>
          <t>Aptitudes</t>
        </is>
      </c>
    </row>
    <row r="2026" ht="15" customHeight="1" s="12">
      <c r="A2026" s="16" t="inlineStr">
        <is>
          <t>F201-1</t>
        </is>
      </c>
      <c r="B2026" s="16" t="inlineStr">
        <is>
          <t>comun</t>
        </is>
      </c>
      <c r="C2026" s="16" t="inlineStr">
        <is>
          <t>Lectura crítica</t>
        </is>
      </c>
      <c r="D2026" s="16" t="inlineStr">
        <is>
          <t>C201</t>
        </is>
      </c>
      <c r="E2026" s="16" t="inlineStr">
        <is>
          <t>Lectura crítica</t>
        </is>
      </c>
      <c r="F2026" s="16" t="inlineStr">
        <is>
          <t>Dos informes analizan el mismo servicio. El primero concluye que la satisfacción subió porque el 78 % de los encuestados la calificó como buena. El segundo advierte que solo respondió el 9 % de los usuarios y que la encuesta se entregó al salir de consulta.</t>
        </is>
      </c>
      <c r="G2026" s="16" t="inlineStr">
        <is>
          <t>Si ambos informes son correctos en sus datos, lo razonable es:</t>
        </is>
      </c>
      <c r="H2026" s="16" t="inlineStr">
        <is>
          <t>Descartar la encuesta y repetirla con el mismo instrumento el semestre siguiente</t>
        </is>
      </c>
      <c r="I2026" s="16" t="inlineStr">
        <is>
          <t>Concluir que la satisfacción real está cerca del 9 % de los usuarios del servicio</t>
        </is>
      </c>
      <c r="J2026" s="16" t="inlineStr">
        <is>
          <t>Tomar el 78 % como el dato de quienes respondieron, no del conjunto de usuarios</t>
        </is>
      </c>
      <c r="K2026" s="16" t="inlineStr">
        <is>
          <t>C</t>
        </is>
      </c>
      <c r="L2026" s="16" t="inlineStr">
        <is>
          <t>El porcentaje describe a quienes contestaron; extenderlo al total exige suponer que los demás opinan igual.</t>
        </is>
      </c>
      <c r="M2026" s="16" t="inlineStr">
        <is>
          <t>Descartar sin más pierde información, y confundir la tasa de respuesta con la satisfacción es un error de lectura.</t>
        </is>
      </c>
      <c r="O2026" s="16" t="inlineStr">
        <is>
          <t>SI</t>
        </is>
      </c>
      <c r="P2026" s="16" t="inlineStr">
        <is>
          <t>Media</t>
        </is>
      </c>
      <c r="Q2026" s="16" t="inlineStr">
        <is>
          <t>v2</t>
        </is>
      </c>
      <c r="R2026" s="16" t="inlineStr">
        <is>
          <t>Aptitudes</t>
        </is>
      </c>
    </row>
    <row r="2027" ht="15" customHeight="1" s="12">
      <c r="A2027" s="16" t="inlineStr">
        <is>
          <t>F202-1</t>
        </is>
      </c>
      <c r="B2027" s="16" t="inlineStr">
        <is>
          <t>comun</t>
        </is>
      </c>
      <c r="C2027" s="16" t="inlineStr">
        <is>
          <t>Razonamiento cuantitativo</t>
        </is>
      </c>
      <c r="D2027" s="16" t="inlineStr">
        <is>
          <t>C202</t>
        </is>
      </c>
      <c r="E2027" s="16" t="inlineStr">
        <is>
          <t>Razonamiento cuantitativo</t>
        </is>
      </c>
      <c r="F2027" s="16" t="inlineStr">
        <is>
          <t>Un área recibió 480 solicitudes en el trimestre y resolvió 372 dentro del término.</t>
        </is>
      </c>
      <c r="G2027" s="16" t="inlineStr">
        <is>
          <t>El porcentaje de solicitudes resueltas a tiempo es:</t>
        </is>
      </c>
      <c r="H2027" s="16" t="inlineStr">
        <is>
          <t>72,5 %</t>
        </is>
      </c>
      <c r="I2027" s="16" t="inlineStr">
        <is>
          <t>82,5 %</t>
        </is>
      </c>
      <c r="J2027" s="16" t="inlineStr">
        <is>
          <t>77,5 %</t>
        </is>
      </c>
      <c r="K2027" s="16" t="inlineStr">
        <is>
          <t>C</t>
        </is>
      </c>
      <c r="L2027" s="16" t="inlineStr">
        <is>
          <t>372 dividido entre 480 da 0,775, es decir 77,5 %.</t>
        </is>
      </c>
      <c r="M2027" s="16" t="inlineStr">
        <is>
          <t>Los otros dos resultan de dividir mal o de restar el porcentaje de incumplidas al total de forma equivocada.</t>
        </is>
      </c>
      <c r="O2027" s="16" t="inlineStr">
        <is>
          <t>SI</t>
        </is>
      </c>
      <c r="P2027" s="16" t="inlineStr">
        <is>
          <t>Basica</t>
        </is>
      </c>
      <c r="Q2027" s="16" t="inlineStr">
        <is>
          <t>v2</t>
        </is>
      </c>
      <c r="R2027" s="16" t="inlineStr">
        <is>
          <t>Aptitudes</t>
        </is>
      </c>
    </row>
    <row r="2028" ht="15" customHeight="1" s="12">
      <c r="A2028" s="16" t="inlineStr">
        <is>
          <t>F203-1</t>
        </is>
      </c>
      <c r="B2028" s="16" t="inlineStr">
        <is>
          <t>comun</t>
        </is>
      </c>
      <c r="C2028" s="16" t="inlineStr">
        <is>
          <t>Razonamiento cuantitativo</t>
        </is>
      </c>
      <c r="D2028" s="16" t="inlineStr">
        <is>
          <t>C203</t>
        </is>
      </c>
      <c r="E2028" s="16" t="inlineStr">
        <is>
          <t>Razonamiento cuantitativo</t>
        </is>
      </c>
      <c r="F2028" s="16" t="inlineStr">
        <is>
          <t>Un área recibió 480 solicitudes en el trimestre y resolvió 372 dentro del término.</t>
        </is>
      </c>
      <c r="G2028" s="16" t="inlineStr">
        <is>
          <t>Para llegar al 85 % de cumplimiento con las mismas 480 solicitudes, habría que resolver a tiempo:</t>
        </is>
      </c>
      <c r="H2028" s="16" t="inlineStr">
        <is>
          <t>36 solicitudes más de las que resolvió</t>
        </is>
      </c>
      <c r="I2028" s="16" t="inlineStr">
        <is>
          <t>30 solicitudes más de las que resolvió</t>
        </is>
      </c>
      <c r="J2028" s="16" t="inlineStr">
        <is>
          <t>42 solicitudes más de las que resolvió</t>
        </is>
      </c>
      <c r="K2028" s="16" t="inlineStr">
        <is>
          <t>A</t>
        </is>
      </c>
      <c r="L2028" s="16" t="inlineStr">
        <is>
          <t>El 85 % de 480 es 408; 408 menos 372 da 36 solicitudes adicionales.</t>
        </is>
      </c>
      <c r="M2028" s="16" t="inlineStr">
        <is>
          <t>Las otras cifras salen de tomar el 85 % sobre las resueltas o de usar un total distinto al del trimestre.</t>
        </is>
      </c>
      <c r="O2028" s="16" t="inlineStr">
        <is>
          <t>SI</t>
        </is>
      </c>
      <c r="P2028" s="16" t="inlineStr">
        <is>
          <t>Media</t>
        </is>
      </c>
      <c r="Q2028" s="16" t="inlineStr">
        <is>
          <t>v2</t>
        </is>
      </c>
      <c r="R2028" s="16" t="inlineStr">
        <is>
          <t>Aptitudes</t>
        </is>
      </c>
    </row>
    <row r="2029" ht="15" customHeight="1" s="12">
      <c r="A2029" s="16" t="inlineStr">
        <is>
          <t>F204-1</t>
        </is>
      </c>
      <c r="B2029" s="16" t="inlineStr">
        <is>
          <t>comun</t>
        </is>
      </c>
      <c r="C2029" s="16" t="inlineStr">
        <is>
          <t>Razonamiento cuantitativo</t>
        </is>
      </c>
      <c r="D2029" s="16" t="inlineStr">
        <is>
          <t>C204</t>
        </is>
      </c>
      <c r="E2029" s="16" t="inlineStr">
        <is>
          <t>Razonamiento cuantitativo</t>
        </is>
      </c>
      <c r="F2029" s="16" t="inlineStr">
        <is>
          <t>Un contrato de 90 millones se ejecutó así: 30 % en el primer trimestre, 45 % en el segundo y el resto en el tercero.</t>
        </is>
      </c>
      <c r="G2029" s="16" t="inlineStr">
        <is>
          <t>El valor ejecutado en el tercer trimestre es:</t>
        </is>
      </c>
      <c r="H2029" s="16" t="inlineStr">
        <is>
          <t>25,0 millones</t>
        </is>
      </c>
      <c r="I2029" s="16" t="inlineStr">
        <is>
          <t>20,0 millones</t>
        </is>
      </c>
      <c r="J2029" s="16" t="inlineStr">
        <is>
          <t>22,5 millones</t>
        </is>
      </c>
      <c r="K2029" s="16" t="inlineStr">
        <is>
          <t>C</t>
        </is>
      </c>
      <c r="L2029" s="16" t="inlineStr">
        <is>
          <t>El resto es 100 % menos 75 %, o sea 25 %; el 25 % de 90 millones son 22,5 millones.</t>
        </is>
      </c>
      <c r="M2029" s="16" t="inlineStr">
        <is>
          <t>Los otros valores salen de restar mal los porcentajes o de aplicar el 25 % a una base distinta.</t>
        </is>
      </c>
      <c r="O2029" s="16" t="inlineStr">
        <is>
          <t>SI</t>
        </is>
      </c>
      <c r="P2029" s="16" t="inlineStr">
        <is>
          <t>Media</t>
        </is>
      </c>
      <c r="Q2029" s="16" t="inlineStr">
        <is>
          <t>v2</t>
        </is>
      </c>
      <c r="R2029" s="16" t="inlineStr">
        <is>
          <t>Aptitudes</t>
        </is>
      </c>
    </row>
    <row r="2030" ht="15" customHeight="1" s="12">
      <c r="A2030" s="16" t="inlineStr">
        <is>
          <t>F205-1</t>
        </is>
      </c>
      <c r="B2030" s="16" t="inlineStr">
        <is>
          <t>comun</t>
        </is>
      </c>
      <c r="C2030" s="16" t="inlineStr">
        <is>
          <t>Razonamiento cuantitativo</t>
        </is>
      </c>
      <c r="D2030" s="16" t="inlineStr">
        <is>
          <t>C205</t>
        </is>
      </c>
      <c r="E2030" s="16" t="inlineStr">
        <is>
          <t>Razonamiento cuantitativo</t>
        </is>
      </c>
      <c r="F2030" s="16" t="inlineStr">
        <is>
          <t>Un contrato de 90 millones se ejecutó así: 30 % en el primer trimestre, 45 % en el segundo y el resto en el tercero.</t>
        </is>
      </c>
      <c r="G2030" s="16" t="inlineStr">
        <is>
          <t>Si el contrato se adiciona en 20 % y el porcentaje ejecutado no cambia, el saldo por ejecutar al cierre del segundo trimestre es:</t>
        </is>
      </c>
      <c r="H2030" s="16" t="inlineStr">
        <is>
          <t>22,5 millones</t>
        </is>
      </c>
      <c r="I2030" s="16" t="inlineStr">
        <is>
          <t>31,5 millones</t>
        </is>
      </c>
      <c r="J2030" s="16" t="inlineStr">
        <is>
          <t>27,0 millones</t>
        </is>
      </c>
      <c r="K2030" s="16" t="inlineStr">
        <is>
          <t>C</t>
        </is>
      </c>
      <c r="L2030" s="16" t="inlineStr">
        <is>
          <t>El valor adicionado es 108 millones; el 25 % pendiente de 108 son 27 millones.</t>
        </is>
      </c>
      <c r="M2030" s="16" t="inlineStr">
        <is>
          <t>Un resultado mantiene el saldo sin adicionar y el otro aplica el 20 % al saldo en vez de al contrato.</t>
        </is>
      </c>
      <c r="O2030" s="16" t="inlineStr">
        <is>
          <t>SI</t>
        </is>
      </c>
      <c r="P2030" s="16" t="inlineStr">
        <is>
          <t>Alta</t>
        </is>
      </c>
      <c r="Q2030" s="16" t="inlineStr">
        <is>
          <t>v2</t>
        </is>
      </c>
      <c r="R2030" s="16" t="inlineStr">
        <is>
          <t>Aptitudes</t>
        </is>
      </c>
    </row>
    <row r="2031" ht="15" customHeight="1" s="12">
      <c r="A2031" s="16" t="inlineStr">
        <is>
          <t>F206-1</t>
        </is>
      </c>
      <c r="B2031" s="16" t="inlineStr">
        <is>
          <t>comun</t>
        </is>
      </c>
      <c r="C2031" s="16" t="inlineStr">
        <is>
          <t>Razonamiento cuantitativo</t>
        </is>
      </c>
      <c r="D2031" s="16" t="inlineStr">
        <is>
          <t>C206</t>
        </is>
      </c>
      <c r="E2031" s="16" t="inlineStr">
        <is>
          <t>Razonamiento cuantitativo</t>
        </is>
      </c>
      <c r="F2031" s="16" t="inlineStr">
        <is>
          <t>Una oficina atendió 1.250 usuarios en enero y 1.500 en febrero.</t>
        </is>
      </c>
      <c r="G2031" s="16" t="inlineStr">
        <is>
          <t>El crecimiento entre los dos meses fue de:</t>
        </is>
      </c>
      <c r="H2031" s="16" t="inlineStr">
        <is>
          <t>16,7 %</t>
        </is>
      </c>
      <c r="I2031" s="16" t="inlineStr">
        <is>
          <t>25 %</t>
        </is>
      </c>
      <c r="J2031" s="16" t="inlineStr">
        <is>
          <t>20 %</t>
        </is>
      </c>
      <c r="K2031" s="16" t="inlineStr">
        <is>
          <t>C</t>
        </is>
      </c>
      <c r="L2031" s="16" t="inlineStr">
        <is>
          <t>La diferencia es 250 sobre la base de enero, 1.250, lo que da 20 %.</t>
        </is>
      </c>
      <c r="M2031" s="16" t="inlineStr">
        <is>
          <t>Los otros salen de dividir la diferencia entre febrero o de usar el promedio de los dos meses como base.</t>
        </is>
      </c>
      <c r="O2031" s="16" t="inlineStr">
        <is>
          <t>SI</t>
        </is>
      </c>
      <c r="P2031" s="16" t="inlineStr">
        <is>
          <t>Basica</t>
        </is>
      </c>
      <c r="Q2031" s="16" t="inlineStr">
        <is>
          <t>v2</t>
        </is>
      </c>
      <c r="R2031" s="16" t="inlineStr">
        <is>
          <t>Aptitudes</t>
        </is>
      </c>
    </row>
    <row r="2032" ht="15" customHeight="1" s="12">
      <c r="A2032" s="16" t="inlineStr">
        <is>
          <t>F207-1</t>
        </is>
      </c>
      <c r="B2032" s="16" t="inlineStr">
        <is>
          <t>comun</t>
        </is>
      </c>
      <c r="C2032" s="16" t="inlineStr">
        <is>
          <t>Razonamiento cuantitativo</t>
        </is>
      </c>
      <c r="D2032" s="16" t="inlineStr">
        <is>
          <t>C207</t>
        </is>
      </c>
      <c r="E2032" s="16" t="inlineStr">
        <is>
          <t>Razonamiento cuantitativo</t>
        </is>
      </c>
      <c r="F2032" s="16" t="inlineStr">
        <is>
          <t>Una oficina atendió 1.250 usuarios en enero y 1.500 en febrero.</t>
        </is>
      </c>
      <c r="G2032" s="16" t="inlineStr">
        <is>
          <t>Si en marzo la atención cae 20 % frente a febrero, el número de usuarios de marzo, comparado con enero, es:</t>
        </is>
      </c>
      <c r="H2032" s="16" t="inlineStr">
        <is>
          <t>Igual al de enero</t>
        </is>
      </c>
      <c r="I2032" s="16" t="inlineStr">
        <is>
          <t>Menor en 50 usuarios</t>
        </is>
      </c>
      <c r="J2032" s="16" t="inlineStr">
        <is>
          <t>Mayor en 50 usuarios</t>
        </is>
      </c>
      <c r="K2032" s="16" t="inlineStr">
        <is>
          <t>B</t>
        </is>
      </c>
      <c r="L2032" s="16" t="inlineStr">
        <is>
          <t>El 20 % de 1.500 son 300; 1.500 menos 300 da 1.200, o sea 50 menos que en enero.</t>
        </is>
      </c>
      <c r="M2032" s="16" t="inlineStr">
        <is>
          <t>Creer que vuelve al punto de partida supone que subir y bajar el mismo porcentaje se compensa, y no es así porque las bases son distintas.</t>
        </is>
      </c>
      <c r="O2032" s="16" t="inlineStr">
        <is>
          <t>SI</t>
        </is>
      </c>
      <c r="P2032" s="16" t="inlineStr">
        <is>
          <t>Alta</t>
        </is>
      </c>
      <c r="Q2032" s="16" t="inlineStr">
        <is>
          <t>v2</t>
        </is>
      </c>
      <c r="R2032" s="16" t="inlineStr">
        <is>
          <t>Aptitudes</t>
        </is>
      </c>
    </row>
    <row r="2033" ht="15" customHeight="1" s="12">
      <c r="A2033" s="16" t="inlineStr">
        <is>
          <t>F208-1</t>
        </is>
      </c>
      <c r="B2033" s="16" t="inlineStr">
        <is>
          <t>comun</t>
        </is>
      </c>
      <c r="C2033" s="16" t="inlineStr">
        <is>
          <t>Razonamiento cuantitativo</t>
        </is>
      </c>
      <c r="D2033" s="16" t="inlineStr">
        <is>
          <t>C208</t>
        </is>
      </c>
      <c r="E2033" s="16" t="inlineStr">
        <is>
          <t>Razonamiento cuantitativo</t>
        </is>
      </c>
      <c r="F2033" s="16" t="inlineStr">
        <is>
          <t>Tres profesionales revisan expedientes: el primero hace 8 por día, el segundo 6 y el tercero 5. Hay 190 expedientes pendientes y trabajan los tres a la vez.</t>
        </is>
      </c>
      <c r="G2033" s="16" t="inlineStr">
        <is>
          <t>Los expedientes pendientes se agotan en:</t>
        </is>
      </c>
      <c r="H2033" s="16" t="inlineStr">
        <is>
          <t>9 días</t>
        </is>
      </c>
      <c r="I2033" s="16" t="inlineStr">
        <is>
          <t>12 días</t>
        </is>
      </c>
      <c r="J2033" s="16" t="inlineStr">
        <is>
          <t>10 días</t>
        </is>
      </c>
      <c r="K2033" s="16" t="inlineStr">
        <is>
          <t>C</t>
        </is>
      </c>
      <c r="L2033" s="16" t="inlineStr">
        <is>
          <t>Entre los tres hacen 19 por día; 190 dividido entre 19 da 10 días.</t>
        </is>
      </c>
      <c r="M2033" s="16" t="inlineStr">
        <is>
          <t>Los otros resultan de sumar mal el rendimiento diario o de dejar por fuera a uno de los tres.</t>
        </is>
      </c>
      <c r="O2033" s="16" t="inlineStr">
        <is>
          <t>SI</t>
        </is>
      </c>
      <c r="P2033" s="16" t="inlineStr">
        <is>
          <t>Media</t>
        </is>
      </c>
      <c r="Q2033" s="16" t="inlineStr">
        <is>
          <t>v2</t>
        </is>
      </c>
      <c r="R2033" s="16" t="inlineStr">
        <is>
          <t>Aptitudes</t>
        </is>
      </c>
    </row>
    <row r="2034" ht="15" customHeight="1" s="12">
      <c r="A2034" s="16" t="inlineStr">
        <is>
          <t>F209-1</t>
        </is>
      </c>
      <c r="B2034" s="16" t="inlineStr">
        <is>
          <t>comun</t>
        </is>
      </c>
      <c r="C2034" s="16" t="inlineStr">
        <is>
          <t>Razonamiento cuantitativo</t>
        </is>
      </c>
      <c r="D2034" s="16" t="inlineStr">
        <is>
          <t>C209</t>
        </is>
      </c>
      <c r="E2034" s="16" t="inlineStr">
        <is>
          <t>Razonamiento cuantitativo</t>
        </is>
      </c>
      <c r="F2034" s="16" t="inlineStr">
        <is>
          <t>Tres profesionales revisan expedientes: el primero hace 8 por día, el segundo 6 y el tercero 5. Hay 190 expedientes pendientes y trabajan los tres a la vez.</t>
        </is>
      </c>
      <c r="G2034" s="16" t="inlineStr">
        <is>
          <t>Si el segundo profesional se incapacita desde el cuarto día, el trabajo termina en:</t>
        </is>
      </c>
      <c r="H2034" s="16" t="inlineStr">
        <is>
          <t>13 días</t>
        </is>
      </c>
      <c r="I2034" s="16" t="inlineStr">
        <is>
          <t>11 días</t>
        </is>
      </c>
      <c r="J2034" s="16" t="inlineStr">
        <is>
          <t>12 días</t>
        </is>
      </c>
      <c r="K2034" s="16" t="inlineStr">
        <is>
          <t>C</t>
        </is>
      </c>
      <c r="L2034" s="16" t="inlineStr">
        <is>
          <t>En tres días hacen 57; quedan 133 que, a 13 por día entre los dos restantes, toman 10,2 días más, o sea 11 días adicionales y un total de 12 en números enteros.</t>
        </is>
      </c>
      <c r="M2034" s="16" t="inlineStr">
        <is>
          <t>Las otras cifras suponen que el ritmo no cambia o que la baja ocurre desde el primer día.</t>
        </is>
      </c>
      <c r="O2034" s="16" t="inlineStr">
        <is>
          <t>SI</t>
        </is>
      </c>
      <c r="P2034" s="16" t="inlineStr">
        <is>
          <t>Alta</t>
        </is>
      </c>
      <c r="Q2034" s="16" t="inlineStr">
        <is>
          <t>v2</t>
        </is>
      </c>
      <c r="R2034" s="16" t="inlineStr">
        <is>
          <t>Aptitudes</t>
        </is>
      </c>
    </row>
    <row r="2035" ht="15" customHeight="1" s="12">
      <c r="A2035" s="16" t="inlineStr">
        <is>
          <t>F210-1</t>
        </is>
      </c>
      <c r="B2035" s="16" t="inlineStr">
        <is>
          <t>comun</t>
        </is>
      </c>
      <c r="C2035" s="16" t="inlineStr">
        <is>
          <t>Análisis de información</t>
        </is>
      </c>
      <c r="D2035" s="16" t="inlineStr">
        <is>
          <t>C210</t>
        </is>
      </c>
      <c r="E2035" s="16" t="inlineStr">
        <is>
          <t>Análisis de información</t>
        </is>
      </c>
      <c r="F2035" s="16" t="inlineStr">
        <is>
          <t>Quejas recibidas por trimestre: I 120, II 96, III 132, IV 108. El área informa que la reducción del segundo trimestre se debió a un plan de mejora que sigue vigente.</t>
        </is>
      </c>
      <c r="G2035" s="16" t="inlineStr">
        <is>
          <t>La afirmación del área sobre el plan de mejora:</t>
        </is>
      </c>
      <c r="H2035" s="16" t="inlineStr">
        <is>
          <t>Se confirma con estos datos, porque el segundo trimestre es el más bajo del año</t>
        </is>
      </c>
      <c r="I2035" s="16" t="inlineStr">
        <is>
          <t>No se sostiene con estos datos, porque las quejas volvieron a subir después</t>
        </is>
      </c>
      <c r="J2035" s="16" t="inlineStr">
        <is>
          <t>No puede evaluarse, porque los datos no indican cuántas quejas fueron resueltas</t>
        </is>
      </c>
      <c r="K2035" s="16" t="inlineStr">
        <is>
          <t>B</t>
        </is>
      </c>
      <c r="L2035" s="16" t="inlineStr">
        <is>
          <t>Si el plan sigue vigente y las quejas subieron en el tercer y cuarto trimestre, los datos no respaldan que la baja se deba a él.</t>
        </is>
      </c>
      <c r="M2035" s="16" t="inlineStr">
        <is>
          <t>Fijarse solo en el trimestre más bajo ignora la serie completa, y la falta del dato de resolución no impide ver la tendencia.</t>
        </is>
      </c>
      <c r="O2035" s="16" t="inlineStr">
        <is>
          <t>SI</t>
        </is>
      </c>
      <c r="P2035" s="16" t="inlineStr">
        <is>
          <t>Alta</t>
        </is>
      </c>
      <c r="Q2035" s="16" t="inlineStr">
        <is>
          <t>v2</t>
        </is>
      </c>
      <c r="R2035" s="16" t="inlineStr">
        <is>
          <t>Aptitudes</t>
        </is>
      </c>
    </row>
    <row r="2036" ht="15" customHeight="1" s="12">
      <c r="A2036" s="16" t="inlineStr">
        <is>
          <t>F211-1</t>
        </is>
      </c>
      <c r="B2036" s="16" t="inlineStr">
        <is>
          <t>comun</t>
        </is>
      </c>
      <c r="C2036" s="16" t="inlineStr">
        <is>
          <t>Análisis de información</t>
        </is>
      </c>
      <c r="D2036" s="16" t="inlineStr">
        <is>
          <t>C211</t>
        </is>
      </c>
      <c r="E2036" s="16" t="inlineStr">
        <is>
          <t>Análisis de información</t>
        </is>
      </c>
      <c r="F2036" s="16" t="inlineStr">
        <is>
          <t>Quejas recibidas por trimestre: I 120, II 96, III 132, IV 108. El área informa que la reducción del segundo trimestre se debió a un plan de mejora que sigue vigente.</t>
        </is>
      </c>
      <c r="G2036" s="16" t="inlineStr">
        <is>
          <t>El promedio trimestral de quejas del año fue:</t>
        </is>
      </c>
      <c r="H2036" s="16" t="inlineStr">
        <is>
          <t>120</t>
        </is>
      </c>
      <c r="I2036" s="16" t="inlineStr">
        <is>
          <t>114</t>
        </is>
      </c>
      <c r="J2036" s="16" t="inlineStr">
        <is>
          <t>112</t>
        </is>
      </c>
      <c r="K2036" s="16" t="inlineStr">
        <is>
          <t>B</t>
        </is>
      </c>
      <c r="L2036" s="16" t="inlineStr">
        <is>
          <t>La suma es 456 y dividida entre cuatro trimestres da 114.</t>
        </is>
      </c>
      <c r="M2036" s="16" t="inlineStr">
        <is>
          <t>Los otros valores salen de promediar tres trimestres o de tomar el primero como representativo.</t>
        </is>
      </c>
      <c r="O2036" s="16" t="inlineStr">
        <is>
          <t>SI</t>
        </is>
      </c>
      <c r="P2036" s="16" t="inlineStr">
        <is>
          <t>Media</t>
        </is>
      </c>
      <c r="Q2036" s="16" t="inlineStr">
        <is>
          <t>v2</t>
        </is>
      </c>
      <c r="R2036" s="16" t="inlineStr">
        <is>
          <t>Aptitudes</t>
        </is>
      </c>
    </row>
    <row r="2037" ht="15" customHeight="1" s="12">
      <c r="A2037" s="16" t="inlineStr">
        <is>
          <t>F212-1</t>
        </is>
      </c>
      <c r="B2037" s="16" t="inlineStr">
        <is>
          <t>comun</t>
        </is>
      </c>
      <c r="C2037" s="16" t="inlineStr">
        <is>
          <t>Análisis de información</t>
        </is>
      </c>
      <c r="D2037" s="16" t="inlineStr">
        <is>
          <t>C212</t>
        </is>
      </c>
      <c r="E2037" s="16" t="inlineStr">
        <is>
          <t>Análisis de información</t>
        </is>
      </c>
      <c r="F2037" s="16" t="inlineStr">
        <is>
          <t>Presupuesto ejecutado por rubro: funcionamiento 62 %, inversión 28 %, servicio de deuda 10 %. El total ejecutado fue 5.400 millones.</t>
        </is>
      </c>
      <c r="G2037" s="16" t="inlineStr">
        <is>
          <t>El valor ejecutado en inversión fue:</t>
        </is>
      </c>
      <c r="H2037" s="16" t="inlineStr">
        <is>
          <t>1.350 millones</t>
        </is>
      </c>
      <c r="I2037" s="16" t="inlineStr">
        <is>
          <t>1.512 millones</t>
        </is>
      </c>
      <c r="J2037" s="16" t="inlineStr">
        <is>
          <t>1.620 millones</t>
        </is>
      </c>
      <c r="K2037" s="16" t="inlineStr">
        <is>
          <t>B</t>
        </is>
      </c>
      <c r="L2037" s="16" t="inlineStr">
        <is>
          <t>El 28 % de 5.400 millones da 1.512 millones.</t>
        </is>
      </c>
      <c r="M2037" s="16" t="inlineStr">
        <is>
          <t>Los otros corresponden a aplicar una cuarta parte o el 30 % al total, no el porcentaje informado.</t>
        </is>
      </c>
      <c r="O2037" s="16" t="inlineStr">
        <is>
          <t>SI</t>
        </is>
      </c>
      <c r="P2037" s="16" t="inlineStr">
        <is>
          <t>Media</t>
        </is>
      </c>
      <c r="Q2037" s="16" t="inlineStr">
        <is>
          <t>v2</t>
        </is>
      </c>
      <c r="R2037" s="16" t="inlineStr">
        <is>
          <t>Aptitudes</t>
        </is>
      </c>
    </row>
    <row r="2038" ht="15" customHeight="1" s="12">
      <c r="A2038" s="16" t="inlineStr">
        <is>
          <t>F213-1</t>
        </is>
      </c>
      <c r="B2038" s="16" t="inlineStr">
        <is>
          <t>comun</t>
        </is>
      </c>
      <c r="C2038" s="16" t="inlineStr">
        <is>
          <t>Análisis de información</t>
        </is>
      </c>
      <c r="D2038" s="16" t="inlineStr">
        <is>
          <t>C213</t>
        </is>
      </c>
      <c r="E2038" s="16" t="inlineStr">
        <is>
          <t>Análisis de información</t>
        </is>
      </c>
      <c r="F2038" s="16" t="inlineStr">
        <is>
          <t>Presupuesto ejecutado por rubro: funcionamiento 62 %, inversión 28 %, servicio de deuda 10 %. El total ejecutado fue 5.400 millones.</t>
        </is>
      </c>
      <c r="G2038" s="16" t="inlineStr">
        <is>
          <t>Si el próximo año se quiere que inversión llegue al 35 % sin aumentar el total ejecutado:</t>
        </is>
      </c>
      <c r="H2038" s="16" t="inlineStr">
        <is>
          <t>Inversión debe crecer 35 % frente al valor ejecutado este año en ese rubro</t>
        </is>
      </c>
      <c r="I2038" s="16" t="inlineStr">
        <is>
          <t>El total ejecutado debe crecer siete por ciento para financiar la diferencia</t>
        </is>
      </c>
      <c r="J2038" s="16" t="inlineStr">
        <is>
          <t>Funcionamiento y deuda deben bajar en siete puntos porcentuales entre los dos</t>
        </is>
      </c>
      <c r="K2038" s="16" t="inlineStr">
        <is>
          <t>C</t>
        </is>
      </c>
      <c r="L2038" s="16" t="inlineStr">
        <is>
          <t>Si el total no cambia, subir inversión de 28 a 35 exige que los demás rubros cedan esos siete puntos.</t>
        </is>
      </c>
      <c r="M2038" s="16" t="inlineStr">
        <is>
          <t>Una confunde puntos porcentuales con crecimiento del rubro y la otra contradice el supuesto de total constante.</t>
        </is>
      </c>
      <c r="O2038" s="16" t="inlineStr">
        <is>
          <t>SI</t>
        </is>
      </c>
      <c r="P2038" s="16" t="inlineStr">
        <is>
          <t>Alta</t>
        </is>
      </c>
      <c r="Q2038" s="16" t="inlineStr">
        <is>
          <t>v2</t>
        </is>
      </c>
      <c r="R2038" s="16" t="inlineStr">
        <is>
          <t>Aptitudes</t>
        </is>
      </c>
    </row>
    <row r="2039" ht="15" customHeight="1" s="12">
      <c r="A2039" s="16" t="inlineStr">
        <is>
          <t>F214-1</t>
        </is>
      </c>
      <c r="B2039" s="16" t="inlineStr">
        <is>
          <t>comun</t>
        </is>
      </c>
      <c r="C2039" s="16" t="inlineStr">
        <is>
          <t>Análisis de información</t>
        </is>
      </c>
      <c r="D2039" s="16" t="inlineStr">
        <is>
          <t>C214</t>
        </is>
      </c>
      <c r="E2039" s="16" t="inlineStr">
        <is>
          <t>Análisis de información</t>
        </is>
      </c>
      <c r="F2039" s="16" t="inlineStr">
        <is>
          <t>Tiempos de atención en tres sedes: A, promedio 22 minutos con 90 % de los casos entre 18 y 26; B, promedio 22 minutos con casos entre 5 y 60; C, promedio 30 minutos con casos entre 28 y 33.</t>
        </is>
      </c>
      <c r="G2039" s="16" t="inlineStr">
        <is>
          <t>Comparando las sedes A y B, lo correcto es afirmar que:</t>
        </is>
      </c>
      <c r="H2039" s="16" t="inlineStr">
        <is>
          <t>B atiende más rápido que A, porque allí hay casos resueltos en cinco minutos</t>
        </is>
      </c>
      <c r="I2039" s="16" t="inlineStr">
        <is>
          <t>A y B ofrecen la misma experiencia, porque el promedio es igual en las dos</t>
        </is>
      </c>
      <c r="J2039" s="16" t="inlineStr">
        <is>
          <t>Tienen el mismo promedio, pero B es mucho menos predecible para el usuario</t>
        </is>
      </c>
      <c r="K2039" s="16" t="inlineStr">
        <is>
          <t>C</t>
        </is>
      </c>
      <c r="L2039" s="16" t="inlineStr">
        <is>
          <t>El promedio coincide, pero la dispersión de B es mucho mayor: el usuario puede esperar cinco minutos o una hora.</t>
        </is>
      </c>
      <c r="M2039" s="16" t="inlineStr">
        <is>
          <t>Quedarse con el mejor caso de B o con la igualdad de promedios ignora lo que la dispersión dice de la experiencia real.</t>
        </is>
      </c>
      <c r="O2039" s="16" t="inlineStr">
        <is>
          <t>SI</t>
        </is>
      </c>
      <c r="P2039" s="16" t="inlineStr">
        <is>
          <t>Alta</t>
        </is>
      </c>
      <c r="Q2039" s="16" t="inlineStr">
        <is>
          <t>v2</t>
        </is>
      </c>
      <c r="R2039" s="16" t="inlineStr">
        <is>
          <t>Aptitudes</t>
        </is>
      </c>
    </row>
    <row r="2040" ht="15" customHeight="1" s="12">
      <c r="A2040" s="16" t="inlineStr">
        <is>
          <t>F215-1</t>
        </is>
      </c>
      <c r="B2040" s="16" t="inlineStr">
        <is>
          <t>comun</t>
        </is>
      </c>
      <c r="C2040" s="16" t="inlineStr">
        <is>
          <t>Análisis de información</t>
        </is>
      </c>
      <c r="D2040" s="16" t="inlineStr">
        <is>
          <t>C215</t>
        </is>
      </c>
      <c r="E2040" s="16" t="inlineStr">
        <is>
          <t>Análisis de información</t>
        </is>
      </c>
      <c r="F2040" s="16" t="inlineStr">
        <is>
          <t>Tiempos de atención en tres sedes: A, promedio 22 minutos con 90 % de los casos entre 18 y 26; B, promedio 22 minutos con casos entre 5 y 60; C, promedio 30 minutos con casos entre 28 y 33.</t>
        </is>
      </c>
      <c r="G2040" s="16" t="inlineStr">
        <is>
          <t>Para un usuario que necesita saber cuánto se demorará, la sede más previsible es:</t>
        </is>
      </c>
      <c r="H2040" s="16" t="inlineStr">
        <is>
          <t>C, porque sus tiempos se concentran en un rango estrecho</t>
        </is>
      </c>
      <c r="I2040" s="16" t="inlineStr">
        <is>
          <t>A, porque tiene el promedio más bajo junto con la sede B</t>
        </is>
      </c>
      <c r="J2040" s="16" t="inlineStr">
        <is>
          <t>B, porque allí se registran los tiempos de atención más cortos</t>
        </is>
      </c>
      <c r="K2040" s="16" t="inlineStr">
        <is>
          <t>A</t>
        </is>
      </c>
      <c r="L2040" s="16" t="inlineStr">
        <is>
          <t>La previsibilidad depende de la dispersión, no del promedio: C varía apenas cinco minutos.</t>
        </is>
      </c>
      <c r="M2040" s="16" t="inlineStr">
        <is>
          <t>El promedio bajo y el mejor caso no dicen nada sobre qué le pasará a este usuario.</t>
        </is>
      </c>
      <c r="O2040" s="16" t="inlineStr">
        <is>
          <t>SI</t>
        </is>
      </c>
      <c r="P2040" s="16" t="inlineStr">
        <is>
          <t>Media</t>
        </is>
      </c>
      <c r="Q2040" s="16" t="inlineStr">
        <is>
          <t>v2</t>
        </is>
      </c>
      <c r="R2040" s="16" t="inlineStr">
        <is>
          <t>Aptitudes</t>
        </is>
      </c>
    </row>
    <row r="2041" ht="15" customHeight="1" s="12">
      <c r="A2041" s="16" t="inlineStr">
        <is>
          <t>F216-1</t>
        </is>
      </c>
      <c r="B2041" s="16" t="inlineStr">
        <is>
          <t>comun</t>
        </is>
      </c>
      <c r="C2041" s="16" t="inlineStr">
        <is>
          <t>Ofimática y gestión documental</t>
        </is>
      </c>
      <c r="D2041" s="16" t="inlineStr">
        <is>
          <t>C216</t>
        </is>
      </c>
      <c r="E2041" s="16" t="inlineStr">
        <is>
          <t>Ofimática y gestión documental</t>
        </is>
      </c>
      <c r="F2041" s="16" t="inlineStr">
        <is>
          <t>En una hoja de cálculo, la columna A tiene nombres y la columna B valores numéricos de 2 a 200.</t>
        </is>
      </c>
      <c r="G2041" s="16" t="inlineStr">
        <is>
          <t>Para sumar solo los valores de B mayores que 100, la función adecuada es:</t>
        </is>
      </c>
      <c r="H2041" s="16" t="inlineStr">
        <is>
          <t>BUSCARV, con el rango de B y el criterio mayor que 100</t>
        </is>
      </c>
      <c r="I2041" s="16" t="inlineStr">
        <is>
          <t>SUMAR.SI, con el rango de B y el criterio mayor que 100</t>
        </is>
      </c>
      <c r="J2041" s="16" t="inlineStr">
        <is>
          <t>CONTAR.SI, con el rango de B y el criterio mayor que 100</t>
        </is>
      </c>
      <c r="K2041" s="16" t="inlineStr">
        <is>
          <t>B</t>
        </is>
      </c>
      <c r="L2041" s="16" t="inlineStr">
        <is>
          <t>SUMAR.SI suma los valores de un rango que cumplen una condición.</t>
        </is>
      </c>
      <c r="M2041" s="16" t="inlineStr">
        <is>
          <t>CONTAR.SI cuenta cuántos cumplen, no los suma, y BUSCARV sirve para localizar un valor, no para condicionar sumas.</t>
        </is>
      </c>
      <c r="O2041" s="16" t="inlineStr">
        <is>
          <t>SI</t>
        </is>
      </c>
      <c r="P2041" s="16" t="inlineStr">
        <is>
          <t>Basica</t>
        </is>
      </c>
      <c r="Q2041" s="16" t="inlineStr">
        <is>
          <t>v2</t>
        </is>
      </c>
      <c r="R2041" s="16" t="inlineStr">
        <is>
          <t>Aptitudes</t>
        </is>
      </c>
    </row>
    <row r="2042" ht="15" customHeight="1" s="12">
      <c r="A2042" s="16" t="inlineStr">
        <is>
          <t>F217-1</t>
        </is>
      </c>
      <c r="B2042" s="16" t="inlineStr">
        <is>
          <t>comun</t>
        </is>
      </c>
      <c r="C2042" s="16" t="inlineStr">
        <is>
          <t>Ofimática y gestión documental</t>
        </is>
      </c>
      <c r="D2042" s="16" t="inlineStr">
        <is>
          <t>C217</t>
        </is>
      </c>
      <c r="E2042" s="16" t="inlineStr">
        <is>
          <t>Ofimática y gestión documental</t>
        </is>
      </c>
      <c r="F2042" s="16" t="inlineStr">
        <is>
          <t>En una hoja de cálculo, la columna A tiene nombres y la columna B valores numéricos de 2 a 200.</t>
        </is>
      </c>
      <c r="G2042" s="16" t="inlineStr">
        <is>
          <t>Al copiar hacia abajo una fórmula que debe seguir apuntando siempre a la celda B2, se escribe:</t>
        </is>
      </c>
      <c r="H2042" s="16" t="inlineStr">
        <is>
          <t>B$2, para fijar la columna de la referencia y liberar la fila</t>
        </is>
      </c>
      <c r="I2042" s="16" t="inlineStr">
        <is>
          <t>$B$2, para fijar la columna y la fila de la referencia</t>
        </is>
      </c>
      <c r="J2042" s="16" t="inlineStr">
        <is>
          <t>$B2, para fijar la fila de la referencia y liberar la columna</t>
        </is>
      </c>
      <c r="K2042" s="16" t="inlineStr">
        <is>
          <t>B</t>
        </is>
      </c>
      <c r="L2042" s="16" t="inlineStr">
        <is>
          <t>El signo de pesos antes de la letra y antes del número fija columna y fila, así la referencia no se desplaza.</t>
        </is>
      </c>
      <c r="M2042" s="16" t="inlineStr">
        <is>
          <t>Las otras dos describen referencias mixtas y además invierten qué fija cada signo.</t>
        </is>
      </c>
      <c r="O2042" s="16" t="inlineStr">
        <is>
          <t>SI</t>
        </is>
      </c>
      <c r="P2042" s="16" t="inlineStr">
        <is>
          <t>Media</t>
        </is>
      </c>
      <c r="Q2042" s="16" t="inlineStr">
        <is>
          <t>v2</t>
        </is>
      </c>
      <c r="R2042" s="16" t="inlineStr">
        <is>
          <t>Aptitudes</t>
        </is>
      </c>
    </row>
    <row r="2043" ht="15" customHeight="1" s="12">
      <c r="A2043" s="16" t="inlineStr">
        <is>
          <t>F218-1</t>
        </is>
      </c>
      <c r="B2043" s="16" t="inlineStr">
        <is>
          <t>comun</t>
        </is>
      </c>
      <c r="C2043" s="16" t="inlineStr">
        <is>
          <t>Ofimática y gestión documental</t>
        </is>
      </c>
      <c r="D2043" s="16" t="inlineStr">
        <is>
          <t>C218</t>
        </is>
      </c>
      <c r="E2043" s="16" t="inlineStr">
        <is>
          <t>Ofimática y gestión documental</t>
        </is>
      </c>
      <c r="F2043" s="16" t="inlineStr">
        <is>
          <t>Debe enviar un informe a veinte destinatarios externos que no se conocen entre sí.</t>
        </is>
      </c>
      <c r="G2043" s="16" t="inlineStr">
        <is>
          <t>Para proteger sus datos personales, corresponde escribir los correos en:</t>
        </is>
      </c>
      <c r="H2043" s="16" t="inlineStr">
        <is>
          <t>El campo de copia, para que cada uno sepa quién más recibió el informe</t>
        </is>
      </c>
      <c r="I2043" s="16" t="inlineStr">
        <is>
          <t>El campo de copia oculta, para que ninguno vea las direcciones de los demás</t>
        </is>
      </c>
      <c r="J2043" s="16" t="inlineStr">
        <is>
          <t>El campo principal, separando las direcciones con punto y coma</t>
        </is>
      </c>
      <c r="K2043" s="16" t="inlineStr">
        <is>
          <t>B</t>
        </is>
      </c>
      <c r="L2043" s="16" t="inlineStr">
        <is>
          <t>La copia oculta evita divulgar las direcciones, que son datos personales de terceros.</t>
        </is>
      </c>
      <c r="M2043" s="16" t="inlineStr">
        <is>
          <t>Copia y campo principal exponen las direcciones de todos ante todos, sin necesidad ni autorización.</t>
        </is>
      </c>
      <c r="O2043" s="16" t="inlineStr">
        <is>
          <t>SI</t>
        </is>
      </c>
      <c r="P2043" s="16" t="inlineStr">
        <is>
          <t>Media</t>
        </is>
      </c>
      <c r="Q2043" s="16" t="inlineStr">
        <is>
          <t>v2</t>
        </is>
      </c>
      <c r="R2043" s="16" t="inlineStr">
        <is>
          <t>Aptitudes</t>
        </is>
      </c>
    </row>
    <row r="2044" ht="15" customHeight="1" s="12">
      <c r="A2044" s="16" t="inlineStr">
        <is>
          <t>F219-1</t>
        </is>
      </c>
      <c r="B2044" s="16" t="inlineStr">
        <is>
          <t>comun</t>
        </is>
      </c>
      <c r="C2044" s="16" t="inlineStr">
        <is>
          <t>Ofimática y gestión documental</t>
        </is>
      </c>
      <c r="D2044" s="16" t="inlineStr">
        <is>
          <t>C219</t>
        </is>
      </c>
      <c r="E2044" s="16" t="inlineStr">
        <is>
          <t>Ofimática y gestión documental</t>
        </is>
      </c>
      <c r="F2044" s="16" t="inlineStr">
        <is>
          <t>El área debe eliminar documentos que cumplieron su tiempo de retención en el archivo central.</t>
        </is>
      </c>
      <c r="G2044" s="16" t="inlineStr">
        <is>
          <t>El procedimiento correcto exige:</t>
        </is>
      </c>
      <c r="H2044" s="16" t="inlineStr">
        <is>
          <t>Contar con la autorización escrita del jefe del área que produjo los documentos</t>
        </is>
      </c>
      <c r="I2044" s="16" t="inlineStr">
        <is>
          <t>Verificar que ningún usuario haya solicitado copia de esos documentos en el año</t>
        </is>
      </c>
      <c r="J2044" s="16" t="inlineStr">
        <is>
          <t>Aplicar las tablas de retención documental y dejar acta del comité correspondiente</t>
        </is>
      </c>
      <c r="K2044" s="16" t="inlineStr">
        <is>
          <t>C</t>
        </is>
      </c>
      <c r="L2044" s="16" t="inlineStr">
        <is>
          <t>La eliminación se rige por las tablas de retención y se documenta en acta; no depende de una orden interna ni del uso reciente.</t>
        </is>
      </c>
      <c r="M2044" s="16" t="inlineStr">
        <is>
          <t>La autorización del jefe y la ausencia de consultas no sustituyen el instrumento archivístico ni el acta.</t>
        </is>
      </c>
      <c r="O2044" s="16" t="inlineStr">
        <is>
          <t>SI</t>
        </is>
      </c>
      <c r="P2044" s="16" t="inlineStr">
        <is>
          <t>Alta</t>
        </is>
      </c>
      <c r="Q2044" s="16" t="inlineStr">
        <is>
          <t>v2</t>
        </is>
      </c>
      <c r="R2044" s="16" t="inlineStr">
        <is>
          <t>Aptitudes</t>
        </is>
      </c>
    </row>
    <row r="2045" ht="15" customHeight="1" s="12">
      <c r="A2045" s="16" t="inlineStr">
        <is>
          <t>F220-1</t>
        </is>
      </c>
      <c r="B2045" s="16" t="inlineStr">
        <is>
          <t>comun</t>
        </is>
      </c>
      <c r="C2045" s="16" t="inlineStr">
        <is>
          <t>Ofimática y gestión documental</t>
        </is>
      </c>
      <c r="D2045" s="16" t="inlineStr">
        <is>
          <t>C220</t>
        </is>
      </c>
      <c r="E2045" s="16" t="inlineStr">
        <is>
          <t>Ofimática y gestión documental</t>
        </is>
      </c>
      <c r="F2045" s="16" t="inlineStr">
        <is>
          <t>Un expediente físico se conforma con los documentos de un trámite que duró ocho meses.</t>
        </is>
      </c>
      <c r="G2045" s="16" t="inlineStr">
        <is>
          <t>Los documentos deben quedar ordenados:</t>
        </is>
      </c>
      <c r="H2045" s="16" t="inlineStr">
        <is>
          <t>En orden alfabético según el nombre de quien suscribe cada documento</t>
        </is>
      </c>
      <c r="I2045" s="16" t="inlineStr">
        <is>
          <t>En el orden en que se produjeron durante el trámite, del primero al último</t>
        </is>
      </c>
      <c r="J2045" s="16" t="inlineStr">
        <is>
          <t>Por tipo documental, agrupando primero los oficios y después los anexos</t>
        </is>
      </c>
      <c r="K2045" s="16" t="inlineStr">
        <is>
          <t>B</t>
        </is>
      </c>
      <c r="L2045" s="16" t="inlineStr">
        <is>
          <t>El principio de orden original exige conservar la secuencia en que se generaron los documentos.</t>
        </is>
      </c>
      <c r="M2045" s="16" t="inlineStr">
        <is>
          <t>Agrupar por tipo o por firmante rompe la secuencia del trámite y dificulta reconstruir qué pasó.</t>
        </is>
      </c>
      <c r="O2045" s="16" t="inlineStr">
        <is>
          <t>SI</t>
        </is>
      </c>
      <c r="P2045" s="16" t="inlineStr">
        <is>
          <t>Media</t>
        </is>
      </c>
      <c r="Q2045" s="16" t="inlineStr">
        <is>
          <t>v2</t>
        </is>
      </c>
      <c r="R2045" s="16" t="inlineStr">
        <is>
          <t>Aptitudes</t>
        </is>
      </c>
    </row>
    <row r="2046" ht="15" customHeight="1" s="12">
      <c r="A2046" s="16" t="inlineStr">
        <is>
          <t>F221-1</t>
        </is>
      </c>
      <c r="B2046" s="16" t="inlineStr">
        <is>
          <t>comun</t>
        </is>
      </c>
      <c r="C2046" s="16" t="inlineStr">
        <is>
          <t>Ofimática y gestión documental</t>
        </is>
      </c>
      <c r="D2046" s="16" t="inlineStr">
        <is>
          <t>C221</t>
        </is>
      </c>
      <c r="E2046" s="16" t="inlineStr">
        <is>
          <t>Ofimática y gestión documental</t>
        </is>
      </c>
      <c r="F2046" s="16" t="inlineStr">
        <is>
          <t>Debe compartir una tabla de datos para que varias personas la completen sin dañar las fórmulas.</t>
        </is>
      </c>
      <c r="G2046" s="16" t="inlineStr">
        <is>
          <t>La medida más adecuada es:</t>
        </is>
      </c>
      <c r="H2046" s="16" t="inlineStr">
        <is>
          <t>Proteger la hoja y dejar desbloqueadas solo las celdas que deben diligenciarse</t>
        </is>
      </c>
      <c r="I2046" s="16" t="inlineStr">
        <is>
          <t>Enviar el archivo en formato de solo lectura para que nadie modifique las fórmulas</t>
        </is>
      </c>
      <c r="J2046" s="16" t="inlineStr">
        <is>
          <t>Guardar una copia de respaldo antes de enviar el archivo a cada participante</t>
        </is>
      </c>
      <c r="K2046" s="16" t="inlineStr">
        <is>
          <t>A</t>
        </is>
      </c>
      <c r="L2046" s="16" t="inlineStr">
        <is>
          <t>Proteger la hoja y liberar las celdas de captura permite el trabajo conjunto sin exponer las fórmulas.</t>
        </is>
      </c>
      <c r="M2046" s="16" t="inlineStr">
        <is>
          <t>El solo lectura impide diligenciar y la copia de respaldo no evita el daño, apenas permite rehacerlo.</t>
        </is>
      </c>
      <c r="O2046" s="16" t="inlineStr">
        <is>
          <t>SI</t>
        </is>
      </c>
      <c r="P2046" s="16" t="inlineStr">
        <is>
          <t>Basica</t>
        </is>
      </c>
      <c r="Q2046" s="16" t="inlineStr">
        <is>
          <t>v2</t>
        </is>
      </c>
      <c r="R2046" s="16" t="inlineStr">
        <is>
          <t>Aptitudes</t>
        </is>
      </c>
    </row>
    <row r="2047" ht="15" customHeight="1" s="12">
      <c r="A2047" s="16" t="inlineStr">
        <is>
          <t>F222-1</t>
        </is>
      </c>
      <c r="B2047" s="16" t="inlineStr">
        <is>
          <t>comun</t>
        </is>
      </c>
      <c r="C2047" s="16" t="inlineStr">
        <is>
          <t>Lectura crítica</t>
        </is>
      </c>
      <c r="D2047" s="16" t="inlineStr">
        <is>
          <t>C222</t>
        </is>
      </c>
      <c r="E2047" s="16" t="inlineStr">
        <is>
          <t>Lectura crítica</t>
        </is>
      </c>
      <c r="F2047" s="16" t="inlineStr">
        <is>
          <t>Un informe afirma: «Desde que se implementó el turno adicional, las quejas por demora bajaron 30 %. En el mismo periodo entró en vigor un nuevo canal digital y se redujo en un tercio el número de trámites presenciales».</t>
        </is>
      </c>
      <c r="G2047" s="16" t="inlineStr">
        <is>
          <t>El problema del informe consiste en que:</t>
        </is>
      </c>
      <c r="H2047" s="16" t="inlineStr">
        <is>
          <t>Usa porcentajes cuando debía presentar el número absoluto de las quejas</t>
        </is>
      </c>
      <c r="I2047" s="16" t="inlineStr">
        <is>
          <t>Compara periodos distintos y por eso la cifra del 30 % no es confiable</t>
        </is>
      </c>
      <c r="J2047" s="16" t="inlineStr">
        <is>
          <t>Atribuye la baja al turno cuando hubo otro cambio simultáneo posible</t>
        </is>
      </c>
      <c r="K2047" s="16" t="inlineStr">
        <is>
          <t>C</t>
        </is>
      </c>
      <c r="L2047" s="16" t="inlineStr">
        <is>
          <t>Dos cambios ocurrieron a la vez, así que el informe no puede adjudicarle el resultado a uno solo.</t>
        </is>
      </c>
      <c r="M2047" s="16" t="inlineStr">
        <is>
          <t>Los periodos son los mismos y el uso de porcentajes no es el defecto: el defecto es la atribución causal.</t>
        </is>
      </c>
      <c r="O2047" s="16" t="inlineStr">
        <is>
          <t>SI</t>
        </is>
      </c>
      <c r="P2047" s="16" t="inlineStr">
        <is>
          <t>Alta</t>
        </is>
      </c>
      <c r="Q2047" s="16" t="inlineStr">
        <is>
          <t>v2</t>
        </is>
      </c>
      <c r="R2047" s="16" t="inlineStr">
        <is>
          <t>Aptitudes</t>
        </is>
      </c>
    </row>
    <row r="2048" ht="15" customHeight="1" s="12">
      <c r="A2048" s="16" t="inlineStr">
        <is>
          <t>F223-1</t>
        </is>
      </c>
      <c r="B2048" s="16" t="inlineStr">
        <is>
          <t>comun</t>
        </is>
      </c>
      <c r="C2048" s="16" t="inlineStr">
        <is>
          <t>Lectura crítica</t>
        </is>
      </c>
      <c r="D2048" s="16" t="inlineStr">
        <is>
          <t>C223</t>
        </is>
      </c>
      <c r="E2048" s="16" t="inlineStr">
        <is>
          <t>Lectura crítica</t>
        </is>
      </c>
      <c r="F2048" s="16" t="inlineStr">
        <is>
          <t>Un informe afirma: «Desde que se implementó el turno adicional, las quejas por demora bajaron 30 %. En el mismo periodo entró en vigor un nuevo canal digital y se redujo en un tercio el número de trámites presenciales».</t>
        </is>
      </c>
      <c r="G2048" s="16" t="inlineStr">
        <is>
          <t>Para sostener que el turno adicional causó la mejora haría falta:</t>
        </is>
      </c>
      <c r="H2048" s="16" t="inlineStr">
        <is>
          <t>Aumentar el número de turnos adicionales durante el siguiente periodo</t>
        </is>
      </c>
      <c r="I2048" s="16" t="inlineStr">
        <is>
          <t>Preguntar a los usuarios si conocen el canal digital que se habilitó</t>
        </is>
      </c>
      <c r="J2048" s="16" t="inlineStr">
        <is>
          <t>Comparar con un servicio que no haya abierto el canal digital nuevo</t>
        </is>
      </c>
      <c r="K2048" s="16" t="inlineStr">
        <is>
          <t>C</t>
        </is>
      </c>
      <c r="L2048" s="16" t="inlineStr">
        <is>
          <t>Un punto de comparación sin el otro cambio permite aislar el efecto del turno.</t>
        </is>
      </c>
      <c r="M2048" s="16" t="inlineStr">
        <is>
          <t>Ampliar el turno o encuestar sobre el canal no separa las dos causas que se mezclaron.</t>
        </is>
      </c>
      <c r="O2048" s="16" t="inlineStr">
        <is>
          <t>SI</t>
        </is>
      </c>
      <c r="P2048" s="16" t="inlineStr">
        <is>
          <t>Media</t>
        </is>
      </c>
      <c r="Q2048" s="16" t="inlineStr">
        <is>
          <t>v2</t>
        </is>
      </c>
      <c r="R2048" s="16" t="inlineStr">
        <is>
          <t>Aptitudes</t>
        </is>
      </c>
    </row>
    <row r="2049" ht="15" customHeight="1" s="12">
      <c r="A2049" s="16" t="inlineStr">
        <is>
          <t>F224-1</t>
        </is>
      </c>
      <c r="B2049" s="16" t="inlineStr">
        <is>
          <t>comun</t>
        </is>
      </c>
      <c r="C2049" s="16" t="inlineStr">
        <is>
          <t>Lectura crítica</t>
        </is>
      </c>
      <c r="D2049" s="16" t="inlineStr">
        <is>
          <t>C224</t>
        </is>
      </c>
      <c r="E2049" s="16" t="inlineStr">
        <is>
          <t>Lectura crítica</t>
        </is>
      </c>
      <c r="F2049" s="16" t="inlineStr">
        <is>
          <t>En una reunión, alguien dice: «Si aceptamos revisar este caso fuera de turno, mañana tendremos que revisar todos fuera de turno y el sistema de asignación se vendrá abajo».</t>
        </is>
      </c>
      <c r="G2049" s="16" t="inlineStr">
        <is>
          <t>El razonamiento anterior:</t>
        </is>
      </c>
      <c r="H2049" s="16" t="inlineStr">
        <is>
          <t>Descalifica a la persona en vez de responder lo que propone</t>
        </is>
      </c>
      <c r="I2049" s="16" t="inlineStr">
        <is>
          <t>Apela a la autoridad de quien defiende el sistema en uso hoy</t>
        </is>
      </c>
      <c r="J2049" s="16" t="inlineStr">
        <is>
          <t>Encadena consecuencias extremas sin mostrar por qué pasarían</t>
        </is>
      </c>
      <c r="K2049" s="16" t="inlineStr">
        <is>
          <t>C</t>
        </is>
      </c>
      <c r="L2049" s="16" t="inlineStr">
        <is>
          <t>Es la pendiente resbaladiza: del primer paso se salta al desenlace catastrófico sin justificar los eslabones.</t>
        </is>
      </c>
      <c r="M2049" s="16" t="inlineStr">
        <is>
          <t>No se invoca autoridad alguna ni se ataca a la persona: el salto está en la cadena de consecuencias.</t>
        </is>
      </c>
      <c r="O2049" s="16" t="inlineStr">
        <is>
          <t>SI</t>
        </is>
      </c>
      <c r="P2049" s="16" t="inlineStr">
        <is>
          <t>Alta</t>
        </is>
      </c>
      <c r="Q2049" s="16" t="inlineStr">
        <is>
          <t>v2</t>
        </is>
      </c>
      <c r="R2049" s="16" t="inlineStr">
        <is>
          <t>Aptitudes</t>
        </is>
      </c>
    </row>
    <row r="2050" ht="15" customHeight="1" s="12">
      <c r="A2050" s="16" t="inlineStr">
        <is>
          <t>F225-1</t>
        </is>
      </c>
      <c r="B2050" s="16" t="inlineStr">
        <is>
          <t>comun</t>
        </is>
      </c>
      <c r="C2050" s="16" t="inlineStr">
        <is>
          <t>Lectura crítica</t>
        </is>
      </c>
      <c r="D2050" s="16" t="inlineStr">
        <is>
          <t>C225</t>
        </is>
      </c>
      <c r="E2050" s="16" t="inlineStr">
        <is>
          <t>Lectura crítica</t>
        </is>
      </c>
      <c r="F2050" s="16" t="inlineStr">
        <is>
          <t>En una reunión, alguien dice: «Si aceptamos revisar este caso fuera de turno, mañana tendremos que revisar todos fuera de turno y el sistema de asignación se vendrá abajo».</t>
        </is>
      </c>
      <c r="G2050" s="16" t="inlineStr">
        <is>
          <t>Una respuesta pertinente a ese argumento sería:</t>
        </is>
      </c>
      <c r="H2050" s="16" t="inlineStr">
        <is>
          <t>Recordar que quien habla no conoce el detalle del caso</t>
        </is>
      </c>
      <c r="I2050" s="16" t="inlineStr">
        <is>
          <t>Aceptar la revisión y suspender el sistema de asignación</t>
        </is>
      </c>
      <c r="J2050" s="16" t="inlineStr">
        <is>
          <t>Proponer un criterio para acotar cuándo cabe excepción</t>
        </is>
      </c>
      <c r="K2050" s="16" t="inlineStr">
        <is>
          <t>C</t>
        </is>
      </c>
      <c r="L2050" s="16" t="inlineStr">
        <is>
          <t>Responder al fondo exige mostrar que la excepción puede acotarse con una regla.</t>
        </is>
      </c>
      <c r="M2050" s="16" t="inlineStr">
        <is>
          <t>Suspender el sistema le da la razón al temor y cuestionar a quien habla cambia de tema.</t>
        </is>
      </c>
      <c r="O2050" s="16" t="inlineStr">
        <is>
          <t>SI</t>
        </is>
      </c>
      <c r="P2050" s="16" t="inlineStr">
        <is>
          <t>Media</t>
        </is>
      </c>
      <c r="Q2050" s="16" t="inlineStr">
        <is>
          <t>v2</t>
        </is>
      </c>
      <c r="R2050" s="16" t="inlineStr">
        <is>
          <t>Aptitudes</t>
        </is>
      </c>
    </row>
    <row r="2051" ht="15" customHeight="1" s="12">
      <c r="A2051" s="16" t="inlineStr">
        <is>
          <t>F226-1</t>
        </is>
      </c>
      <c r="B2051" s="16" t="inlineStr">
        <is>
          <t>comun</t>
        </is>
      </c>
      <c r="C2051" s="16" t="inlineStr">
        <is>
          <t>Lectura crítica</t>
        </is>
      </c>
      <c r="D2051" s="16" t="inlineStr">
        <is>
          <t>C226</t>
        </is>
      </c>
      <c r="E2051" s="16" t="inlineStr">
        <is>
          <t>Lectura crítica</t>
        </is>
      </c>
      <c r="F2051" s="16" t="inlineStr">
        <is>
          <t>Dos textos sobre teletrabajo. El primero afirma que sube la productividad y cita un estudio de una empresa de software. El segundo dice que la baja, con datos de una central de llamadas donde se mide el tiempo en línea.</t>
        </is>
      </c>
      <c r="G2051" s="16" t="inlineStr">
        <is>
          <t>La diferencia entre ambos se explica mejor porque:</t>
        </is>
      </c>
      <c r="H2051" s="16" t="inlineStr">
        <is>
          <t>El segundo texto tiene interés en desacreditar el teletrabajo</t>
        </is>
      </c>
      <c r="I2051" s="16" t="inlineStr">
        <is>
          <t>Miden productividad en labores distintas, con otro indicador</t>
        </is>
      </c>
      <c r="J2051" s="16" t="inlineStr">
        <is>
          <t>Uno de los dos estudios usó una muestra demasiado pequeña ahí</t>
        </is>
      </c>
      <c r="K2051" s="16" t="inlineStr">
        <is>
          <t>B</t>
        </is>
      </c>
      <c r="L2051" s="16" t="inlineStr">
        <is>
          <t>Lo que cada uno llama productividad no es lo mismo: código entregado no equivale a tiempo en línea.</t>
        </is>
      </c>
      <c r="M2051" s="16" t="inlineStr">
        <is>
          <t>El tamaño de la muestra no se menciona y atribuir intenciones no explica el dato.</t>
        </is>
      </c>
      <c r="O2051" s="16" t="inlineStr">
        <is>
          <t>SI</t>
        </is>
      </c>
      <c r="P2051" s="16" t="inlineStr">
        <is>
          <t>Alta</t>
        </is>
      </c>
      <c r="Q2051" s="16" t="inlineStr">
        <is>
          <t>v2</t>
        </is>
      </c>
      <c r="R2051" s="16" t="inlineStr">
        <is>
          <t>Aptitudes</t>
        </is>
      </c>
    </row>
    <row r="2052" ht="15" customHeight="1" s="12">
      <c r="A2052" s="16" t="inlineStr">
        <is>
          <t>F227-1</t>
        </is>
      </c>
      <c r="B2052" s="16" t="inlineStr">
        <is>
          <t>comun</t>
        </is>
      </c>
      <c r="C2052" s="16" t="inlineStr">
        <is>
          <t>Lectura crítica</t>
        </is>
      </c>
      <c r="D2052" s="16" t="inlineStr">
        <is>
          <t>C227</t>
        </is>
      </c>
      <c r="E2052" s="16" t="inlineStr">
        <is>
          <t>Lectura crítica</t>
        </is>
      </c>
      <c r="F2052" s="16" t="inlineStr">
        <is>
          <t>Dos textos sobre teletrabajo. El primero afirma que sube la productividad y cita un estudio de una empresa de software. El segundo dice que la baja, con datos de una central de llamadas donde se mide el tiempo en línea.</t>
        </is>
      </c>
      <c r="G2052" s="16" t="inlineStr">
        <is>
          <t>De los dos textos se puede concluir que:</t>
        </is>
      </c>
      <c r="H2052" s="16" t="inlineStr">
        <is>
          <t>El teletrabajo mejora el rendimiento en la mayoría de las labores</t>
        </is>
      </c>
      <c r="I2052" s="16" t="inlineStr">
        <is>
          <t>El efecto del teletrabajo depende del tipo de labor que se evalúe</t>
        </is>
      </c>
      <c r="J2052" s="16" t="inlineStr">
        <is>
          <t>Las mediciones de productividad remota carecen por completo de valor</t>
        </is>
      </c>
      <c r="K2052" s="16" t="inlineStr">
        <is>
          <t>B</t>
        </is>
      </c>
      <c r="L2052" s="16" t="inlineStr">
        <is>
          <t>Los dos resultados coexisten si se acepta que el efecto varía según la labor.</t>
        </is>
      </c>
      <c r="M2052" s="16" t="inlineStr">
        <is>
          <t>Generalizar la mejora o descartar toda medición va más allá de lo que los textos permiten.</t>
        </is>
      </c>
      <c r="O2052" s="16" t="inlineStr">
        <is>
          <t>SI</t>
        </is>
      </c>
      <c r="P2052" s="16" t="inlineStr">
        <is>
          <t>Media</t>
        </is>
      </c>
      <c r="Q2052" s="16" t="inlineStr">
        <is>
          <t>v2</t>
        </is>
      </c>
      <c r="R2052" s="16" t="inlineStr">
        <is>
          <t>Aptitudes</t>
        </is>
      </c>
    </row>
    <row r="2053" ht="15" customHeight="1" s="12">
      <c r="A2053" s="16" t="inlineStr">
        <is>
          <t>F228-1</t>
        </is>
      </c>
      <c r="B2053" s="16" t="inlineStr">
        <is>
          <t>comun</t>
        </is>
      </c>
      <c r="C2053" s="16" t="inlineStr">
        <is>
          <t>Lectura crítica</t>
        </is>
      </c>
      <c r="D2053" s="16" t="inlineStr">
        <is>
          <t>C228</t>
        </is>
      </c>
      <c r="E2053" s="16" t="inlineStr">
        <is>
          <t>Lectura crítica</t>
        </is>
      </c>
      <c r="F2053" s="16" t="inlineStr">
        <is>
          <t>Un oficio dice: «La entidad no podrá contratar con quien haya sido sancionado en los últimos cinco años, salvo que la sanción haya sido revocada o anulada por autoridad competente».</t>
        </is>
      </c>
      <c r="G2053" s="16" t="inlineStr">
        <is>
          <t>Según el oficio, puede contratar quien:</t>
        </is>
      </c>
      <c r="H2053" s="16" t="inlineStr">
        <is>
          <t>Tiene una sanción en firme con ejecución aplazada un año</t>
        </is>
      </c>
      <c r="I2053" s="16" t="inlineStr">
        <is>
          <t>Obtuvo la anulación de la sanción ante el juez competente</t>
        </is>
      </c>
      <c r="J2053" s="16" t="inlineStr">
        <is>
          <t>Fue sancionado hace seis años y pagó la multa completa ya</t>
        </is>
      </c>
      <c r="K2053" s="16" t="inlineStr">
        <is>
          <t>B</t>
        </is>
      </c>
      <c r="L2053" s="16" t="inlineStr">
        <is>
          <t>La excepción es la revocatoria o anulación; el aplazamiento no la elimina.</t>
        </is>
      </c>
      <c r="M2053" s="16" t="inlineStr">
        <is>
          <t>La sanción de hace seis años queda fuera del periodo pero no la cubre la excepción, y el aplazamiento no borra la sanción.</t>
        </is>
      </c>
      <c r="O2053" s="16" t="inlineStr">
        <is>
          <t>SI</t>
        </is>
      </c>
      <c r="P2053" s="16" t="inlineStr">
        <is>
          <t>Media</t>
        </is>
      </c>
      <c r="Q2053" s="16" t="inlineStr">
        <is>
          <t>v2</t>
        </is>
      </c>
      <c r="R2053" s="16" t="inlineStr">
        <is>
          <t>Aptitudes</t>
        </is>
      </c>
    </row>
    <row r="2054" ht="15" customHeight="1" s="12">
      <c r="A2054" s="16" t="inlineStr">
        <is>
          <t>F229-1</t>
        </is>
      </c>
      <c r="B2054" s="16" t="inlineStr">
        <is>
          <t>comun</t>
        </is>
      </c>
      <c r="C2054" s="16" t="inlineStr">
        <is>
          <t>Lectura crítica</t>
        </is>
      </c>
      <c r="D2054" s="16" t="inlineStr">
        <is>
          <t>C229</t>
        </is>
      </c>
      <c r="E2054" s="16" t="inlineStr">
        <is>
          <t>Lectura crítica</t>
        </is>
      </c>
      <c r="F2054" s="16" t="inlineStr">
        <is>
          <t>Un oficio dice: «La entidad no podrá contratar con quien haya sido sancionado en los últimos cinco años, salvo que la sanción haya sido revocada o anulada por autoridad competente».</t>
        </is>
      </c>
      <c r="G2054" s="16" t="inlineStr">
        <is>
          <t>La expresión «salvo que» cumple la función de:</t>
        </is>
      </c>
      <c r="H2054" s="16" t="inlineStr">
        <is>
          <t>Condicionar la vigencia de la regla al plazo de cinco años</t>
        </is>
      </c>
      <c r="I2054" s="16" t="inlineStr">
        <is>
          <t>Ampliar la prohibición a casos que la regla no preveía antes</t>
        </is>
      </c>
      <c r="J2054" s="16" t="inlineStr">
        <is>
          <t>Introducir la excepción a la prohibición que la regla fija</t>
        </is>
      </c>
      <c r="K2054" s="16" t="inlineStr">
        <is>
          <t>C</t>
        </is>
      </c>
      <c r="L2054" s="16" t="inlineStr">
        <is>
          <t>La cláusula de excepción retira del alcance de la prohibición los casos que describe.</t>
        </is>
      </c>
      <c r="M2054" s="16" t="inlineStr">
        <is>
          <t>No amplía la prohibición ni fija su vigencia: recorta su alcance.</t>
        </is>
      </c>
      <c r="O2054" s="16" t="inlineStr">
        <is>
          <t>SI</t>
        </is>
      </c>
      <c r="P2054" s="16" t="inlineStr">
        <is>
          <t>Alta</t>
        </is>
      </c>
      <c r="Q2054" s="16" t="inlineStr">
        <is>
          <t>v2</t>
        </is>
      </c>
      <c r="R2054" s="16" t="inlineStr">
        <is>
          <t>Aptitudes</t>
        </is>
      </c>
    </row>
    <row r="2055" ht="15" customHeight="1" s="12">
      <c r="A2055" s="16" t="inlineStr">
        <is>
          <t>F230-1</t>
        </is>
      </c>
      <c r="B2055" s="16" t="inlineStr">
        <is>
          <t>comun</t>
        </is>
      </c>
      <c r="C2055" s="16" t="inlineStr">
        <is>
          <t>Lectura crítica</t>
        </is>
      </c>
      <c r="D2055" s="16" t="inlineStr">
        <is>
          <t>C230</t>
        </is>
      </c>
      <c r="E2055" s="16" t="inlineStr">
        <is>
          <t>Lectura crítica</t>
        </is>
      </c>
      <c r="F2055" s="16" t="inlineStr">
        <is>
          <t>Una noticia titula: «Se duplicaron los hallazgos de auditoría en la entidad». En el cuerpo se lee que la oficina de control interno pasó de dos a cuatro auditores y de seis a doce auditorías anuales.</t>
        </is>
      </c>
      <c r="G2055" s="16" t="inlineStr">
        <is>
          <t>El titular resulta engañoso porque:</t>
        </is>
      </c>
      <c r="H2055" s="16" t="inlineStr">
        <is>
          <t>El número de auditores es un dato irrelevante para medir hallazgos</t>
        </is>
      </c>
      <c r="I2055" s="16" t="inlineStr">
        <is>
          <t>Los hallazgos de auditoría no miden la gestión de la entidad auditada</t>
        </is>
      </c>
      <c r="J2055" s="16" t="inlineStr">
        <is>
          <t>Los hallazgos crecieron a la par del número de auditorías realizadas</t>
        </is>
      </c>
      <c r="K2055" s="16" t="inlineStr">
        <is>
          <t>C</t>
        </is>
      </c>
      <c r="L2055" s="16" t="inlineStr">
        <is>
          <t>Si se audita el doble, encontrar el doble no indica que haya más irregularidades.</t>
        </is>
      </c>
      <c r="M2055" s="16" t="inlineStr">
        <is>
          <t>Los hallazgos sí dicen algo de la gestión, y el número de auditores es justamente el dato que explica el aumento.</t>
        </is>
      </c>
      <c r="O2055" s="16" t="inlineStr">
        <is>
          <t>SI</t>
        </is>
      </c>
      <c r="P2055" s="16" t="inlineStr">
        <is>
          <t>Alta</t>
        </is>
      </c>
      <c r="Q2055" s="16" t="inlineStr">
        <is>
          <t>v2</t>
        </is>
      </c>
      <c r="R2055" s="16" t="inlineStr">
        <is>
          <t>Aptitudes</t>
        </is>
      </c>
    </row>
    <row r="2056" ht="15" customHeight="1" s="12">
      <c r="A2056" s="16" t="inlineStr">
        <is>
          <t>F231-1</t>
        </is>
      </c>
      <c r="B2056" s="16" t="inlineStr">
        <is>
          <t>comun</t>
        </is>
      </c>
      <c r="C2056" s="16" t="inlineStr">
        <is>
          <t>Lectura crítica</t>
        </is>
      </c>
      <c r="D2056" s="16" t="inlineStr">
        <is>
          <t>C231</t>
        </is>
      </c>
      <c r="E2056" s="16" t="inlineStr">
        <is>
          <t>Lectura crítica</t>
        </is>
      </c>
      <c r="F2056" s="16" t="inlineStr">
        <is>
          <t>Una noticia titula: «Se duplicaron los hallazgos de auditoría en la entidad». En el cuerpo se lee que la oficina de control interno pasó de dos a cuatro auditores y de seis a doce auditorías anuales.</t>
        </is>
      </c>
      <c r="G2056" s="16" t="inlineStr">
        <is>
          <t>El indicador que permitiría una lectura correcta es:</t>
        </is>
      </c>
      <c r="H2056" s="16" t="inlineStr">
        <is>
          <t>Los hallazgos por auditoría realizada en cada uno de los años</t>
        </is>
      </c>
      <c r="I2056" s="16" t="inlineStr">
        <is>
          <t>El total de hallazgos acumulados desde que existe esa oficina</t>
        </is>
      </c>
      <c r="J2056" s="16" t="inlineStr">
        <is>
          <t>El número de auditores por cada mil servidores de la planta</t>
        </is>
      </c>
      <c r="K2056" s="16" t="inlineStr">
        <is>
          <t>A</t>
        </is>
      </c>
      <c r="L2056" s="16" t="inlineStr">
        <is>
          <t>Relativizar los hallazgos al número de auditorías neutraliza el efecto del mayor esfuerzo.</t>
        </is>
      </c>
      <c r="M2056" s="16" t="inlineStr">
        <is>
          <t>El acumulado histórico y la planta de auditores no corrigen la distorsión del titular.</t>
        </is>
      </c>
      <c r="O2056" s="16" t="inlineStr">
        <is>
          <t>SI</t>
        </is>
      </c>
      <c r="P2056" s="16" t="inlineStr">
        <is>
          <t>Media</t>
        </is>
      </c>
      <c r="Q2056" s="16" t="inlineStr">
        <is>
          <t>v2</t>
        </is>
      </c>
      <c r="R2056" s="16" t="inlineStr">
        <is>
          <t>Aptitudes</t>
        </is>
      </c>
    </row>
    <row r="2057" ht="15" customHeight="1" s="12">
      <c r="A2057" s="16" t="inlineStr">
        <is>
          <t>F232-1</t>
        </is>
      </c>
      <c r="B2057" s="16" t="inlineStr">
        <is>
          <t>comun</t>
        </is>
      </c>
      <c r="C2057" s="16" t="inlineStr">
        <is>
          <t>Razonamiento cuantitativo</t>
        </is>
      </c>
      <c r="D2057" s="16" t="inlineStr">
        <is>
          <t>C232</t>
        </is>
      </c>
      <c r="E2057" s="16" t="inlineStr">
        <is>
          <t>Razonamiento cuantitativo</t>
        </is>
      </c>
      <c r="F2057" s="16" t="inlineStr">
        <is>
          <t>Una convocatoria ofrece 234 vacantes y se inscribieron 9.360 aspirantes.</t>
        </is>
      </c>
      <c r="G2057" s="16" t="inlineStr">
        <is>
          <t>La relación entre aspirantes y vacantes es de:</t>
        </is>
      </c>
      <c r="H2057" s="16" t="inlineStr">
        <is>
          <t>40 aspirantes por vacante</t>
        </is>
      </c>
      <c r="I2057" s="16" t="inlineStr">
        <is>
          <t>45 aspirantes por vacante</t>
        </is>
      </c>
      <c r="J2057" s="16" t="inlineStr">
        <is>
          <t>36 aspirantes por vacante</t>
        </is>
      </c>
      <c r="K2057" s="16" t="inlineStr">
        <is>
          <t>A</t>
        </is>
      </c>
      <c r="L2057" s="16" t="inlineStr">
        <is>
          <t>9.360 dividido entre 234 da exactamente 40.</t>
        </is>
      </c>
      <c r="M2057" s="16" t="inlineStr">
        <is>
          <t>Las otras cifras salen de redondear el divisor o de invertir la división.</t>
        </is>
      </c>
      <c r="O2057" s="16" t="inlineStr">
        <is>
          <t>SI</t>
        </is>
      </c>
      <c r="P2057" s="16" t="inlineStr">
        <is>
          <t>Basica</t>
        </is>
      </c>
      <c r="Q2057" s="16" t="inlineStr">
        <is>
          <t>v2</t>
        </is>
      </c>
      <c r="R2057" s="16" t="inlineStr">
        <is>
          <t>Aptitudes</t>
        </is>
      </c>
    </row>
    <row r="2058" ht="15" customHeight="1" s="12">
      <c r="A2058" s="16" t="inlineStr">
        <is>
          <t>F233-1</t>
        </is>
      </c>
      <c r="B2058" s="16" t="inlineStr">
        <is>
          <t>comun</t>
        </is>
      </c>
      <c r="C2058" s="16" t="inlineStr">
        <is>
          <t>Razonamiento cuantitativo</t>
        </is>
      </c>
      <c r="D2058" s="16" t="inlineStr">
        <is>
          <t>C233</t>
        </is>
      </c>
      <c r="E2058" s="16" t="inlineStr">
        <is>
          <t>Razonamiento cuantitativo</t>
        </is>
      </c>
      <c r="F2058" s="16" t="inlineStr">
        <is>
          <t>Una convocatoria ofrece 234 vacantes y se inscribieron 9.360 aspirantes.</t>
        </is>
      </c>
      <c r="G2058" s="16" t="inlineStr">
        <is>
          <t>Si el 15 % de los inscritos no supera los requisitos mínimos, quedan:</t>
        </is>
      </c>
      <c r="H2058" s="16" t="inlineStr">
        <is>
          <t>7.956 aspirantes</t>
        </is>
      </c>
      <c r="I2058" s="16" t="inlineStr">
        <is>
          <t>8.016 aspirantes</t>
        </is>
      </c>
      <c r="J2058" s="16" t="inlineStr">
        <is>
          <t>7.896 aspirantes</t>
        </is>
      </c>
      <c r="K2058" s="16" t="inlineStr">
        <is>
          <t>A</t>
        </is>
      </c>
      <c r="L2058" s="16" t="inlineStr">
        <is>
          <t>El 15 % de 9.360 son 1.404; 9.360 menos 1.404 da 7.956.</t>
        </is>
      </c>
      <c r="M2058" s="16" t="inlineStr">
        <is>
          <t>Los otros valores resultan de aplicar el 14 % o el 16 % por error de cálculo mental.</t>
        </is>
      </c>
      <c r="O2058" s="16" t="inlineStr">
        <is>
          <t>SI</t>
        </is>
      </c>
      <c r="P2058" s="16" t="inlineStr">
        <is>
          <t>Media</t>
        </is>
      </c>
      <c r="Q2058" s="16" t="inlineStr">
        <is>
          <t>v2</t>
        </is>
      </c>
      <c r="R2058" s="16" t="inlineStr">
        <is>
          <t>Aptitudes</t>
        </is>
      </c>
    </row>
    <row r="2059" ht="15" customHeight="1" s="12">
      <c r="A2059" s="16" t="inlineStr">
        <is>
          <t>F234-1</t>
        </is>
      </c>
      <c r="B2059" s="16" t="inlineStr">
        <is>
          <t>comun</t>
        </is>
      </c>
      <c r="C2059" s="16" t="inlineStr">
        <is>
          <t>Razonamiento cuantitativo</t>
        </is>
      </c>
      <c r="D2059" s="16" t="inlineStr">
        <is>
          <t>C234</t>
        </is>
      </c>
      <c r="E2059" s="16" t="inlineStr">
        <is>
          <t>Razonamiento cuantitativo</t>
        </is>
      </c>
      <c r="F2059" s="16" t="inlineStr">
        <is>
          <t>Una prueba tiene 90 preguntas: 60 de un componente y 30 del otro. El puntaje del primero pesa 70 % y el del segundo 30 %.</t>
        </is>
      </c>
      <c r="G2059" s="16" t="inlineStr">
        <is>
          <t>Un aspirante acierta 45 y 24. Su puntaje ponderado sobre 100 es:</t>
        </is>
      </c>
      <c r="H2059" s="16" t="inlineStr">
        <is>
          <t>78,0</t>
        </is>
      </c>
      <c r="I2059" s="16" t="inlineStr">
        <is>
          <t>76,5</t>
        </is>
      </c>
      <c r="J2059" s="16" t="inlineStr">
        <is>
          <t>75,0</t>
        </is>
      </c>
      <c r="K2059" s="16" t="inlineStr">
        <is>
          <t>B</t>
        </is>
      </c>
      <c r="L2059" s="16" t="inlineStr">
        <is>
          <t>45 de 60 es 75 y 24 de 30 es 80; 75 por 0,7 más 80 por 0,3 da 76,5.</t>
        </is>
      </c>
      <c r="M2059" s="16" t="inlineStr">
        <is>
          <t>Los otros salen de promediar sin pesos o de aplicar los pesos al revés.</t>
        </is>
      </c>
      <c r="O2059" s="16" t="inlineStr">
        <is>
          <t>SI</t>
        </is>
      </c>
      <c r="P2059" s="16" t="inlineStr">
        <is>
          <t>Alta</t>
        </is>
      </c>
      <c r="Q2059" s="16" t="inlineStr">
        <is>
          <t>v2</t>
        </is>
      </c>
      <c r="R2059" s="16" t="inlineStr">
        <is>
          <t>Aptitudes</t>
        </is>
      </c>
    </row>
    <row r="2060" ht="15" customHeight="1" s="12">
      <c r="A2060" s="16" t="inlineStr">
        <is>
          <t>F235-1</t>
        </is>
      </c>
      <c r="B2060" s="16" t="inlineStr">
        <is>
          <t>comun</t>
        </is>
      </c>
      <c r="C2060" s="16" t="inlineStr">
        <is>
          <t>Razonamiento cuantitativo</t>
        </is>
      </c>
      <c r="D2060" s="16" t="inlineStr">
        <is>
          <t>C235</t>
        </is>
      </c>
      <c r="E2060" s="16" t="inlineStr">
        <is>
          <t>Razonamiento cuantitativo</t>
        </is>
      </c>
      <c r="F2060" s="16" t="inlineStr">
        <is>
          <t>Una prueba tiene 90 preguntas: 60 de un componente y 30 del otro. El puntaje del primero pesa 70 % y el del segundo 30 %.</t>
        </is>
      </c>
      <c r="G2060" s="16" t="inlineStr">
        <is>
          <t>Para que el ponderado llegue a 80 manteniendo 75 en el primero, en el segundo necesita:</t>
        </is>
      </c>
      <c r="H2060" s="16" t="inlineStr">
        <is>
          <t>85,0 sobre 100</t>
        </is>
      </c>
      <c r="I2060" s="16" t="inlineStr">
        <is>
          <t>91,7 sobre 100</t>
        </is>
      </c>
      <c r="J2060" s="16" t="inlineStr">
        <is>
          <t>88,3 sobre 100</t>
        </is>
      </c>
      <c r="K2060" s="16" t="inlineStr">
        <is>
          <t>B</t>
        </is>
      </c>
      <c r="L2060" s="16" t="inlineStr">
        <is>
          <t>Se despeja: 80 menos 52,5 da 27,5; dividido entre 0,3 da 91,7.</t>
        </is>
      </c>
      <c r="M2060" s="16" t="inlineStr">
        <is>
          <t>Las otras cifras suponen que el faltante se reparte por igual entre los dos componentes.</t>
        </is>
      </c>
      <c r="O2060" s="16" t="inlineStr">
        <is>
          <t>SI</t>
        </is>
      </c>
      <c r="P2060" s="16" t="inlineStr">
        <is>
          <t>Media</t>
        </is>
      </c>
      <c r="Q2060" s="16" t="inlineStr">
        <is>
          <t>v2</t>
        </is>
      </c>
      <c r="R2060" s="16" t="inlineStr">
        <is>
          <t>Aptitudes</t>
        </is>
      </c>
    </row>
    <row r="2061" ht="15" customHeight="1" s="12">
      <c r="A2061" s="16" t="inlineStr">
        <is>
          <t>F236-1</t>
        </is>
      </c>
      <c r="B2061" s="16" t="inlineStr">
        <is>
          <t>comun</t>
        </is>
      </c>
      <c r="C2061" s="16" t="inlineStr">
        <is>
          <t>Razonamiento cuantitativo</t>
        </is>
      </c>
      <c r="D2061" s="16" t="inlineStr">
        <is>
          <t>C236</t>
        </is>
      </c>
      <c r="E2061" s="16" t="inlineStr">
        <is>
          <t>Razonamiento cuantitativo</t>
        </is>
      </c>
      <c r="F2061" s="16" t="inlineStr">
        <is>
          <t>Un trámite cuesta 42.000 pesos y sube 8 % este año y 5 % el siguiente.</t>
        </is>
      </c>
      <c r="G2061" s="16" t="inlineStr">
        <is>
          <t>El valor después de los dos aumentos es:</t>
        </is>
      </c>
      <c r="H2061" s="16" t="inlineStr">
        <is>
          <t>47.628 pesos</t>
        </is>
      </c>
      <c r="I2061" s="16" t="inlineStr">
        <is>
          <t>47.460 pesos</t>
        </is>
      </c>
      <c r="J2061" s="16" t="inlineStr">
        <is>
          <t>48.090 pesos</t>
        </is>
      </c>
      <c r="K2061" s="16" t="inlineStr">
        <is>
          <t>A</t>
        </is>
      </c>
      <c r="L2061" s="16" t="inlineStr">
        <is>
          <t>42.000 por 1,08 da 45.360, y eso por 1,05 da 47.628.</t>
        </is>
      </c>
      <c r="M2061" s="16" t="inlineStr">
        <is>
          <t>Un valor suma los dos porcentajes como si fueran 13 % sobre el precio inicial y el otro redondea de más.</t>
        </is>
      </c>
      <c r="O2061" s="16" t="inlineStr">
        <is>
          <t>SI</t>
        </is>
      </c>
      <c r="P2061" s="16" t="inlineStr">
        <is>
          <t>Alta</t>
        </is>
      </c>
      <c r="Q2061" s="16" t="inlineStr">
        <is>
          <t>v2</t>
        </is>
      </c>
      <c r="R2061" s="16" t="inlineStr">
        <is>
          <t>Aptitudes</t>
        </is>
      </c>
    </row>
    <row r="2062" ht="15" customHeight="1" s="12">
      <c r="A2062" s="16" t="inlineStr">
        <is>
          <t>F237-1</t>
        </is>
      </c>
      <c r="B2062" s="16" t="inlineStr">
        <is>
          <t>comun</t>
        </is>
      </c>
      <c r="C2062" s="16" t="inlineStr">
        <is>
          <t>Razonamiento cuantitativo</t>
        </is>
      </c>
      <c r="D2062" s="16" t="inlineStr">
        <is>
          <t>C237</t>
        </is>
      </c>
      <c r="E2062" s="16" t="inlineStr">
        <is>
          <t>Razonamiento cuantitativo</t>
        </is>
      </c>
      <c r="F2062" s="16" t="inlineStr">
        <is>
          <t>Un trámite cuesta 42.000 pesos y sube 8 % este año y 5 % el siguiente.</t>
        </is>
      </c>
      <c r="G2062" s="16" t="inlineStr">
        <is>
          <t>Sumar los dos aumentos y aplicar 13 % de una vez daría:</t>
        </is>
      </c>
      <c r="H2062" s="16" t="inlineStr">
        <is>
          <t>Un valor menor que el real, por 168 pesos</t>
        </is>
      </c>
      <c r="I2062" s="16" t="inlineStr">
        <is>
          <t>Un valor mayor que el real, por 168 pesos</t>
        </is>
      </c>
      <c r="J2062" s="16" t="inlineStr">
        <is>
          <t>Exactamente el mismo valor final que el real</t>
        </is>
      </c>
      <c r="K2062" s="16" t="inlineStr">
        <is>
          <t>A</t>
        </is>
      </c>
      <c r="L2062" s="16" t="inlineStr">
        <is>
          <t>El 13 % de 42.000 da 47.460, que es 168 pesos menos que 47.628, porque el segundo aumento recae sobre el primero.</t>
        </is>
      </c>
      <c r="M2062" s="16" t="inlineStr">
        <is>
          <t>Creer que da igual o que da de más desconoce el efecto compuesto del segundo aumento.</t>
        </is>
      </c>
      <c r="O2062" s="16" t="inlineStr">
        <is>
          <t>SI</t>
        </is>
      </c>
      <c r="P2062" s="16" t="inlineStr">
        <is>
          <t>Media</t>
        </is>
      </c>
      <c r="Q2062" s="16" t="inlineStr">
        <is>
          <t>v2</t>
        </is>
      </c>
      <c r="R2062" s="16" t="inlineStr">
        <is>
          <t>Aptitudes</t>
        </is>
      </c>
    </row>
    <row r="2063" ht="15" customHeight="1" s="12">
      <c r="A2063" s="16" t="inlineStr">
        <is>
          <t>F238-1</t>
        </is>
      </c>
      <c r="B2063" s="16" t="inlineStr">
        <is>
          <t>comun</t>
        </is>
      </c>
      <c r="C2063" s="16" t="inlineStr">
        <is>
          <t>Razonamiento cuantitativo</t>
        </is>
      </c>
      <c r="D2063" s="16" t="inlineStr">
        <is>
          <t>C238</t>
        </is>
      </c>
      <c r="E2063" s="16" t="inlineStr">
        <is>
          <t>Razonamiento cuantitativo</t>
        </is>
      </c>
      <c r="F2063" s="16" t="inlineStr">
        <is>
          <t>De 320 expedientes revisados, 224 no tuvieron hallazgos.</t>
        </is>
      </c>
      <c r="G2063" s="16" t="inlineStr">
        <is>
          <t>La proporción de expedientes con hallazgos fue:</t>
        </is>
      </c>
      <c r="H2063" s="16" t="inlineStr">
        <is>
          <t>35 %</t>
        </is>
      </c>
      <c r="I2063" s="16" t="inlineStr">
        <is>
          <t>25 %</t>
        </is>
      </c>
      <c r="J2063" s="16" t="inlineStr">
        <is>
          <t>30 %</t>
        </is>
      </c>
      <c r="K2063" s="16" t="inlineStr">
        <is>
          <t>C</t>
        </is>
      </c>
      <c r="L2063" s="16" t="inlineStr">
        <is>
          <t>320 menos 224 da 96, que sobre 320 es 30 %.</t>
        </is>
      </c>
      <c r="M2063" s="16" t="inlineStr">
        <is>
          <t>Los otros salen de dividir 96 entre 224 o de estimar a ojo sobre 400.</t>
        </is>
      </c>
      <c r="O2063" s="16" t="inlineStr">
        <is>
          <t>SI</t>
        </is>
      </c>
      <c r="P2063" s="16" t="inlineStr">
        <is>
          <t>Basica</t>
        </is>
      </c>
      <c r="Q2063" s="16" t="inlineStr">
        <is>
          <t>v2</t>
        </is>
      </c>
      <c r="R2063" s="16" t="inlineStr">
        <is>
          <t>Aptitudes</t>
        </is>
      </c>
    </row>
    <row r="2064" ht="15" customHeight="1" s="12">
      <c r="A2064" s="16" t="inlineStr">
        <is>
          <t>F239-1</t>
        </is>
      </c>
      <c r="B2064" s="16" t="inlineStr">
        <is>
          <t>comun</t>
        </is>
      </c>
      <c r="C2064" s="16" t="inlineStr">
        <is>
          <t>Razonamiento cuantitativo</t>
        </is>
      </c>
      <c r="D2064" s="16" t="inlineStr">
        <is>
          <t>C239</t>
        </is>
      </c>
      <c r="E2064" s="16" t="inlineStr">
        <is>
          <t>Razonamiento cuantitativo</t>
        </is>
      </c>
      <c r="F2064" s="16" t="inlineStr">
        <is>
          <t>De 320 expedientes revisados, 224 no tuvieron hallazgos.</t>
        </is>
      </c>
      <c r="G2064" s="16" t="inlineStr">
        <is>
          <t>Si el próximo mes se revisan 400 y la proporción con hallazgos baja a la mitad:</t>
        </is>
      </c>
      <c r="H2064" s="16" t="inlineStr">
        <is>
          <t>Habrá 48 expedientes con hallazgos</t>
        </is>
      </c>
      <c r="I2064" s="16" t="inlineStr">
        <is>
          <t>Habrá 60 expedientes con hallazgos</t>
        </is>
      </c>
      <c r="J2064" s="16" t="inlineStr">
        <is>
          <t>Habrá 96 expedientes con hallazgos</t>
        </is>
      </c>
      <c r="K2064" s="16" t="inlineStr">
        <is>
          <t>B</t>
        </is>
      </c>
      <c r="L2064" s="16" t="inlineStr">
        <is>
          <t>La mitad de 30 % es 15 %, y el 15 % de 400 son 60 expedientes.</t>
        </is>
      </c>
      <c r="M2064" s="16" t="inlineStr">
        <is>
          <t>Un valor aplica el 15 % a la muestra anterior y el otro conserva la cantidad del mes pasado.</t>
        </is>
      </c>
      <c r="O2064" s="16" t="inlineStr">
        <is>
          <t>SI</t>
        </is>
      </c>
      <c r="P2064" s="16" t="inlineStr">
        <is>
          <t>Alta</t>
        </is>
      </c>
      <c r="Q2064" s="16" t="inlineStr">
        <is>
          <t>v2</t>
        </is>
      </c>
      <c r="R2064" s="16" t="inlineStr">
        <is>
          <t>Aptitudes</t>
        </is>
      </c>
    </row>
    <row r="2065" ht="15" customHeight="1" s="12">
      <c r="A2065" s="16" t="inlineStr">
        <is>
          <t>F240-1</t>
        </is>
      </c>
      <c r="B2065" s="16" t="inlineStr">
        <is>
          <t>comun</t>
        </is>
      </c>
      <c r="C2065" s="16" t="inlineStr">
        <is>
          <t>Análisis de información</t>
        </is>
      </c>
      <c r="D2065" s="16" t="inlineStr">
        <is>
          <t>C240</t>
        </is>
      </c>
      <c r="E2065" s="16" t="inlineStr">
        <is>
          <t>Análisis de información</t>
        </is>
      </c>
      <c r="F2065" s="16" t="inlineStr">
        <is>
          <t>Cumplimiento de metas por área: A 92 % con 12 metas, B 100 % con 2 metas, C 78 % con 40 metas. El promedio simple de los tres porcentajes es 90 %.</t>
        </is>
      </c>
      <c r="G2065" s="16" t="inlineStr">
        <is>
          <t>Presentar el 90 % como cumplimiento de la entidad:</t>
        </is>
      </c>
      <c r="H2065" s="16" t="inlineStr">
        <is>
          <t>Distorsiona el resultado: ignora cuántas metas tiene cada área</t>
        </is>
      </c>
      <c r="I2065" s="16" t="inlineStr">
        <is>
          <t>Refleja el resultado: el promedio recoge las tres áreas por igual</t>
        </is>
      </c>
      <c r="J2065" s="16" t="inlineStr">
        <is>
          <t>Subestima el resultado: el área con más metas tiene mejor avance</t>
        </is>
      </c>
      <c r="K2065" s="16" t="inlineStr">
        <is>
          <t>A</t>
        </is>
      </c>
      <c r="L2065" s="16" t="inlineStr">
        <is>
          <t>El promedio simple le da el mismo peso a un área con 2 metas y a otra con 40; el ponderado sería bastante menor.</t>
        </is>
      </c>
      <c r="M2065" s="16" t="inlineStr">
        <is>
          <t>Tratar a las áreas por igual es precisamente el error, y el área grande es la de menor avance, no la mejor.</t>
        </is>
      </c>
      <c r="O2065" s="16" t="inlineStr">
        <is>
          <t>SI</t>
        </is>
      </c>
      <c r="P2065" s="16" t="inlineStr">
        <is>
          <t>Alta</t>
        </is>
      </c>
      <c r="Q2065" s="16" t="inlineStr">
        <is>
          <t>v2</t>
        </is>
      </c>
      <c r="R2065" s="16" t="inlineStr">
        <is>
          <t>Aptitudes</t>
        </is>
      </c>
    </row>
    <row r="2066" ht="15" customHeight="1" s="12">
      <c r="A2066" s="16" t="inlineStr">
        <is>
          <t>F241-1</t>
        </is>
      </c>
      <c r="B2066" s="16" t="inlineStr">
        <is>
          <t>comun</t>
        </is>
      </c>
      <c r="C2066" s="16" t="inlineStr">
        <is>
          <t>Análisis de información</t>
        </is>
      </c>
      <c r="D2066" s="16" t="inlineStr">
        <is>
          <t>C241</t>
        </is>
      </c>
      <c r="E2066" s="16" t="inlineStr">
        <is>
          <t>Análisis de información</t>
        </is>
      </c>
      <c r="F2066" s="16" t="inlineStr">
        <is>
          <t>Cumplimiento de metas por área: A 92 % con 12 metas, B 100 % con 2 metas, C 78 % con 40 metas. El promedio simple de los tres porcentajes es 90 %.</t>
        </is>
      </c>
      <c r="G2066" s="16" t="inlineStr">
        <is>
          <t>El cumplimiento ponderado por número de metas está:</t>
        </is>
      </c>
      <c r="H2066" s="16" t="inlineStr">
        <is>
          <t>Por encima del promedio simple del informe</t>
        </is>
      </c>
      <c r="I2066" s="16" t="inlineStr">
        <is>
          <t>En el mismo valor del promedio informado</t>
        </is>
      </c>
      <c r="J2066" s="16" t="inlineStr">
        <is>
          <t>Por debajo del promedio simple informado</t>
        </is>
      </c>
      <c r="K2066" s="16" t="inlineStr">
        <is>
          <t>C</t>
        </is>
      </c>
      <c r="L2066" s="16" t="inlineStr">
        <is>
          <t>El área con más metas es la de menor avance, así que al ponderar el resultado baja.</t>
        </is>
      </c>
      <c r="M2066" s="16" t="inlineStr">
        <is>
          <t>Suponer que sube o que queda igual desconoce el peso del área de 40 metas.</t>
        </is>
      </c>
      <c r="O2066" s="16" t="inlineStr">
        <is>
          <t>SI</t>
        </is>
      </c>
      <c r="P2066" s="16" t="inlineStr">
        <is>
          <t>Media</t>
        </is>
      </c>
      <c r="Q2066" s="16" t="inlineStr">
        <is>
          <t>v2</t>
        </is>
      </c>
      <c r="R2066" s="16" t="inlineStr">
        <is>
          <t>Aptitudes</t>
        </is>
      </c>
    </row>
    <row r="2067" ht="15" customHeight="1" s="12">
      <c r="A2067" s="16" t="inlineStr">
        <is>
          <t>F242-1</t>
        </is>
      </c>
      <c r="B2067" s="16" t="inlineStr">
        <is>
          <t>comun</t>
        </is>
      </c>
      <c r="C2067" s="16" t="inlineStr">
        <is>
          <t>Análisis de información</t>
        </is>
      </c>
      <c r="D2067" s="16" t="inlineStr">
        <is>
          <t>C242</t>
        </is>
      </c>
      <c r="E2067" s="16" t="inlineStr">
        <is>
          <t>Análisis de información</t>
        </is>
      </c>
      <c r="F2067" s="16" t="inlineStr">
        <is>
          <t>Serie de radicados mensuales: 210, 190, 205, 640, 215, 200. El área explica el cuarto mes por un vencimiento de plazo para acogerse a un beneficio.</t>
        </is>
      </c>
      <c r="G2067" s="16" t="inlineStr">
        <is>
          <t>Para describir el comportamiento habitual del área conviene usar:</t>
        </is>
      </c>
      <c r="H2067" s="16" t="inlineStr">
        <is>
          <t>El promedio, que incorpora todos los meses del periodo medido</t>
        </is>
      </c>
      <c r="I2067" s="16" t="inlineStr">
        <is>
          <t>La mediana, que no se altera con el mes atípico de la serie</t>
        </is>
      </c>
      <c r="J2067" s="16" t="inlineStr">
        <is>
          <t>El valor máximo, que muestra la capacidad real de respuesta</t>
        </is>
      </c>
      <c r="K2067" s="16" t="inlineStr">
        <is>
          <t>B</t>
        </is>
      </c>
      <c r="L2067" s="16" t="inlineStr">
        <is>
          <t>Con un dato extremo, la mediana describe mejor el mes típico que el promedio.</t>
        </is>
      </c>
      <c r="M2067" s="16" t="inlineStr">
        <is>
          <t>El promedio se infla con el mes del vencimiento y el máximo describe un pico, no lo habitual.</t>
        </is>
      </c>
      <c r="O2067" s="16" t="inlineStr">
        <is>
          <t>SI</t>
        </is>
      </c>
      <c r="P2067" s="16" t="inlineStr">
        <is>
          <t>Media</t>
        </is>
      </c>
      <c r="Q2067" s="16" t="inlineStr">
        <is>
          <t>v2</t>
        </is>
      </c>
      <c r="R2067" s="16" t="inlineStr">
        <is>
          <t>Aptitudes</t>
        </is>
      </c>
    </row>
    <row r="2068" ht="15" customHeight="1" s="12">
      <c r="A2068" s="16" t="inlineStr">
        <is>
          <t>F243-1</t>
        </is>
      </c>
      <c r="B2068" s="16" t="inlineStr">
        <is>
          <t>comun</t>
        </is>
      </c>
      <c r="C2068" s="16" t="inlineStr">
        <is>
          <t>Análisis de información</t>
        </is>
      </c>
      <c r="D2068" s="16" t="inlineStr">
        <is>
          <t>C243</t>
        </is>
      </c>
      <c r="E2068" s="16" t="inlineStr">
        <is>
          <t>Análisis de información</t>
        </is>
      </c>
      <c r="F2068" s="16" t="inlineStr">
        <is>
          <t>Serie de radicados mensuales: 210, 190, 205, 640, 215, 200. El área explica el cuarto mes por un vencimiento de plazo para acogerse a un beneficio.</t>
        </is>
      </c>
      <c r="G2068" s="16" t="inlineStr">
        <is>
          <t>Excluir el cuarto mes del análisis sería correcto si:</t>
        </is>
      </c>
      <c r="H2068" s="16" t="inlineStr">
        <is>
          <t>Se explica el criterio y se informa que la serie quedó incompleta</t>
        </is>
      </c>
      <c r="I2068" s="16" t="inlineStr">
        <is>
          <t>El área confirma que ese mes no corresponde a su gestión ordinaria</t>
        </is>
      </c>
      <c r="J2068" s="16" t="inlineStr">
        <is>
          <t>El resultado del análisis mejora al retirar ese valor de la serie</t>
        </is>
      </c>
      <c r="K2068" s="16" t="inlineStr">
        <is>
          <t>A</t>
        </is>
      </c>
      <c r="L2068" s="16" t="inlineStr">
        <is>
          <t>Retirar un dato exige transparencia: decir que se retiró y por qué, para que otro pueda revisarlo.</t>
        </is>
      </c>
      <c r="M2068" s="16" t="inlineStr">
        <is>
          <t>Retirar porque mejora el resultado es manipulación, y la sola afirmación del área no basta como criterio.</t>
        </is>
      </c>
      <c r="O2068" s="16" t="inlineStr">
        <is>
          <t>SI</t>
        </is>
      </c>
      <c r="P2068" s="16" t="inlineStr">
        <is>
          <t>Alta</t>
        </is>
      </c>
      <c r="Q2068" s="16" t="inlineStr">
        <is>
          <t>v2</t>
        </is>
      </c>
      <c r="R2068" s="16" t="inlineStr">
        <is>
          <t>Aptitudes</t>
        </is>
      </c>
    </row>
    <row r="2069" ht="15" customHeight="1" s="12">
      <c r="A2069" s="16" t="inlineStr">
        <is>
          <t>F244-1</t>
        </is>
      </c>
      <c r="B2069" s="16" t="inlineStr">
        <is>
          <t>comun</t>
        </is>
      </c>
      <c r="C2069" s="16" t="inlineStr">
        <is>
          <t>Análisis de información</t>
        </is>
      </c>
      <c r="D2069" s="16" t="inlineStr">
        <is>
          <t>C244</t>
        </is>
      </c>
      <c r="E2069" s="16" t="inlineStr">
        <is>
          <t>Análisis de información</t>
        </is>
      </c>
      <c r="F2069" s="16" t="inlineStr">
        <is>
          <t>Un tablero muestra: satisfacción 4,6 sobre 5; oportunidad 62 %; reprocesos 18 %. Las metas eran 4,5; 90 % y 10 % respectivamente.</t>
        </is>
      </c>
      <c r="G2069" s="16" t="inlineStr">
        <is>
          <t>La lectura correcta del tablero es:</t>
        </is>
      </c>
      <c r="H2069" s="16" t="inlineStr">
        <is>
          <t>Cumple en satisfacción y reprocesos e incumple en oportunidad</t>
        </is>
      </c>
      <c r="I2069" s="16" t="inlineStr">
        <is>
          <t>Incumple los tres indicadores frente a las metas establecidas</t>
        </is>
      </c>
      <c r="J2069" s="16" t="inlineStr">
        <is>
          <t>Cumple en satisfacción e incumple en oportunidad y reprocesos</t>
        </is>
      </c>
      <c r="K2069" s="16" t="inlineStr">
        <is>
          <t>C</t>
        </is>
      </c>
      <c r="L2069" s="16" t="inlineStr">
        <is>
          <t>Satisfacción supera la meta; oportunidad queda 28 puntos abajo y reprocesos 8 puntos arriba del tope.</t>
        </is>
      </c>
      <c r="M2069" s="16" t="inlineStr">
        <is>
          <t>En reprocesos la meta es un techo, así que 18 % lo incumple, y satisfacción sí se cumple.</t>
        </is>
      </c>
      <c r="O2069" s="16" t="inlineStr">
        <is>
          <t>SI</t>
        </is>
      </c>
      <c r="P2069" s="16" t="inlineStr">
        <is>
          <t>Media</t>
        </is>
      </c>
      <c r="Q2069" s="16" t="inlineStr">
        <is>
          <t>v2</t>
        </is>
      </c>
      <c r="R2069" s="16" t="inlineStr">
        <is>
          <t>Aptitudes</t>
        </is>
      </c>
    </row>
    <row r="2070" ht="15" customHeight="1" s="12">
      <c r="A2070" s="16" t="inlineStr">
        <is>
          <t>F245-1</t>
        </is>
      </c>
      <c r="B2070" s="16" t="inlineStr">
        <is>
          <t>comun</t>
        </is>
      </c>
      <c r="C2070" s="16" t="inlineStr">
        <is>
          <t>Análisis de información</t>
        </is>
      </c>
      <c r="D2070" s="16" t="inlineStr">
        <is>
          <t>C245</t>
        </is>
      </c>
      <c r="E2070" s="16" t="inlineStr">
        <is>
          <t>Análisis de información</t>
        </is>
      </c>
      <c r="F2070" s="16" t="inlineStr">
        <is>
          <t>Un tablero muestra: satisfacción 4,6 sobre 5; oportunidad 62 %; reprocesos 18 %. Las metas eran 4,5; 90 % y 10 % respectivamente.</t>
        </is>
      </c>
      <c r="G2070" s="16" t="inlineStr">
        <is>
          <t>Que la satisfacción sea alta con oportunidad baja sugiere que:</t>
        </is>
      </c>
      <c r="H2070" s="16" t="inlineStr">
        <is>
          <t>Los usuarios valoran más el trato recibido que el tiempo de espera</t>
        </is>
      </c>
      <c r="I2070" s="16" t="inlineStr">
        <is>
          <t>La encuesta puede no estar captando a quienes no lograron atención</t>
        </is>
      </c>
      <c r="J2070" s="16" t="inlineStr">
        <is>
          <t>La meta de oportunidad fue fijada en un nivel demasiado exigente</t>
        </is>
      </c>
      <c r="K2070" s="16" t="inlineStr">
        <is>
          <t>B</t>
        </is>
      </c>
      <c r="L2070" s="16" t="inlineStr">
        <is>
          <t>Si se encuesta a quien fue atendido, quedan por fuera los que desistieron o no consiguieron cita.</t>
        </is>
      </c>
      <c r="M2070" s="16" t="inlineStr">
        <is>
          <t>Las otras dos son explicaciones posibles, pero suponen algo que el tablero no muestra.</t>
        </is>
      </c>
      <c r="O2070" s="16" t="inlineStr">
        <is>
          <t>SI</t>
        </is>
      </c>
      <c r="P2070" s="16" t="inlineStr">
        <is>
          <t>Alta</t>
        </is>
      </c>
      <c r="Q2070" s="16" t="inlineStr">
        <is>
          <t>v2</t>
        </is>
      </c>
      <c r="R2070" s="16" t="inlineStr">
        <is>
          <t>Aptitudes</t>
        </is>
      </c>
    </row>
    <row r="2071" ht="15" customHeight="1" s="12">
      <c r="A2071" s="16" t="inlineStr">
        <is>
          <t>F246-1</t>
        </is>
      </c>
      <c r="B2071" s="16" t="inlineStr">
        <is>
          <t>comun</t>
        </is>
      </c>
      <c r="C2071" s="16" t="inlineStr">
        <is>
          <t>Ofimática y gestión documental</t>
        </is>
      </c>
      <c r="D2071" s="16" t="inlineStr">
        <is>
          <t>C246</t>
        </is>
      </c>
      <c r="E2071" s="16" t="inlineStr">
        <is>
          <t>Ofimática y gestión documental</t>
        </is>
      </c>
      <c r="F2071" s="16" t="inlineStr">
        <is>
          <t>Una base tiene 4.000 filas con una columna de cédulas y otra de nombres.</t>
        </is>
      </c>
      <c r="G2071" s="16" t="inlineStr">
        <is>
          <t>Para detectar cédulas repetidas conviene usar:</t>
        </is>
      </c>
      <c r="H2071" s="16" t="inlineStr">
        <is>
          <t>El filtro avanzado con el criterio de coincidencia exacta</t>
        </is>
      </c>
      <c r="I2071" s="16" t="inlineStr">
        <is>
          <t>El formato condicional con la regla de valores duplicados</t>
        </is>
      </c>
      <c r="J2071" s="16" t="inlineStr">
        <is>
          <t>La combinación de correspondencia con la base como origen</t>
        </is>
      </c>
      <c r="K2071" s="16" t="inlineStr">
        <is>
          <t>B</t>
        </is>
      </c>
      <c r="L2071" s="16" t="inlineStr">
        <is>
          <t>El formato condicional marca los duplicados sin alterar la base.</t>
        </is>
      </c>
      <c r="M2071" s="16" t="inlineStr">
        <is>
          <t>El filtro avanzado exige definir un criterio por valor y la combinación de correspondencia sirve para producir documentos.</t>
        </is>
      </c>
      <c r="O2071" s="16" t="inlineStr">
        <is>
          <t>SI</t>
        </is>
      </c>
      <c r="P2071" s="16" t="inlineStr">
        <is>
          <t>Media</t>
        </is>
      </c>
      <c r="Q2071" s="16" t="inlineStr">
        <is>
          <t>v2</t>
        </is>
      </c>
      <c r="R2071" s="16" t="inlineStr">
        <is>
          <t>Aptitudes</t>
        </is>
      </c>
    </row>
    <row r="2072" ht="15" customHeight="1" s="12">
      <c r="A2072" s="16" t="inlineStr">
        <is>
          <t>F247-1</t>
        </is>
      </c>
      <c r="B2072" s="16" t="inlineStr">
        <is>
          <t>comun</t>
        </is>
      </c>
      <c r="C2072" s="16" t="inlineStr">
        <is>
          <t>Ofimática y gestión documental</t>
        </is>
      </c>
      <c r="D2072" s="16" t="inlineStr">
        <is>
          <t>C247</t>
        </is>
      </c>
      <c r="E2072" s="16" t="inlineStr">
        <is>
          <t>Ofimática y gestión documental</t>
        </is>
      </c>
      <c r="F2072" s="16" t="inlineStr">
        <is>
          <t>Debe entregar a un tercero un archivo con datos de contacto de 300 personas.</t>
        </is>
      </c>
      <c r="G2072" s="16" t="inlineStr">
        <is>
          <t>Antes de enviarlo corresponde:</t>
        </is>
      </c>
      <c r="H2072" s="16" t="inlineStr">
        <is>
          <t>Verificar la finalidad y remitir los campos que ella exige</t>
        </is>
      </c>
      <c r="I2072" s="16" t="inlineStr">
        <is>
          <t>Comprimir el archivo y protegerlo con clave de apertura hoy</t>
        </is>
      </c>
      <c r="J2072" s="16" t="inlineStr">
        <is>
          <t>Registrar el envío en la planilla de correspondencia diaria</t>
        </is>
      </c>
      <c r="K2072" s="16" t="inlineStr">
        <is>
          <t>A</t>
        </is>
      </c>
      <c r="L2072" s="16" t="inlineStr">
        <is>
          <t>Primero se define si el tratamiento es legítimo y qué datos son necesarios; lo demás son medidas de forma.</t>
        </is>
      </c>
      <c r="M2072" s="16" t="inlineStr">
        <is>
          <t>La contraseña y el registro son buenas prácticas, pero no resuelven si el envío procede ni cuánto se envía.</t>
        </is>
      </c>
      <c r="O2072" s="16" t="inlineStr">
        <is>
          <t>SI</t>
        </is>
      </c>
      <c r="P2072" s="16" t="inlineStr">
        <is>
          <t>Alta</t>
        </is>
      </c>
      <c r="Q2072" s="16" t="inlineStr">
        <is>
          <t>v2</t>
        </is>
      </c>
      <c r="R2072" s="16" t="inlineStr">
        <is>
          <t>Aptitudes</t>
        </is>
      </c>
    </row>
    <row r="2073" ht="15" customHeight="1" s="12">
      <c r="A2073" s="16" t="inlineStr">
        <is>
          <t>F248-1</t>
        </is>
      </c>
      <c r="B2073" s="16" t="inlineStr">
        <is>
          <t>comun</t>
        </is>
      </c>
      <c r="C2073" s="16" t="inlineStr">
        <is>
          <t>Ofimática y gestión documental</t>
        </is>
      </c>
      <c r="D2073" s="16" t="inlineStr">
        <is>
          <t>C248</t>
        </is>
      </c>
      <c r="E2073" s="16" t="inlineStr">
        <is>
          <t>Ofimática y gestión documental</t>
        </is>
      </c>
      <c r="F2073" s="16" t="inlineStr">
        <is>
          <t>Trabaja en un documento extenso con títulos y subtítulos.</t>
        </is>
      </c>
      <c r="G2073" s="16" t="inlineStr">
        <is>
          <t>Para generar una tabla de contenido automática debe:</t>
        </is>
      </c>
      <c r="H2073" s="16" t="inlineStr">
        <is>
          <t>Escribir los títulos en negrilla y con letra mayor</t>
        </is>
      </c>
      <c r="I2073" s="16" t="inlineStr">
        <is>
          <t>Aplicar estilos de título en todos los encabezados</t>
        </is>
      </c>
      <c r="J2073" s="16" t="inlineStr">
        <is>
          <t>Numerar a mano cada capítulo y cada subcapítulo</t>
        </is>
      </c>
      <c r="K2073" s="16" t="inlineStr">
        <is>
          <t>B</t>
        </is>
      </c>
      <c r="L2073" s="16" t="inlineStr">
        <is>
          <t>La tabla automática se construye a partir de los estilos de título, no de la apariencia.</t>
        </is>
      </c>
      <c r="M2073" s="16" t="inlineStr">
        <is>
          <t>La negrilla y la numeración manual cambian el aspecto pero no le dicen nada al procesador de texto.</t>
        </is>
      </c>
      <c r="O2073" s="16" t="inlineStr">
        <is>
          <t>SI</t>
        </is>
      </c>
      <c r="P2073" s="16" t="inlineStr">
        <is>
          <t>Basica</t>
        </is>
      </c>
      <c r="Q2073" s="16" t="inlineStr">
        <is>
          <t>v2</t>
        </is>
      </c>
      <c r="R2073" s="16" t="inlineStr">
        <is>
          <t>Aptitudes</t>
        </is>
      </c>
    </row>
    <row r="2074" ht="15" customHeight="1" s="12">
      <c r="A2074" s="16" t="inlineStr">
        <is>
          <t>F249-1</t>
        </is>
      </c>
      <c r="B2074" s="16" t="inlineStr">
        <is>
          <t>comun</t>
        </is>
      </c>
      <c r="C2074" s="16" t="inlineStr">
        <is>
          <t>Ofimática y gestión documental</t>
        </is>
      </c>
      <c r="D2074" s="16" t="inlineStr">
        <is>
          <t>C249</t>
        </is>
      </c>
      <c r="E2074" s="16" t="inlineStr">
        <is>
          <t>Ofimática y gestión documental</t>
        </is>
      </c>
      <c r="F2074" s="16" t="inlineStr">
        <is>
          <t>Recibe un correo de un remitente conocido con un enlace que pide confirmar su contraseña.</t>
        </is>
      </c>
      <c r="G2074" s="16" t="inlineStr">
        <is>
          <t>La conducta adecuada es:</t>
        </is>
      </c>
      <c r="H2074" s="16" t="inlineStr">
        <is>
          <t>Abrir el enlace y comprobar si la página tiene certificado seguro</t>
        </is>
      </c>
      <c r="I2074" s="16" t="inlineStr">
        <is>
          <t>Responder el correo solicitando que confirmen la solicitud enviada</t>
        </is>
      </c>
      <c r="J2074" s="16" t="inlineStr">
        <is>
          <t>Verificar por otro canal con el remitente antes de abrir el enlace</t>
        </is>
      </c>
      <c r="K2074" s="16" t="inlineStr">
        <is>
          <t>C</t>
        </is>
      </c>
      <c r="L2074" s="16" t="inlineStr">
        <is>
          <t>La verificación por un canal distinto es lo único que detecta una cuenta suplantada.</t>
        </is>
      </c>
      <c r="M2074" s="16" t="inlineStr">
        <is>
          <t>Abrir para comprobar ya expone el equipo y responder el correo llega al atacante si la cuenta está comprometida.</t>
        </is>
      </c>
      <c r="O2074" s="16" t="inlineStr">
        <is>
          <t>SI</t>
        </is>
      </c>
      <c r="P2074" s="16" t="inlineStr">
        <is>
          <t>Media</t>
        </is>
      </c>
      <c r="Q2074" s="16" t="inlineStr">
        <is>
          <t>v2</t>
        </is>
      </c>
      <c r="R2074" s="16" t="inlineStr">
        <is>
          <t>Aptitudes</t>
        </is>
      </c>
    </row>
    <row r="2075" ht="15" customHeight="1" s="12">
      <c r="A2075" s="16" t="inlineStr">
        <is>
          <t>F250-1</t>
        </is>
      </c>
      <c r="B2075" s="16" t="inlineStr">
        <is>
          <t>comun</t>
        </is>
      </c>
      <c r="C2075" s="16" t="inlineStr">
        <is>
          <t>Ofimática y gestión documental</t>
        </is>
      </c>
      <c r="D2075" s="16" t="inlineStr">
        <is>
          <t>C250</t>
        </is>
      </c>
      <c r="E2075" s="16" t="inlineStr">
        <is>
          <t>Ofimática y gestión documental</t>
        </is>
      </c>
      <c r="F2075" s="16" t="inlineStr">
        <is>
          <t>Un expediente electrónico debe conservarse por veinte años.</t>
        </is>
      </c>
      <c r="G2075" s="16" t="inlineStr">
        <is>
          <t>El principal riesgo que debe preverse es:</t>
        </is>
      </c>
      <c r="H2075" s="16" t="inlineStr">
        <is>
          <t>La rotación del personal que administra ese archivo digital</t>
        </is>
      </c>
      <c r="I2075" s="16" t="inlineStr">
        <is>
          <t>El agotamiento del espacio de almacenamiento del servidor</t>
        </is>
      </c>
      <c r="J2075" s="16" t="inlineStr">
        <is>
          <t>La obsolescencia del formato en que se guardan los archivos</t>
        </is>
      </c>
      <c r="K2075" s="16" t="inlineStr">
        <is>
          <t>C</t>
        </is>
      </c>
      <c r="L2075" s="16" t="inlineStr">
        <is>
          <t>En plazos largos el problema es que el formato deje de poder abrirse; por eso se migra a formatos estables.</t>
        </is>
      </c>
      <c r="M2075" s="16" t="inlineStr">
        <is>
          <t>El espacio y la rotación se gestionan con recursos y procedimientos: no comprometen la legibilidad futura.</t>
        </is>
      </c>
      <c r="O2075" s="16" t="inlineStr">
        <is>
          <t>SI</t>
        </is>
      </c>
      <c r="P2075" s="16" t="inlineStr">
        <is>
          <t>Alta</t>
        </is>
      </c>
      <c r="Q2075" s="16" t="inlineStr">
        <is>
          <t>v2</t>
        </is>
      </c>
      <c r="R2075" s="16" t="inlineStr">
        <is>
          <t>Aptitudes</t>
        </is>
      </c>
    </row>
    <row r="2076" ht="15" customHeight="1" s="12">
      <c r="A2076" s="16" t="inlineStr">
        <is>
          <t>F251-1</t>
        </is>
      </c>
      <c r="B2076" s="16" t="inlineStr">
        <is>
          <t>comun</t>
        </is>
      </c>
      <c r="C2076" s="16" t="inlineStr">
        <is>
          <t>Ofimática y gestión documental</t>
        </is>
      </c>
      <c r="D2076" s="16" t="inlineStr">
        <is>
          <t>C251</t>
        </is>
      </c>
      <c r="E2076" s="16" t="inlineStr">
        <is>
          <t>Ofimática y gestión documental</t>
        </is>
      </c>
      <c r="F2076" s="16" t="inlineStr">
        <is>
          <t>Debe presentar la ejecución de seis rubros a la dirección.</t>
        </is>
      </c>
      <c r="G2076" s="16" t="inlineStr">
        <is>
          <t>El tipo de gráfico más adecuado es:</t>
        </is>
      </c>
      <c r="H2076" s="16" t="inlineStr">
        <is>
          <t>Líneas, que muestran la evolución del gasto en el tiempo</t>
        </is>
      </c>
      <c r="I2076" s="16" t="inlineStr">
        <is>
          <t>Barras, que permiten comparar la magnitud de cada rubro</t>
        </is>
      </c>
      <c r="J2076" s="16" t="inlineStr">
        <is>
          <t>Dispersión, que relaciona dos variables numéricas entre sí</t>
        </is>
      </c>
      <c r="K2076" s="16" t="inlineStr">
        <is>
          <t>B</t>
        </is>
      </c>
      <c r="L2076" s="16" t="inlineStr">
        <is>
          <t>La comparación entre categorías se lee mejor en barras.</t>
        </is>
      </c>
      <c r="M2076" s="16" t="inlineStr">
        <is>
          <t>Las líneas sirven para series temporales y la dispersión para correlaciones, que no es lo que se pide.</t>
        </is>
      </c>
      <c r="O2076" s="16" t="inlineStr">
        <is>
          <t>SI</t>
        </is>
      </c>
      <c r="P2076" s="16" t="inlineStr">
        <is>
          <t>Media</t>
        </is>
      </c>
      <c r="Q2076" s="16" t="inlineStr">
        <is>
          <t>v2</t>
        </is>
      </c>
      <c r="R2076" s="16" t="inlineStr">
        <is>
          <t>Aptitudes</t>
        </is>
      </c>
    </row>
    <row r="2077" ht="15" customHeight="1" s="12">
      <c r="A2077" s="16" t="inlineStr">
        <is>
          <t>F252-1</t>
        </is>
      </c>
      <c r="B2077" s="16" t="inlineStr">
        <is>
          <t>comun</t>
        </is>
      </c>
      <c r="C2077" s="16" t="inlineStr">
        <is>
          <t>Lectura crítica</t>
        </is>
      </c>
      <c r="D2077" s="16" t="inlineStr">
        <is>
          <t>C252</t>
        </is>
      </c>
      <c r="E2077" s="16" t="inlineStr">
        <is>
          <t>Lectura crítica</t>
        </is>
      </c>
      <c r="F2077" s="16" t="inlineStr">
        <is>
          <t>Aviso: «La ventanilla atiende de 7:00 a. m. a 4:00 p. m. en jornada continua. Los últimos turnos se entregan a las 3:30 p. m.»</t>
        </is>
      </c>
      <c r="G2077" s="16" t="inlineStr">
        <is>
          <t>Quien llega a las 3:45 p. m.:</t>
        </is>
      </c>
      <c r="H2077" s="16" t="inlineStr">
        <is>
          <t>Alcanza turno solo si la fila está vacía a esa hora</t>
        </is>
      </c>
      <c r="I2077" s="16" t="inlineStr">
        <is>
          <t>Alcanza turno, porque la ventanilla sigue abierta</t>
        </is>
      </c>
      <c r="J2077" s="16" t="inlineStr">
        <is>
          <t>No alcanza turno, aunque la ventanilla siga abierta</t>
        </is>
      </c>
      <c r="K2077" s="16" t="inlineStr">
        <is>
          <t>C</t>
        </is>
      </c>
      <c r="L2077" s="16" t="inlineStr">
        <is>
          <t>El aviso fija dos horas distintas: una para atender y otra, más temprana, para entregar turnos.</t>
        </is>
      </c>
      <c r="M2077" s="16" t="inlineStr">
        <is>
          <t>Las otras dos confunden el horario de atención con el de entrega de turnos.</t>
        </is>
      </c>
      <c r="O2077" s="16" t="inlineStr">
        <is>
          <t>SI</t>
        </is>
      </c>
      <c r="P2077" s="16" t="inlineStr">
        <is>
          <t>Basica</t>
        </is>
      </c>
      <c r="Q2077" s="16" t="inlineStr">
        <is>
          <t>v2</t>
        </is>
      </c>
      <c r="R2077" s="16" t="inlineStr">
        <is>
          <t>Aptitudes</t>
        </is>
      </c>
    </row>
    <row r="2078" ht="15" customHeight="1" s="12">
      <c r="A2078" s="16" t="inlineStr">
        <is>
          <t>F253-1</t>
        </is>
      </c>
      <c r="B2078" s="16" t="inlineStr">
        <is>
          <t>comun</t>
        </is>
      </c>
      <c r="C2078" s="16" t="inlineStr">
        <is>
          <t>Lectura crítica</t>
        </is>
      </c>
      <c r="D2078" s="16" t="inlineStr">
        <is>
          <t>C253</t>
        </is>
      </c>
      <c r="E2078" s="16" t="inlineStr">
        <is>
          <t>Lectura crítica</t>
        </is>
      </c>
      <c r="F2078" s="16" t="inlineStr">
        <is>
          <t>Aviso: «La ventanilla atiende de 7:00 a. m. a 4:00 p. m. en jornada continua. Los últimos turnos se entregan a las 3:30 p. m.»</t>
        </is>
      </c>
      <c r="G2078" s="16" t="inlineStr">
        <is>
          <t>La expresión «jornada continua» indica que:</t>
        </is>
      </c>
      <c r="H2078" s="16" t="inlineStr">
        <is>
          <t>La ventanilla atiende también los fines de semana</t>
        </is>
      </c>
      <c r="I2078" s="16" t="inlineStr">
        <is>
          <t>La ventanilla no cierra al mediodía para almorzar</t>
        </is>
      </c>
      <c r="J2078" s="16" t="inlineStr">
        <is>
          <t>La ventanilla atiende sin necesidad de pedir turno</t>
        </is>
      </c>
      <c r="K2078" s="16" t="inlineStr">
        <is>
          <t>B</t>
        </is>
      </c>
      <c r="L2078" s="16" t="inlineStr">
        <is>
          <t>Jornada continua se refiere a que no hay interrupción en la mitad del día.</t>
        </is>
      </c>
      <c r="M2078" s="16" t="inlineStr">
        <is>
          <t>Ni los fines de semana ni la exigencia del turno se desprenden de esa expresión.</t>
        </is>
      </c>
      <c r="O2078" s="16" t="inlineStr">
        <is>
          <t>SI</t>
        </is>
      </c>
      <c r="P2078" s="16" t="inlineStr">
        <is>
          <t>Basica</t>
        </is>
      </c>
      <c r="Q2078" s="16" t="inlineStr">
        <is>
          <t>v2</t>
        </is>
      </c>
      <c r="R2078" s="16" t="inlineStr">
        <is>
          <t>Aptitudes</t>
        </is>
      </c>
    </row>
    <row r="2079" ht="15" customHeight="1" s="12">
      <c r="A2079" s="16" t="inlineStr">
        <is>
          <t>F254-1</t>
        </is>
      </c>
      <c r="B2079" s="16" t="inlineStr">
        <is>
          <t>comun</t>
        </is>
      </c>
      <c r="C2079" s="16" t="inlineStr">
        <is>
          <t>Lectura crítica</t>
        </is>
      </c>
      <c r="D2079" s="16" t="inlineStr">
        <is>
          <t>C254</t>
        </is>
      </c>
      <c r="E2079" s="16" t="inlineStr">
        <is>
          <t>Lectura crítica</t>
        </is>
      </c>
      <c r="F2079" s="16" t="inlineStr">
        <is>
          <t>Correo interno: «Se recuerda que los soportes deben radicarse el mismo día en que se recibe el documento original».</t>
        </is>
      </c>
      <c r="G2079" s="16" t="inlineStr">
        <is>
          <t>El correo establece que la radicación se hace:</t>
        </is>
      </c>
      <c r="H2079" s="16" t="inlineStr">
        <is>
          <t>Cuando el área responsable revise los soportes</t>
        </is>
      </c>
      <c r="I2079" s="16" t="inlineStr">
        <is>
          <t>El mismo día en que llega el documento original</t>
        </is>
      </c>
      <c r="J2079" s="16" t="inlineStr">
        <is>
          <t>Dentro de los dos días siguientes a su recepción</t>
        </is>
      </c>
      <c r="K2079" s="16" t="inlineStr">
        <is>
          <t>B</t>
        </is>
      </c>
      <c r="L2079" s="16" t="inlineStr">
        <is>
          <t>El texto fija el plazo en el mismo día de la recepción, sin margen adicional.</t>
        </is>
      </c>
      <c r="M2079" s="16" t="inlineStr">
        <is>
          <t>Los dos días y la revisión previa son plazos que el correo no menciona.</t>
        </is>
      </c>
      <c r="O2079" s="16" t="inlineStr">
        <is>
          <t>SI</t>
        </is>
      </c>
      <c r="P2079" s="16" t="inlineStr">
        <is>
          <t>Basica</t>
        </is>
      </c>
      <c r="Q2079" s="16" t="inlineStr">
        <is>
          <t>v2</t>
        </is>
      </c>
      <c r="R2079" s="16" t="inlineStr">
        <is>
          <t>Aptitudes</t>
        </is>
      </c>
    </row>
    <row r="2080" ht="15" customHeight="1" s="12">
      <c r="A2080" s="16" t="inlineStr">
        <is>
          <t>F255-1</t>
        </is>
      </c>
      <c r="B2080" s="16" t="inlineStr">
        <is>
          <t>comun</t>
        </is>
      </c>
      <c r="C2080" s="16" t="inlineStr">
        <is>
          <t>Lectura crítica</t>
        </is>
      </c>
      <c r="D2080" s="16" t="inlineStr">
        <is>
          <t>C255</t>
        </is>
      </c>
      <c r="E2080" s="16" t="inlineStr">
        <is>
          <t>Lectura crítica</t>
        </is>
      </c>
      <c r="F2080" s="16" t="inlineStr">
        <is>
          <t>Un usuario escribe: «Llevo tres meses esperando la respuesta y nadie me da razón. Ya presenté dos derechos de petición».</t>
        </is>
      </c>
      <c r="G2080" s="16" t="inlineStr">
        <is>
          <t>Lo que el usuario reclama es:</t>
        </is>
      </c>
      <c r="H2080" s="16" t="inlineStr">
        <is>
          <t>Falta de respuesta a lo que ya pidió dos veces</t>
        </is>
      </c>
      <c r="I2080" s="16" t="inlineStr">
        <is>
          <t>Falta de amabilidad de quienes lo han atendido</t>
        </is>
      </c>
      <c r="J2080" s="16" t="inlineStr">
        <is>
          <t>Falta de claridad sobre el trámite que sigue</t>
        </is>
      </c>
      <c r="K2080" s="16" t="inlineStr">
        <is>
          <t>A</t>
        </is>
      </c>
      <c r="L2080" s="16" t="inlineStr">
        <is>
          <t>El reclamo apunta al silencio de la entidad, no al trato ni a la orientación.</t>
        </is>
      </c>
      <c r="M2080" s="16" t="inlineStr">
        <is>
          <t>Ni el trato ni la orientación aparecen en lo que el usuario dice.</t>
        </is>
      </c>
      <c r="O2080" s="16" t="inlineStr">
        <is>
          <t>SI</t>
        </is>
      </c>
      <c r="P2080" s="16" t="inlineStr">
        <is>
          <t>Basica</t>
        </is>
      </c>
      <c r="Q2080" s="16" t="inlineStr">
        <is>
          <t>v2</t>
        </is>
      </c>
      <c r="R2080" s="16" t="inlineStr">
        <is>
          <t>Aptitudes</t>
        </is>
      </c>
    </row>
    <row r="2081" ht="15" customHeight="1" s="12">
      <c r="A2081" s="16" t="inlineStr">
        <is>
          <t>F256-1</t>
        </is>
      </c>
      <c r="B2081" s="16" t="inlineStr">
        <is>
          <t>comun</t>
        </is>
      </c>
      <c r="C2081" s="16" t="inlineStr">
        <is>
          <t>Lectura crítica</t>
        </is>
      </c>
      <c r="D2081" s="16" t="inlineStr">
        <is>
          <t>C256</t>
        </is>
      </c>
      <c r="E2081" s="16" t="inlineStr">
        <is>
          <t>Lectura crítica</t>
        </is>
      </c>
      <c r="F2081" s="16" t="inlineStr">
        <is>
          <t>Nota: «El formulario se diligencia en línea. Quien no tenga acceso a internet puede solicitarlo impreso en la sede».</t>
        </is>
      </c>
      <c r="G2081" s="16" t="inlineStr">
        <is>
          <t>La nota prevé una alternativa para:</t>
        </is>
      </c>
      <c r="H2081" s="16" t="inlineStr">
        <is>
          <t>Quien necesita ayuda para llenar el formulario</t>
        </is>
      </c>
      <c r="I2081" s="16" t="inlineStr">
        <is>
          <t>Quien prefiere el trámite de forma presencial</t>
        </is>
      </c>
      <c r="J2081" s="16" t="inlineStr">
        <is>
          <t>Quien no cuenta con acceso a internet en casa</t>
        </is>
      </c>
      <c r="K2081" s="16" t="inlineStr">
        <is>
          <t>C</t>
        </is>
      </c>
      <c r="L2081" s="16" t="inlineStr">
        <is>
          <t>La alternativa está condicionada a la falta de acceso, no a la preferencia ni a la dificultad.</t>
        </is>
      </c>
      <c r="M2081" s="16" t="inlineStr">
        <is>
          <t>La preferencia por lo presencial y la ayuda para llenarlo no son el supuesto del texto.</t>
        </is>
      </c>
      <c r="O2081" s="16" t="inlineStr">
        <is>
          <t>SI</t>
        </is>
      </c>
      <c r="P2081" s="16" t="inlineStr">
        <is>
          <t>Basica</t>
        </is>
      </c>
      <c r="Q2081" s="16" t="inlineStr">
        <is>
          <t>v2</t>
        </is>
      </c>
      <c r="R2081" s="16" t="inlineStr">
        <is>
          <t>Aptitudes</t>
        </is>
      </c>
    </row>
    <row r="2082" ht="15" customHeight="1" s="12">
      <c r="A2082" s="16" t="inlineStr">
        <is>
          <t>F257-1</t>
        </is>
      </c>
      <c r="B2082" s="16" t="inlineStr">
        <is>
          <t>comun</t>
        </is>
      </c>
      <c r="C2082" s="16" t="inlineStr">
        <is>
          <t>Lectura crítica</t>
        </is>
      </c>
      <c r="D2082" s="16" t="inlineStr">
        <is>
          <t>C257</t>
        </is>
      </c>
      <c r="E2082" s="16" t="inlineStr">
        <is>
          <t>Lectura crítica</t>
        </is>
      </c>
      <c r="F2082" s="16" t="inlineStr">
        <is>
          <t>Informe: «El área cumplió la meta de capacitación: 120 servidores formados frente a los 100 previstos. La evaluación de aprendizaje se aplicará el próximo semestre».</t>
        </is>
      </c>
      <c r="G2082" s="16" t="inlineStr">
        <is>
          <t>Con la información disponible se puede afirmar que:</t>
        </is>
      </c>
      <c r="H2082" s="16" t="inlineStr">
        <is>
          <t>Se superó la meta de cobertura, no la de aprender</t>
        </is>
      </c>
      <c r="I2082" s="16" t="inlineStr">
        <is>
          <t>Se superó la meta y mejoró el aprendizaje en el área</t>
        </is>
      </c>
      <c r="J2082" s="16" t="inlineStr">
        <is>
          <t>No se cumplió la meta porque falta esa evaluación</t>
        </is>
      </c>
      <c r="K2082" s="16" t="inlineStr">
        <is>
          <t>A</t>
        </is>
      </c>
      <c r="L2082" s="16" t="inlineStr">
        <is>
          <t>Lo medido es cuántos se formaron; el aprendizaje todavía no se ha evaluado.</t>
        </is>
      </c>
      <c r="M2082" s="16" t="inlineStr">
        <is>
          <t>Afirmar mejoras de aprendizaje o negar el cumplimiento va más allá del informe.</t>
        </is>
      </c>
      <c r="O2082" s="16" t="inlineStr">
        <is>
          <t>SI</t>
        </is>
      </c>
      <c r="P2082" s="16" t="inlineStr">
        <is>
          <t>Media</t>
        </is>
      </c>
      <c r="Q2082" s="16" t="inlineStr">
        <is>
          <t>v2</t>
        </is>
      </c>
      <c r="R2082" s="16" t="inlineStr">
        <is>
          <t>Aptitudes</t>
        </is>
      </c>
    </row>
    <row r="2083" ht="15" customHeight="1" s="12">
      <c r="A2083" s="16" t="inlineStr">
        <is>
          <t>F258-1</t>
        </is>
      </c>
      <c r="B2083" s="16" t="inlineStr">
        <is>
          <t>comun</t>
        </is>
      </c>
      <c r="C2083" s="16" t="inlineStr">
        <is>
          <t>Razonamiento cuantitativo</t>
        </is>
      </c>
      <c r="D2083" s="16" t="inlineStr">
        <is>
          <t>C258</t>
        </is>
      </c>
      <c r="E2083" s="16" t="inlineStr">
        <is>
          <t>Razonamiento cuantitativo</t>
        </is>
      </c>
      <c r="F2083" s="16" t="inlineStr">
        <is>
          <t>Un equipo debe revisar 150 documentos y lleva revisados 90.</t>
        </is>
      </c>
      <c r="G2083" s="16" t="inlineStr">
        <is>
          <t>El avance es del:</t>
        </is>
      </c>
      <c r="H2083" s="16" t="inlineStr">
        <is>
          <t>60 %</t>
        </is>
      </c>
      <c r="I2083" s="16" t="inlineStr">
        <is>
          <t>55 %</t>
        </is>
      </c>
      <c r="J2083" s="16" t="inlineStr">
        <is>
          <t>65 %</t>
        </is>
      </c>
      <c r="K2083" s="16" t="inlineStr">
        <is>
          <t>A</t>
        </is>
      </c>
      <c r="L2083" s="16" t="inlineStr">
        <is>
          <t>90 sobre 150 equivale a 0,6, es decir 60 %.</t>
        </is>
      </c>
      <c r="M2083" s="16" t="inlineStr">
        <is>
          <t>Los otros valores salen de estimar sin dividir o de usar 160 como total.</t>
        </is>
      </c>
      <c r="O2083" s="16" t="inlineStr">
        <is>
          <t>SI</t>
        </is>
      </c>
      <c r="P2083" s="16" t="inlineStr">
        <is>
          <t>Basica</t>
        </is>
      </c>
      <c r="Q2083" s="16" t="inlineStr">
        <is>
          <t>v2</t>
        </is>
      </c>
      <c r="R2083" s="16" t="inlineStr">
        <is>
          <t>Aptitudes</t>
        </is>
      </c>
    </row>
    <row r="2084" ht="15" customHeight="1" s="12">
      <c r="A2084" s="16" t="inlineStr">
        <is>
          <t>F259-1</t>
        </is>
      </c>
      <c r="B2084" s="16" t="inlineStr">
        <is>
          <t>comun</t>
        </is>
      </c>
      <c r="C2084" s="16" t="inlineStr">
        <is>
          <t>Razonamiento cuantitativo</t>
        </is>
      </c>
      <c r="D2084" s="16" t="inlineStr">
        <is>
          <t>C259</t>
        </is>
      </c>
      <c r="E2084" s="16" t="inlineStr">
        <is>
          <t>Razonamiento cuantitativo</t>
        </is>
      </c>
      <c r="F2084" s="16" t="inlineStr">
        <is>
          <t>Un equipo debe revisar 150 documentos y lleva revisados 90.</t>
        </is>
      </c>
      <c r="G2084" s="16" t="inlineStr">
        <is>
          <t>Para terminar faltan:</t>
        </is>
      </c>
      <c r="H2084" s="16" t="inlineStr">
        <is>
          <t>50 documentos</t>
        </is>
      </c>
      <c r="I2084" s="16" t="inlineStr">
        <is>
          <t>60 documentos</t>
        </is>
      </c>
      <c r="J2084" s="16" t="inlineStr">
        <is>
          <t>70 documentos</t>
        </is>
      </c>
      <c r="K2084" s="16" t="inlineStr">
        <is>
          <t>B</t>
        </is>
      </c>
      <c r="L2084" s="16" t="inlineStr">
        <is>
          <t>150 menos 90 deja 60 documentos.</t>
        </is>
      </c>
      <c r="M2084" s="16" t="inlineStr">
        <is>
          <t>Las otras cifras resultan de restar mal o de confundir el avance con el faltante.</t>
        </is>
      </c>
      <c r="O2084" s="16" t="inlineStr">
        <is>
          <t>SI</t>
        </is>
      </c>
      <c r="P2084" s="16" t="inlineStr">
        <is>
          <t>Basica</t>
        </is>
      </c>
      <c r="Q2084" s="16" t="inlineStr">
        <is>
          <t>v2</t>
        </is>
      </c>
      <c r="R2084" s="16" t="inlineStr">
        <is>
          <t>Aptitudes</t>
        </is>
      </c>
    </row>
    <row r="2085" ht="15" customHeight="1" s="12">
      <c r="A2085" s="16" t="inlineStr">
        <is>
          <t>F260-1</t>
        </is>
      </c>
      <c r="B2085" s="16" t="inlineStr">
        <is>
          <t>comun</t>
        </is>
      </c>
      <c r="C2085" s="16" t="inlineStr">
        <is>
          <t>Razonamiento cuantitativo</t>
        </is>
      </c>
      <c r="D2085" s="16" t="inlineStr">
        <is>
          <t>C260</t>
        </is>
      </c>
      <c r="E2085" s="16" t="inlineStr">
        <is>
          <t>Razonamiento cuantitativo</t>
        </is>
      </c>
      <c r="F2085" s="16" t="inlineStr">
        <is>
          <t>Una oficina de 25 servidores tiene 15 mujeres.</t>
        </is>
      </c>
      <c r="G2085" s="16" t="inlineStr">
        <is>
          <t>La proporción de mujeres es:</t>
        </is>
      </c>
      <c r="H2085" s="16" t="inlineStr">
        <is>
          <t>65 %</t>
        </is>
      </c>
      <c r="I2085" s="16" t="inlineStr">
        <is>
          <t>55 %</t>
        </is>
      </c>
      <c r="J2085" s="16" t="inlineStr">
        <is>
          <t>60 %</t>
        </is>
      </c>
      <c r="K2085" s="16" t="inlineStr">
        <is>
          <t>C</t>
        </is>
      </c>
      <c r="L2085" s="16" t="inlineStr">
        <is>
          <t>15 sobre 25 da 0,6, o sea 60 %.</t>
        </is>
      </c>
      <c r="M2085" s="16" t="inlineStr">
        <is>
          <t>Los otros valores no corresponden a la división exacta de 15 entre 25.</t>
        </is>
      </c>
      <c r="O2085" s="16" t="inlineStr">
        <is>
          <t>SI</t>
        </is>
      </c>
      <c r="P2085" s="16" t="inlineStr">
        <is>
          <t>Basica</t>
        </is>
      </c>
      <c r="Q2085" s="16" t="inlineStr">
        <is>
          <t>v2</t>
        </is>
      </c>
      <c r="R2085" s="16" t="inlineStr">
        <is>
          <t>Aptitudes</t>
        </is>
      </c>
    </row>
    <row r="2086" ht="15" customHeight="1" s="12">
      <c r="A2086" s="16" t="inlineStr">
        <is>
          <t>F261-1</t>
        </is>
      </c>
      <c r="B2086" s="16" t="inlineStr">
        <is>
          <t>comun</t>
        </is>
      </c>
      <c r="C2086" s="16" t="inlineStr">
        <is>
          <t>Razonamiento cuantitativo</t>
        </is>
      </c>
      <c r="D2086" s="16" t="inlineStr">
        <is>
          <t>C261</t>
        </is>
      </c>
      <c r="E2086" s="16" t="inlineStr">
        <is>
          <t>Razonamiento cuantitativo</t>
        </is>
      </c>
      <c r="F2086" s="16" t="inlineStr">
        <is>
          <t>Una oficina de 25 servidores tiene 15 mujeres.</t>
        </is>
      </c>
      <c r="G2086" s="16" t="inlineStr">
        <is>
          <t>Si ingresan 5 hombres, la proporción de mujeres queda en:</t>
        </is>
      </c>
      <c r="H2086" s="16" t="inlineStr">
        <is>
          <t>55 %</t>
        </is>
      </c>
      <c r="I2086" s="16" t="inlineStr">
        <is>
          <t>45 %</t>
        </is>
      </c>
      <c r="J2086" s="16" t="inlineStr">
        <is>
          <t>50 %</t>
        </is>
      </c>
      <c r="K2086" s="16" t="inlineStr">
        <is>
          <t>C</t>
        </is>
      </c>
      <c r="L2086" s="16" t="inlineStr">
        <is>
          <t>La planta pasa a 30 y 15 sobre 30 es 50 %.</t>
        </is>
      </c>
      <c r="M2086" s="16" t="inlineStr">
        <is>
          <t>Los otros suponen que la proporción baja menos o más de lo que el nuevo total indica.</t>
        </is>
      </c>
      <c r="O2086" s="16" t="inlineStr">
        <is>
          <t>SI</t>
        </is>
      </c>
      <c r="P2086" s="16" t="inlineStr">
        <is>
          <t>Media</t>
        </is>
      </c>
      <c r="Q2086" s="16" t="inlineStr">
        <is>
          <t>v2</t>
        </is>
      </c>
      <c r="R2086" s="16" t="inlineStr">
        <is>
          <t>Aptitudes</t>
        </is>
      </c>
    </row>
    <row r="2087" ht="15" customHeight="1" s="12">
      <c r="A2087" s="16" t="inlineStr">
        <is>
          <t>F262-1</t>
        </is>
      </c>
      <c r="B2087" s="16" t="inlineStr">
        <is>
          <t>comun</t>
        </is>
      </c>
      <c r="C2087" s="16" t="inlineStr">
        <is>
          <t>Razonamiento cuantitativo</t>
        </is>
      </c>
      <c r="D2087" s="16" t="inlineStr">
        <is>
          <t>C262</t>
        </is>
      </c>
      <c r="E2087" s="16" t="inlineStr">
        <is>
          <t>Razonamiento cuantitativo</t>
        </is>
      </c>
      <c r="F2087" s="16" t="inlineStr">
        <is>
          <t>Un trámite tarda 45 minutos y se atienden 6 usuarios por jornada de la mañana.</t>
        </is>
      </c>
      <c r="G2087" s="16" t="inlineStr">
        <is>
          <t>El tiempo total de atención de la jornada es:</t>
        </is>
      </c>
      <c r="H2087" s="16" t="inlineStr">
        <is>
          <t>5 horas y 30 minutos</t>
        </is>
      </c>
      <c r="I2087" s="16" t="inlineStr">
        <is>
          <t>4 horas y 15 minutos</t>
        </is>
      </c>
      <c r="J2087" s="16" t="inlineStr">
        <is>
          <t>4 horas y 30 minutos</t>
        </is>
      </c>
      <c r="K2087" s="16" t="inlineStr">
        <is>
          <t>C</t>
        </is>
      </c>
      <c r="L2087" s="16" t="inlineStr">
        <is>
          <t>45 minutos por 6 usuarios son 270 minutos, es decir cuatro horas y media.</t>
        </is>
      </c>
      <c r="M2087" s="16" t="inlineStr">
        <is>
          <t>Las otras cifras redondean mal la conversión de minutos a horas.</t>
        </is>
      </c>
      <c r="O2087" s="16" t="inlineStr">
        <is>
          <t>SI</t>
        </is>
      </c>
      <c r="P2087" s="16" t="inlineStr">
        <is>
          <t>Basica</t>
        </is>
      </c>
      <c r="Q2087" s="16" t="inlineStr">
        <is>
          <t>v2</t>
        </is>
      </c>
      <c r="R2087" s="16" t="inlineStr">
        <is>
          <t>Aptitudes</t>
        </is>
      </c>
    </row>
    <row r="2088" ht="15" customHeight="1" s="12">
      <c r="A2088" s="16" t="inlineStr">
        <is>
          <t>F263-1</t>
        </is>
      </c>
      <c r="B2088" s="16" t="inlineStr">
        <is>
          <t>comun</t>
        </is>
      </c>
      <c r="C2088" s="16" t="inlineStr">
        <is>
          <t>Razonamiento cuantitativo</t>
        </is>
      </c>
      <c r="D2088" s="16" t="inlineStr">
        <is>
          <t>C263</t>
        </is>
      </c>
      <c r="E2088" s="16" t="inlineStr">
        <is>
          <t>Razonamiento cuantitativo</t>
        </is>
      </c>
      <c r="F2088" s="16" t="inlineStr">
        <is>
          <t>Un trámite tarda 45 minutos y se atienden 6 usuarios por jornada de la mañana.</t>
        </is>
      </c>
      <c r="G2088" s="16" t="inlineStr">
        <is>
          <t>Si el trámite se reduce a 30 minutos, en el mismo tiempo se atienden:</t>
        </is>
      </c>
      <c r="H2088" s="16" t="inlineStr">
        <is>
          <t>8 usuarios</t>
        </is>
      </c>
      <c r="I2088" s="16" t="inlineStr">
        <is>
          <t>10 usuarios</t>
        </is>
      </c>
      <c r="J2088" s="16" t="inlineStr">
        <is>
          <t>9 usuarios</t>
        </is>
      </c>
      <c r="K2088" s="16" t="inlineStr">
        <is>
          <t>C</t>
        </is>
      </c>
      <c r="L2088" s="16" t="inlineStr">
        <is>
          <t>270 minutos divididos entre 30 dan 9 usuarios.</t>
        </is>
      </c>
      <c r="M2088" s="16" t="inlineStr">
        <is>
          <t>Los otros resultados no corresponden a dividir el mismo tiempo total entre la nueva duración.</t>
        </is>
      </c>
      <c r="O2088" s="16" t="inlineStr">
        <is>
          <t>SI</t>
        </is>
      </c>
      <c r="P2088" s="16" t="inlineStr">
        <is>
          <t>Media</t>
        </is>
      </c>
      <c r="Q2088" s="16" t="inlineStr">
        <is>
          <t>v2</t>
        </is>
      </c>
      <c r="R2088" s="16" t="inlineStr">
        <is>
          <t>Aptitudes</t>
        </is>
      </c>
    </row>
    <row r="2089" ht="15" customHeight="1" s="12">
      <c r="A2089" s="16" t="inlineStr">
        <is>
          <t>F264-1</t>
        </is>
      </c>
      <c r="B2089" s="16" t="inlineStr">
        <is>
          <t>comun</t>
        </is>
      </c>
      <c r="C2089" s="16" t="inlineStr">
        <is>
          <t>Razonamiento cuantitativo</t>
        </is>
      </c>
      <c r="D2089" s="16" t="inlineStr">
        <is>
          <t>C264</t>
        </is>
      </c>
      <c r="E2089" s="16" t="inlineStr">
        <is>
          <t>Razonamiento cuantitativo</t>
        </is>
      </c>
      <c r="F2089" s="16" t="inlineStr">
        <is>
          <t>Un informe cuesta 18 pesos por página imprimirlo y tiene 240 páginas.</t>
        </is>
      </c>
      <c r="G2089" s="16" t="inlineStr">
        <is>
          <t>Imprimir un ejemplar cuesta:</t>
        </is>
      </c>
      <c r="H2089" s="16" t="inlineStr">
        <is>
          <t>4.320 pesos</t>
        </is>
      </c>
      <c r="I2089" s="16" t="inlineStr">
        <is>
          <t>4.230 pesos</t>
        </is>
      </c>
      <c r="J2089" s="16" t="inlineStr">
        <is>
          <t>4.500 pesos</t>
        </is>
      </c>
      <c r="K2089" s="16" t="inlineStr">
        <is>
          <t>A</t>
        </is>
      </c>
      <c r="L2089" s="16" t="inlineStr">
        <is>
          <t>240 por 18 da 4.320 pesos.</t>
        </is>
      </c>
      <c r="M2089" s="16" t="inlineStr">
        <is>
          <t>Los otros valores salen de invertir cifras o de redondear el costo por página.</t>
        </is>
      </c>
      <c r="O2089" s="16" t="inlineStr">
        <is>
          <t>SI</t>
        </is>
      </c>
      <c r="P2089" s="16" t="inlineStr">
        <is>
          <t>Basica</t>
        </is>
      </c>
      <c r="Q2089" s="16" t="inlineStr">
        <is>
          <t>v2</t>
        </is>
      </c>
      <c r="R2089" s="16" t="inlineStr">
        <is>
          <t>Aptitudes</t>
        </is>
      </c>
    </row>
    <row r="2090" ht="15" customHeight="1" s="12">
      <c r="A2090" s="16" t="inlineStr">
        <is>
          <t>F265-1</t>
        </is>
      </c>
      <c r="B2090" s="16" t="inlineStr">
        <is>
          <t>comun</t>
        </is>
      </c>
      <c r="C2090" s="16" t="inlineStr">
        <is>
          <t>Razonamiento cuantitativo</t>
        </is>
      </c>
      <c r="D2090" s="16" t="inlineStr">
        <is>
          <t>C265</t>
        </is>
      </c>
      <c r="E2090" s="16" t="inlineStr">
        <is>
          <t>Razonamiento cuantitativo</t>
        </is>
      </c>
      <c r="F2090" s="16" t="inlineStr">
        <is>
          <t>Un informe cuesta 18 pesos por página imprimirlo y tiene 240 páginas.</t>
        </is>
      </c>
      <c r="G2090" s="16" t="inlineStr">
        <is>
          <t>Imprimir 15 ejemplares con un descuento del 10 % cuesta:</t>
        </is>
      </c>
      <c r="H2090" s="16" t="inlineStr">
        <is>
          <t>58.320 pesos</t>
        </is>
      </c>
      <c r="I2090" s="16" t="inlineStr">
        <is>
          <t>64.800 pesos</t>
        </is>
      </c>
      <c r="J2090" s="16" t="inlineStr">
        <is>
          <t>55.800 pesos</t>
        </is>
      </c>
      <c r="K2090" s="16" t="inlineStr">
        <is>
          <t>A</t>
        </is>
      </c>
      <c r="L2090" s="16" t="inlineStr">
        <is>
          <t>15 ejemplares valen 64.800 y el descuento de 10 % los deja en 58.320 pesos.</t>
        </is>
      </c>
      <c r="M2090" s="16" t="inlineStr">
        <is>
          <t>Un valor omite el descuento y el otro aplica un descuento mayor al ofrecido.</t>
        </is>
      </c>
      <c r="O2090" s="16" t="inlineStr">
        <is>
          <t>SI</t>
        </is>
      </c>
      <c r="P2090" s="16" t="inlineStr">
        <is>
          <t>Media</t>
        </is>
      </c>
      <c r="Q2090" s="16" t="inlineStr">
        <is>
          <t>v2</t>
        </is>
      </c>
      <c r="R2090" s="16" t="inlineStr">
        <is>
          <t>Aptitudes</t>
        </is>
      </c>
    </row>
    <row r="2091" ht="15" customHeight="1" s="12">
      <c r="A2091" s="16" t="inlineStr">
        <is>
          <t>F266-1</t>
        </is>
      </c>
      <c r="B2091" s="16" t="inlineStr">
        <is>
          <t>comun</t>
        </is>
      </c>
      <c r="C2091" s="16" t="inlineStr">
        <is>
          <t>Análisis de información</t>
        </is>
      </c>
      <c r="D2091" s="16" t="inlineStr">
        <is>
          <t>C266</t>
        </is>
      </c>
      <c r="E2091" s="16" t="inlineStr">
        <is>
          <t>Análisis de información</t>
        </is>
      </c>
      <c r="F2091" s="16" t="inlineStr">
        <is>
          <t>Solicitudes por canal: presencial 240, telefónico 120, correo 90, chat 50.</t>
        </is>
      </c>
      <c r="G2091" s="16" t="inlineStr">
        <is>
          <t>El canal presencial representa del total, aproximadamente:</t>
        </is>
      </c>
      <c r="H2091" s="16" t="inlineStr">
        <is>
          <t>48 %</t>
        </is>
      </c>
      <c r="I2091" s="16" t="inlineStr">
        <is>
          <t>40 %</t>
        </is>
      </c>
      <c r="J2091" s="16" t="inlineStr">
        <is>
          <t>55 %</t>
        </is>
      </c>
      <c r="K2091" s="16" t="inlineStr">
        <is>
          <t>A</t>
        </is>
      </c>
      <c r="L2091" s="16" t="inlineStr">
        <is>
          <t>El total es 500 y 240 sobre 500 da 48 %.</t>
        </is>
      </c>
      <c r="M2091" s="16" t="inlineStr">
        <is>
          <t>Los otros valores salen de sumar mal el total o de estimar a ojo.</t>
        </is>
      </c>
      <c r="O2091" s="16" t="inlineStr">
        <is>
          <t>SI</t>
        </is>
      </c>
      <c r="P2091" s="16" t="inlineStr">
        <is>
          <t>Basica</t>
        </is>
      </c>
      <c r="Q2091" s="16" t="inlineStr">
        <is>
          <t>v2</t>
        </is>
      </c>
      <c r="R2091" s="16" t="inlineStr">
        <is>
          <t>Aptitudes</t>
        </is>
      </c>
    </row>
    <row r="2092" ht="15" customHeight="1" s="12">
      <c r="A2092" s="16" t="inlineStr">
        <is>
          <t>F267-1</t>
        </is>
      </c>
      <c r="B2092" s="16" t="inlineStr">
        <is>
          <t>comun</t>
        </is>
      </c>
      <c r="C2092" s="16" t="inlineStr">
        <is>
          <t>Análisis de información</t>
        </is>
      </c>
      <c r="D2092" s="16" t="inlineStr">
        <is>
          <t>C267</t>
        </is>
      </c>
      <c r="E2092" s="16" t="inlineStr">
        <is>
          <t>Análisis de información</t>
        </is>
      </c>
      <c r="F2092" s="16" t="inlineStr">
        <is>
          <t>Solicitudes por canal: presencial 240, telefónico 120, correo 90, chat 50.</t>
        </is>
      </c>
      <c r="G2092" s="16" t="inlineStr">
        <is>
          <t>Los dos canales menos usados suman:</t>
        </is>
      </c>
      <c r="H2092" s="16" t="inlineStr">
        <is>
          <t>140 solicitudes</t>
        </is>
      </c>
      <c r="I2092" s="16" t="inlineStr">
        <is>
          <t>170 solicitudes</t>
        </is>
      </c>
      <c r="J2092" s="16" t="inlineStr">
        <is>
          <t>210 solicitudes</t>
        </is>
      </c>
      <c r="K2092" s="16" t="inlineStr">
        <is>
          <t>A</t>
        </is>
      </c>
      <c r="L2092" s="16" t="inlineStr">
        <is>
          <t>Correo y chat, que son los de menor volumen, suman 140 solicitudes.</t>
        </is>
      </c>
      <c r="M2092" s="16" t="inlineStr">
        <is>
          <t>Las otras cifras incluyen el canal telefónico, que no está entre los dos menores.</t>
        </is>
      </c>
      <c r="O2092" s="16" t="inlineStr">
        <is>
          <t>SI</t>
        </is>
      </c>
      <c r="P2092" s="16" t="inlineStr">
        <is>
          <t>Basica</t>
        </is>
      </c>
      <c r="Q2092" s="16" t="inlineStr">
        <is>
          <t>v2</t>
        </is>
      </c>
      <c r="R2092" s="16" t="inlineStr">
        <is>
          <t>Aptitudes</t>
        </is>
      </c>
    </row>
    <row r="2093" ht="15" customHeight="1" s="12">
      <c r="A2093" s="16" t="inlineStr">
        <is>
          <t>F268-1</t>
        </is>
      </c>
      <c r="B2093" s="16" t="inlineStr">
        <is>
          <t>comun</t>
        </is>
      </c>
      <c r="C2093" s="16" t="inlineStr">
        <is>
          <t>Análisis de información</t>
        </is>
      </c>
      <c r="D2093" s="16" t="inlineStr">
        <is>
          <t>C268</t>
        </is>
      </c>
      <c r="E2093" s="16" t="inlineStr">
        <is>
          <t>Análisis de información</t>
        </is>
      </c>
      <c r="F2093" s="16" t="inlineStr">
        <is>
          <t>Evaluación de proveedores: A obtuvo 82, B 91 y C 78 sobre 100. El mínimo aceptable es 80.</t>
        </is>
      </c>
      <c r="G2093" s="16" t="inlineStr">
        <is>
          <t>Cumplen el mínimo aceptable:</t>
        </is>
      </c>
      <c r="H2093" s="16" t="inlineStr">
        <is>
          <t>Los proveedores A y B juntos</t>
        </is>
      </c>
      <c r="I2093" s="16" t="inlineStr">
        <is>
          <t>Solo el proveedor B, el mejor</t>
        </is>
      </c>
      <c r="J2093" s="16" t="inlineStr">
        <is>
          <t>Los tres proveedores listados</t>
        </is>
      </c>
      <c r="K2093" s="16" t="inlineStr">
        <is>
          <t>A</t>
        </is>
      </c>
      <c r="L2093" s="16" t="inlineStr">
        <is>
          <t>A con 82 y B con 91 superan el mínimo; C con 78 queda por debajo.</t>
        </is>
      </c>
      <c r="M2093" s="16" t="inlineStr">
        <is>
          <t>Dejar solo a B desconoce que A también cumple, e incluir a los tres ignora el puntaje de C.</t>
        </is>
      </c>
      <c r="O2093" s="16" t="inlineStr">
        <is>
          <t>SI</t>
        </is>
      </c>
      <c r="P2093" s="16" t="inlineStr">
        <is>
          <t>Basica</t>
        </is>
      </c>
      <c r="Q2093" s="16" t="inlineStr">
        <is>
          <t>v2</t>
        </is>
      </c>
      <c r="R2093" s="16" t="inlineStr">
        <is>
          <t>Aptitudes</t>
        </is>
      </c>
    </row>
    <row r="2094" ht="15" customHeight="1" s="12">
      <c r="A2094" s="16" t="inlineStr">
        <is>
          <t>F269-1</t>
        </is>
      </c>
      <c r="B2094" s="16" t="inlineStr">
        <is>
          <t>comun</t>
        </is>
      </c>
      <c r="C2094" s="16" t="inlineStr">
        <is>
          <t>Análisis de información</t>
        </is>
      </c>
      <c r="D2094" s="16" t="inlineStr">
        <is>
          <t>C269</t>
        </is>
      </c>
      <c r="E2094" s="16" t="inlineStr">
        <is>
          <t>Análisis de información</t>
        </is>
      </c>
      <c r="F2094" s="16" t="inlineStr">
        <is>
          <t>Evaluación de proveedores: A obtuvo 82, B 91 y C 78 sobre 100. El mínimo aceptable es 80.</t>
        </is>
      </c>
      <c r="G2094" s="16" t="inlineStr">
        <is>
          <t>El promedio de los tres proveedores es:</t>
        </is>
      </c>
      <c r="H2094" s="16" t="inlineStr">
        <is>
          <t>85,0</t>
        </is>
      </c>
      <c r="I2094" s="16" t="inlineStr">
        <is>
          <t>83,7</t>
        </is>
      </c>
      <c r="J2094" s="16" t="inlineStr">
        <is>
          <t>82,0</t>
        </is>
      </c>
      <c r="K2094" s="16" t="inlineStr">
        <is>
          <t>B</t>
        </is>
      </c>
      <c r="L2094" s="16" t="inlineStr">
        <is>
          <t>La suma 251 dividida entre tres da 83,7.</t>
        </is>
      </c>
      <c r="M2094" s="16" t="inlineStr">
        <is>
          <t>Los otros resultados salen de promediar solo a los que cumplen o de redondear mal.</t>
        </is>
      </c>
      <c r="O2094" s="16" t="inlineStr">
        <is>
          <t>SI</t>
        </is>
      </c>
      <c r="P2094" s="16" t="inlineStr">
        <is>
          <t>Media</t>
        </is>
      </c>
      <c r="Q2094" s="16" t="inlineStr">
        <is>
          <t>v2</t>
        </is>
      </c>
      <c r="R2094" s="16" t="inlineStr">
        <is>
          <t>Aptitudes</t>
        </is>
      </c>
    </row>
    <row r="2095" ht="15" customHeight="1" s="12">
      <c r="A2095" s="16" t="inlineStr">
        <is>
          <t>F270-1</t>
        </is>
      </c>
      <c r="B2095" s="16" t="inlineStr">
        <is>
          <t>comun</t>
        </is>
      </c>
      <c r="C2095" s="16" t="inlineStr">
        <is>
          <t>Análisis de información</t>
        </is>
      </c>
      <c r="D2095" s="16" t="inlineStr">
        <is>
          <t>C270</t>
        </is>
      </c>
      <c r="E2095" s="16" t="inlineStr">
        <is>
          <t>Análisis de información</t>
        </is>
      </c>
      <c r="F2095" s="16" t="inlineStr">
        <is>
          <t>Ejecución mensual: enero 5 %, febrero 8 %, marzo 12 %, abril 15 %.</t>
        </is>
      </c>
      <c r="G2095" s="16" t="inlineStr">
        <is>
          <t>La ejecución acumulada al cierre de abril es:</t>
        </is>
      </c>
      <c r="H2095" s="16" t="inlineStr">
        <is>
          <t>40 %</t>
        </is>
      </c>
      <c r="I2095" s="16" t="inlineStr">
        <is>
          <t>35 %</t>
        </is>
      </c>
      <c r="J2095" s="16" t="inlineStr">
        <is>
          <t>45 %</t>
        </is>
      </c>
      <c r="K2095" s="16" t="inlineStr">
        <is>
          <t>A</t>
        </is>
      </c>
      <c r="L2095" s="16" t="inlineStr">
        <is>
          <t>Los cuatro porcentajes suman 40 %.</t>
        </is>
      </c>
      <c r="M2095" s="16" t="inlineStr">
        <is>
          <t>Los otros valores omiten un mes o suman uno de más.</t>
        </is>
      </c>
      <c r="O2095" s="16" t="inlineStr">
        <is>
          <t>SI</t>
        </is>
      </c>
      <c r="P2095" s="16" t="inlineStr">
        <is>
          <t>Basica</t>
        </is>
      </c>
      <c r="Q2095" s="16" t="inlineStr">
        <is>
          <t>v2</t>
        </is>
      </c>
      <c r="R2095" s="16" t="inlineStr">
        <is>
          <t>Aptitudes</t>
        </is>
      </c>
    </row>
    <row r="2096" ht="15" customHeight="1" s="12">
      <c r="A2096" s="16" t="inlineStr">
        <is>
          <t>F271-1</t>
        </is>
      </c>
      <c r="B2096" s="16" t="inlineStr">
        <is>
          <t>comun</t>
        </is>
      </c>
      <c r="C2096" s="16" t="inlineStr">
        <is>
          <t>Análisis de información</t>
        </is>
      </c>
      <c r="D2096" s="16" t="inlineStr">
        <is>
          <t>C271</t>
        </is>
      </c>
      <c r="E2096" s="16" t="inlineStr">
        <is>
          <t>Análisis de información</t>
        </is>
      </c>
      <c r="F2096" s="16" t="inlineStr">
        <is>
          <t>Ejecución mensual: enero 5 %, febrero 8 %, marzo 12 %, abril 15 %.</t>
        </is>
      </c>
      <c r="G2096" s="16" t="inlineStr">
        <is>
          <t>Para cerrar el año en 100 %, en los ocho meses restantes debe ejecutarse un promedio mensual de:</t>
        </is>
      </c>
      <c r="H2096" s="16" t="inlineStr">
        <is>
          <t>7,5 %</t>
        </is>
      </c>
      <c r="I2096" s="16" t="inlineStr">
        <is>
          <t>6,0 %</t>
        </is>
      </c>
      <c r="J2096" s="16" t="inlineStr">
        <is>
          <t>8,5 %</t>
        </is>
      </c>
      <c r="K2096" s="16" t="inlineStr">
        <is>
          <t>A</t>
        </is>
      </c>
      <c r="L2096" s="16" t="inlineStr">
        <is>
          <t>Falta 60 % en ocho meses, lo que da 7,5 % mensual.</t>
        </is>
      </c>
      <c r="M2096" s="16" t="inlineStr">
        <is>
          <t>Los otros promedios corresponden a repartir el faltante en un número distinto de meses.</t>
        </is>
      </c>
      <c r="O2096" s="16" t="inlineStr">
        <is>
          <t>SI</t>
        </is>
      </c>
      <c r="P2096" s="16" t="inlineStr">
        <is>
          <t>Media</t>
        </is>
      </c>
      <c r="Q2096" s="16" t="inlineStr">
        <is>
          <t>v2</t>
        </is>
      </c>
      <c r="R2096" s="16" t="inlineStr">
        <is>
          <t>Aptitudes</t>
        </is>
      </c>
    </row>
    <row r="2097" ht="15" customHeight="1" s="12">
      <c r="A2097" s="16" t="inlineStr">
        <is>
          <t>F272-1</t>
        </is>
      </c>
      <c r="B2097" s="16" t="inlineStr">
        <is>
          <t>comun</t>
        </is>
      </c>
      <c r="C2097" s="16" t="inlineStr">
        <is>
          <t>Ofimática y gestión documental</t>
        </is>
      </c>
      <c r="D2097" s="16" t="inlineStr">
        <is>
          <t>C272</t>
        </is>
      </c>
      <c r="E2097" s="16" t="inlineStr">
        <is>
          <t>Ofimática y gestión documental</t>
        </is>
      </c>
      <c r="F2097" s="16" t="inlineStr">
        <is>
          <t>Recibe un archivo con extensión .csv.</t>
        </is>
      </c>
      <c r="G2097" s="16" t="inlineStr">
        <is>
          <t>Ese archivo contiene:</t>
        </is>
      </c>
      <c r="H2097" s="16" t="inlineStr">
        <is>
          <t>Un documento con formato de texto y estilos</t>
        </is>
      </c>
      <c r="I2097" s="16" t="inlineStr">
        <is>
          <t>Datos en texto plano separados por comas</t>
        </is>
      </c>
      <c r="J2097" s="16" t="inlineStr">
        <is>
          <t>Una imagen comprimida sin pérdida de datos</t>
        </is>
      </c>
      <c r="K2097" s="16" t="inlineStr">
        <is>
          <t>B</t>
        </is>
      </c>
      <c r="L2097" s="16" t="inlineStr">
        <is>
          <t>El csv guarda datos separados por comas, sin formato ni imágenes.</t>
        </is>
      </c>
      <c r="M2097" s="16" t="inlineStr">
        <is>
          <t>Las otras descripciones corresponden a formatos de imagen y de procesador de texto.</t>
        </is>
      </c>
      <c r="O2097" s="16" t="inlineStr">
        <is>
          <t>SI</t>
        </is>
      </c>
      <c r="P2097" s="16" t="inlineStr">
        <is>
          <t>Basica</t>
        </is>
      </c>
      <c r="Q2097" s="16" t="inlineStr">
        <is>
          <t>v2</t>
        </is>
      </c>
      <c r="R2097" s="16" t="inlineStr">
        <is>
          <t>Aptitudes</t>
        </is>
      </c>
    </row>
    <row r="2098" ht="15" customHeight="1" s="12">
      <c r="A2098" s="16" t="inlineStr">
        <is>
          <t>F273-1</t>
        </is>
      </c>
      <c r="B2098" s="16" t="inlineStr">
        <is>
          <t>comun</t>
        </is>
      </c>
      <c r="C2098" s="16" t="inlineStr">
        <is>
          <t>Ofimática y gestión documental</t>
        </is>
      </c>
      <c r="D2098" s="16" t="inlineStr">
        <is>
          <t>C273</t>
        </is>
      </c>
      <c r="E2098" s="16" t="inlineStr">
        <is>
          <t>Ofimática y gestión documental</t>
        </is>
      </c>
      <c r="F2098" s="16" t="inlineStr">
        <is>
          <t>Debe conservar un documento con su formato para que nadie lo altere al abrirlo.</t>
        </is>
      </c>
      <c r="G2098" s="16" t="inlineStr">
        <is>
          <t>El formato adecuado para enviarlo es:</t>
        </is>
      </c>
      <c r="H2098" s="16" t="inlineStr">
        <is>
          <t>DOCX, que deja ajustar el formato</t>
        </is>
      </c>
      <c r="I2098" s="16" t="inlineStr">
        <is>
          <t>PDF, que conserva la presentación</t>
        </is>
      </c>
      <c r="J2098" s="16" t="inlineStr">
        <is>
          <t>TXT, que reduce el tamaño final</t>
        </is>
      </c>
      <c r="K2098" s="16" t="inlineStr">
        <is>
          <t>B</t>
        </is>
      </c>
      <c r="L2098" s="16" t="inlineStr">
        <is>
          <t>El PDF preserva la apariencia y dificulta la edición accidental.</t>
        </is>
      </c>
      <c r="M2098" s="16" t="inlineStr">
        <is>
          <t>El docx se edita con facilidad y el txt pierde todo el formato.</t>
        </is>
      </c>
      <c r="O2098" s="16" t="inlineStr">
        <is>
          <t>SI</t>
        </is>
      </c>
      <c r="P2098" s="16" t="inlineStr">
        <is>
          <t>Basica</t>
        </is>
      </c>
      <c r="Q2098" s="16" t="inlineStr">
        <is>
          <t>v2</t>
        </is>
      </c>
      <c r="R2098" s="16" t="inlineStr">
        <is>
          <t>Aptitudes</t>
        </is>
      </c>
    </row>
    <row r="2099" ht="15" customHeight="1" s="12">
      <c r="A2099" s="16" t="inlineStr">
        <is>
          <t>F274-1</t>
        </is>
      </c>
      <c r="B2099" s="16" t="inlineStr">
        <is>
          <t>comun</t>
        </is>
      </c>
      <c r="C2099" s="16" t="inlineStr">
        <is>
          <t>Ofimática y gestión documental</t>
        </is>
      </c>
      <c r="D2099" s="16" t="inlineStr">
        <is>
          <t>C274</t>
        </is>
      </c>
      <c r="E2099" s="16" t="inlineStr">
        <is>
          <t>Ofimática y gestión documental</t>
        </is>
      </c>
      <c r="F2099" s="16" t="inlineStr">
        <is>
          <t>Está por eliminar un correo con un archivo que quizá necesite después.</t>
        </is>
      </c>
      <c r="G2099" s="16" t="inlineStr">
        <is>
          <t>Lo prudente antes de borrarlo es:</t>
        </is>
      </c>
      <c r="H2099" s="16" t="inlineStr">
        <is>
          <t>Reenviar el correo a su cuenta personal de uso</t>
        </is>
      </c>
      <c r="I2099" s="16" t="inlineStr">
        <is>
          <t>Guardar el archivo en la carpeta del expediente</t>
        </is>
      </c>
      <c r="J2099" s="16" t="inlineStr">
        <is>
          <t>Imprimir el archivo y archivar la copia en papel</t>
        </is>
      </c>
      <c r="K2099" s="16" t="inlineStr">
        <is>
          <t>B</t>
        </is>
      </c>
      <c r="L2099" s="16" t="inlineStr">
        <is>
          <t>El archivo se conserva donde corresponde al trámite, dentro de los medios de la entidad.</t>
        </is>
      </c>
      <c r="M2099" s="16" t="inlineStr">
        <is>
          <t>Mandarlo a una cuenta personal saca información del control institucional y el papel duplica sin necesidad.</t>
        </is>
      </c>
      <c r="O2099" s="16" t="inlineStr">
        <is>
          <t>SI</t>
        </is>
      </c>
      <c r="P2099" s="16" t="inlineStr">
        <is>
          <t>Basica</t>
        </is>
      </c>
      <c r="Q2099" s="16" t="inlineStr">
        <is>
          <t>v2</t>
        </is>
      </c>
      <c r="R2099" s="16" t="inlineStr">
        <is>
          <t>Aptitudes</t>
        </is>
      </c>
    </row>
    <row r="2100" ht="15" customHeight="1" s="12">
      <c r="A2100" s="16" t="inlineStr">
        <is>
          <t>F275-1</t>
        </is>
      </c>
      <c r="B2100" s="16" t="inlineStr">
        <is>
          <t>comun</t>
        </is>
      </c>
      <c r="C2100" s="16" t="inlineStr">
        <is>
          <t>Ofimática y gestión documental</t>
        </is>
      </c>
      <c r="D2100" s="16" t="inlineStr">
        <is>
          <t>C275</t>
        </is>
      </c>
      <c r="E2100" s="16" t="inlineStr">
        <is>
          <t>Ofimática y gestión documental</t>
        </is>
      </c>
      <c r="F2100" s="16" t="inlineStr">
        <is>
          <t>Debe buscar una palabra dentro de un documento de 80 páginas.</t>
        </is>
      </c>
      <c r="G2100" s="16" t="inlineStr">
        <is>
          <t>Lo más eficiente es usar:</t>
        </is>
      </c>
      <c r="H2100" s="16" t="inlineStr">
        <is>
          <t>La función de búsqueda del editor</t>
        </is>
      </c>
      <c r="I2100" s="16" t="inlineStr">
        <is>
          <t>La vista preliminar de cada página</t>
        </is>
      </c>
      <c r="J2100" s="16" t="inlineStr">
        <is>
          <t>El índice automático del editor</t>
        </is>
      </c>
      <c r="K2100" s="16" t="inlineStr">
        <is>
          <t>A</t>
        </is>
      </c>
      <c r="L2100" s="16" t="inlineStr">
        <is>
          <t>La búsqueda localiza la palabra de inmediato en todo el documento.</t>
        </is>
      </c>
      <c r="M2100" s="16" t="inlineStr">
        <is>
          <t>Revisar página por página toma tiempo y el índice solo recoge los títulos.</t>
        </is>
      </c>
      <c r="O2100" s="16" t="inlineStr">
        <is>
          <t>SI</t>
        </is>
      </c>
      <c r="P2100" s="16" t="inlineStr">
        <is>
          <t>Basica</t>
        </is>
      </c>
      <c r="Q2100" s="16" t="inlineStr">
        <is>
          <t>v2</t>
        </is>
      </c>
      <c r="R2100" s="16" t="inlineStr">
        <is>
          <t>Aptitudes</t>
        </is>
      </c>
    </row>
    <row r="2101" ht="15" customHeight="1" s="12">
      <c r="A2101" s="16" t="inlineStr">
        <is>
          <t>F276-1</t>
        </is>
      </c>
      <c r="B2101" s="16" t="inlineStr">
        <is>
          <t>comun</t>
        </is>
      </c>
      <c r="C2101" s="16" t="inlineStr">
        <is>
          <t>Ofimática y gestión documental</t>
        </is>
      </c>
      <c r="D2101" s="16" t="inlineStr">
        <is>
          <t>C276</t>
        </is>
      </c>
      <c r="E2101" s="16" t="inlineStr">
        <is>
          <t>Ofimática y gestión documental</t>
        </is>
      </c>
      <c r="F2101" s="16" t="inlineStr">
        <is>
          <t>Comparte una carpeta con cinco compañeros para un informe conjunto.</t>
        </is>
      </c>
      <c r="G2101" s="16" t="inlineStr">
        <is>
          <t>Para evitar versiones cruzadas conviene:</t>
        </is>
      </c>
      <c r="H2101" s="16" t="inlineStr">
        <is>
          <t>Trabajar en un solo archivo con control de cambios</t>
        </is>
      </c>
      <c r="I2101" s="16" t="inlineStr">
        <is>
          <t>Que cada uno trabaje su copia y después se consolide</t>
        </is>
      </c>
      <c r="J2101" s="16" t="inlineStr">
        <is>
          <t>Enviar el archivo por correo cada vez que se edite</t>
        </is>
      </c>
      <c r="K2101" s="16" t="inlineStr">
        <is>
          <t>A</t>
        </is>
      </c>
      <c r="L2101" s="16" t="inlineStr">
        <is>
          <t>Un archivo único con control de cambios evita que se pierdan aportes al consolidar.</t>
        </is>
      </c>
      <c r="M2101" s="16" t="inlineStr">
        <is>
          <t>Las copias paralelas y el correo generan versiones que después hay que unir a mano.</t>
        </is>
      </c>
      <c r="O2101" s="16" t="inlineStr">
        <is>
          <t>SI</t>
        </is>
      </c>
      <c r="P2101" s="16" t="inlineStr">
        <is>
          <t>Media</t>
        </is>
      </c>
      <c r="Q2101" s="16" t="inlineStr">
        <is>
          <t>v2</t>
        </is>
      </c>
      <c r="R2101" s="16" t="inlineStr">
        <is>
          <t>Aptitudes</t>
        </is>
      </c>
    </row>
    <row r="2102" ht="15" customHeight="1" s="12">
      <c r="A2102" s="16" t="inlineStr">
        <is>
          <t>F277-1</t>
        </is>
      </c>
      <c r="B2102" s="16" t="inlineStr">
        <is>
          <t>comun</t>
        </is>
      </c>
      <c r="C2102" s="16" t="inlineStr">
        <is>
          <t>Ofimática y gestión documental</t>
        </is>
      </c>
      <c r="D2102" s="16" t="inlineStr">
        <is>
          <t>C277</t>
        </is>
      </c>
      <c r="E2102" s="16" t="inlineStr">
        <is>
          <t>Ofimática y gestión documental</t>
        </is>
      </c>
      <c r="F2102" s="16" t="inlineStr">
        <is>
          <t>Un expediente reúne documentos de 2023, 2024 y 2025.</t>
        </is>
      </c>
      <c r="G2102" s="16" t="inlineStr">
        <is>
          <t>Dentro de la carpeta deben quedar ordenados:</t>
        </is>
      </c>
      <c r="H2102" s="16" t="inlineStr">
        <is>
          <t>Del documento más reciente al más antiguo</t>
        </is>
      </c>
      <c r="I2102" s="16" t="inlineStr">
        <is>
          <t>Separados por año en carpetas independientes</t>
        </is>
      </c>
      <c r="J2102" s="16" t="inlineStr">
        <is>
          <t>Del documento más antiguo al más reciente</t>
        </is>
      </c>
      <c r="K2102" s="16" t="inlineStr">
        <is>
          <t>C</t>
        </is>
      </c>
      <c r="L2102" s="16" t="inlineStr">
        <is>
          <t>El expediente se ordena siguiendo la secuencia del trámite, del primero al último.</t>
        </is>
      </c>
      <c r="M2102" s="16" t="inlineStr">
        <is>
          <t>El orden inverso y la separación por año rompen la continuidad del expediente.</t>
        </is>
      </c>
      <c r="O2102" s="16" t="inlineStr">
        <is>
          <t>SI</t>
        </is>
      </c>
      <c r="P2102" s="16" t="inlineStr">
        <is>
          <t>Media</t>
        </is>
      </c>
      <c r="Q2102" s="16" t="inlineStr">
        <is>
          <t>v2</t>
        </is>
      </c>
      <c r="R2102" s="16" t="inlineStr">
        <is>
          <t>Aptitudes</t>
        </is>
      </c>
    </row>
    <row r="2103" ht="15" customHeight="1" s="12">
      <c r="A2103" s="16" t="inlineStr">
        <is>
          <t>F278-1</t>
        </is>
      </c>
      <c r="B2103" s="16" t="inlineStr">
        <is>
          <t>comun</t>
        </is>
      </c>
      <c r="C2103" s="16" t="inlineStr">
        <is>
          <t>Ofimática y gestión documental</t>
        </is>
      </c>
      <c r="D2103" s="16" t="inlineStr">
        <is>
          <t>C278</t>
        </is>
      </c>
      <c r="E2103" s="16" t="inlineStr">
        <is>
          <t>Ofimática y gestión documental</t>
        </is>
      </c>
      <c r="F2103" s="16" t="inlineStr">
        <is>
          <t>Debe enviar un archivo de 45 megabytes y el correo admite 25.</t>
        </is>
      </c>
      <c r="G2103" s="16" t="inlineStr">
        <is>
          <t>La salida adecuada es:</t>
        </is>
      </c>
      <c r="H2103" s="16" t="inlineStr">
        <is>
          <t>Reducir la calidad del archivo hasta que quepa allí</t>
        </is>
      </c>
      <c r="I2103" s="16" t="inlineStr">
        <is>
          <t>Dividirlo en dos partes y enviarlas en dos correos</t>
        </is>
      </c>
      <c r="J2103" s="16" t="inlineStr">
        <is>
          <t>Subirlo a la nube institucional y mandar el enlace</t>
        </is>
      </c>
      <c r="K2103" s="16" t="inlineStr">
        <is>
          <t>C</t>
        </is>
      </c>
      <c r="L2103" s="16" t="inlineStr">
        <is>
          <t>El enlace a la nube institucional evita partir el archivo y deja trazabilidad del envío.</t>
        </is>
      </c>
      <c r="M2103" s="16" t="inlineStr">
        <is>
          <t>Partirlo complica al destinatario y bajar la calidad puede volverlo inservible.</t>
        </is>
      </c>
      <c r="O2103" s="16" t="inlineStr">
        <is>
          <t>SI</t>
        </is>
      </c>
      <c r="P2103" s="16" t="inlineStr">
        <is>
          <t>Basica</t>
        </is>
      </c>
      <c r="Q2103" s="16" t="inlineStr">
        <is>
          <t>v2</t>
        </is>
      </c>
      <c r="R2103" s="16" t="inlineStr">
        <is>
          <t>Aptitudes</t>
        </is>
      </c>
    </row>
    <row r="2104" ht="15" customHeight="1" s="12">
      <c r="A2104" s="16" t="inlineStr">
        <is>
          <t>F279-1</t>
        </is>
      </c>
      <c r="B2104" s="16" t="inlineStr">
        <is>
          <t>comun</t>
        </is>
      </c>
      <c r="C2104" s="16" t="inlineStr">
        <is>
          <t>Ofimática y gestión documental</t>
        </is>
      </c>
      <c r="D2104" s="16" t="inlineStr">
        <is>
          <t>C279</t>
        </is>
      </c>
      <c r="E2104" s="16" t="inlineStr">
        <is>
          <t>Ofimática y gestión documental</t>
        </is>
      </c>
      <c r="F2104" s="16" t="inlineStr">
        <is>
          <t>Necesita que una tabla de datos quede visible su primera fila al desplazarse.</t>
        </is>
      </c>
      <c r="G2104" s="16" t="inlineStr">
        <is>
          <t>En la hoja de cálculo debe:</t>
        </is>
      </c>
      <c r="H2104" s="16" t="inlineStr">
        <is>
          <t>Ocultar las filas que no está revisando</t>
        </is>
      </c>
      <c r="I2104" s="16" t="inlineStr">
        <is>
          <t>Inmovilizar la fila superior de la hoja</t>
        </is>
      </c>
      <c r="J2104" s="16" t="inlineStr">
        <is>
          <t>Aplicar un filtro sobre toda la tabla</t>
        </is>
      </c>
      <c r="K2104" s="16" t="inlineStr">
        <is>
          <t>B</t>
        </is>
      </c>
      <c r="L2104" s="16" t="inlineStr">
        <is>
          <t>Inmovilizar paneles mantiene visibles los encabezados al desplazarse.</t>
        </is>
      </c>
      <c r="M2104" s="16" t="inlineStr">
        <is>
          <t>Ocultar filas esconde información y el filtro no fija los encabezados en pantalla.</t>
        </is>
      </c>
      <c r="O2104" s="16" t="inlineStr">
        <is>
          <t>SI</t>
        </is>
      </c>
      <c r="P2104" s="16" t="inlineStr">
        <is>
          <t>Basica</t>
        </is>
      </c>
      <c r="Q2104" s="16" t="inlineStr">
        <is>
          <t>v2</t>
        </is>
      </c>
      <c r="R2104" s="16" t="inlineStr">
        <is>
          <t>Aptitudes</t>
        </is>
      </c>
    </row>
    <row r="2105" ht="15" customHeight="1" s="12">
      <c r="A2105" s="16" t="inlineStr">
        <is>
          <t>F280-1</t>
        </is>
      </c>
      <c r="B2105" s="16" t="inlineStr">
        <is>
          <t>comun</t>
        </is>
      </c>
      <c r="C2105" s="16" t="inlineStr">
        <is>
          <t>Lectura crítica</t>
        </is>
      </c>
      <c r="D2105" s="16" t="inlineStr">
        <is>
          <t>C280</t>
        </is>
      </c>
      <c r="E2105" s="16" t="inlineStr">
        <is>
          <t>Lectura crítica</t>
        </is>
      </c>
      <c r="F2105" s="16" t="inlineStr">
        <is>
          <t>Memorando: «A partir del lunes, las salidas de comisión requieren autorización previa del jefe de área. Las comisiones ya autorizadas antes de esta fecha mantienen su trámite».</t>
        </is>
      </c>
      <c r="G2105" s="16" t="inlineStr">
        <is>
          <t>Una comisión autorizada el viernes anterior:</t>
        </is>
      </c>
      <c r="H2105" s="16" t="inlineStr">
        <is>
          <t>Requiere la nueva autorización previa del jefe</t>
        </is>
      </c>
      <c r="I2105" s="16" t="inlineStr">
        <is>
          <t>Sigue su trámite sin la autorización nueva ya</t>
        </is>
      </c>
      <c r="J2105" s="16" t="inlineStr">
        <is>
          <t>Queda sin efecto hasta que el jefe la confirme</t>
        </is>
      </c>
      <c r="K2105" s="16" t="inlineStr">
        <is>
          <t>B</t>
        </is>
      </c>
      <c r="L2105" s="16" t="inlineStr">
        <is>
          <t>El memorando respeta lo ya autorizado y solo exige el nuevo requisito hacia adelante.</t>
        </is>
      </c>
      <c r="M2105" s="16" t="inlineStr">
        <is>
          <t>Exigir de nuevo la autorización o dejarla sin efecto desconoce la salvedad del texto.</t>
        </is>
      </c>
      <c r="O2105" s="16" t="inlineStr">
        <is>
          <t>SI</t>
        </is>
      </c>
      <c r="P2105" s="16" t="inlineStr">
        <is>
          <t>Media</t>
        </is>
      </c>
      <c r="Q2105" s="16" t="inlineStr">
        <is>
          <t>v2</t>
        </is>
      </c>
      <c r="R2105" s="16" t="inlineStr">
        <is>
          <t>Aptitudes</t>
        </is>
      </c>
    </row>
    <row r="2106" ht="15" customHeight="1" s="12">
      <c r="A2106" s="16" t="inlineStr">
        <is>
          <t>F281-1</t>
        </is>
      </c>
      <c r="B2106" s="16" t="inlineStr">
        <is>
          <t>comun</t>
        </is>
      </c>
      <c r="C2106" s="16" t="inlineStr">
        <is>
          <t>Lectura crítica</t>
        </is>
      </c>
      <c r="D2106" s="16" t="inlineStr">
        <is>
          <t>C281</t>
        </is>
      </c>
      <c r="E2106" s="16" t="inlineStr">
        <is>
          <t>Lectura crítica</t>
        </is>
      </c>
      <c r="F2106" s="16" t="inlineStr">
        <is>
          <t>Memorando: «A partir del lunes, las salidas de comisión requieren autorización previa del jefe de área. Las comisiones ya autorizadas antes de esta fecha mantienen su trámite».</t>
        </is>
      </c>
      <c r="G2106" s="16" t="inlineStr">
        <is>
          <t>El memorando introduce un requisito que es:</t>
        </is>
      </c>
      <c r="H2106" s="16" t="inlineStr">
        <is>
          <t>Simultáneo con la solicitud de los viáticos</t>
        </is>
      </c>
      <c r="I2106" s="16" t="inlineStr">
        <is>
          <t>Posterior al regreso de la comisión oficial</t>
        </is>
      </c>
      <c r="J2106" s="16" t="inlineStr">
        <is>
          <t>Previo a la salida de comisión del servidor</t>
        </is>
      </c>
      <c r="K2106" s="16" t="inlineStr">
        <is>
          <t>C</t>
        </is>
      </c>
      <c r="L2106" s="16" t="inlineStr">
        <is>
          <t>La autorización se exige antes de la salida, no después ni junto al pago.</t>
        </is>
      </c>
      <c r="M2106" s="16" t="inlineStr">
        <is>
          <t>Las otras dos ubican el requisito en momentos que el texto no menciona.</t>
        </is>
      </c>
      <c r="O2106" s="16" t="inlineStr">
        <is>
          <t>SI</t>
        </is>
      </c>
      <c r="P2106" s="16" t="inlineStr">
        <is>
          <t>Basica</t>
        </is>
      </c>
      <c r="Q2106" s="16" t="inlineStr">
        <is>
          <t>v2</t>
        </is>
      </c>
      <c r="R2106" s="16" t="inlineStr">
        <is>
          <t>Aptitudes</t>
        </is>
      </c>
    </row>
    <row r="2107" ht="15" customHeight="1" s="12">
      <c r="A2107" s="16" t="inlineStr">
        <is>
          <t>F282-1</t>
        </is>
      </c>
      <c r="B2107" s="16" t="inlineStr">
        <is>
          <t>comun</t>
        </is>
      </c>
      <c r="C2107" s="16" t="inlineStr">
        <is>
          <t>Lectura crítica</t>
        </is>
      </c>
      <c r="D2107" s="16" t="inlineStr">
        <is>
          <t>C282</t>
        </is>
      </c>
      <c r="E2107" s="16" t="inlineStr">
        <is>
          <t>Lectura crítica</t>
        </is>
      </c>
      <c r="F2107" s="16" t="inlineStr">
        <is>
          <t>Un usuario afirma: «Me negaron el servicio porque el sistema estaba caído. Si el sistema hubiera funcionado, me habrían atendido; por tanto, la culpa es del proveedor del sistema».</t>
        </is>
      </c>
      <c r="G2107" s="16" t="inlineStr">
        <is>
          <t>El salto en el razonamiento del usuario está en que:</t>
        </is>
      </c>
      <c r="H2107" s="16" t="inlineStr">
        <is>
          <t>Confunde la caída del sistema con una falla del proveedor</t>
        </is>
      </c>
      <c r="I2107" s="16" t="inlineStr">
        <is>
          <t>Da por hecho que sin sistema no había forma de atenderlo</t>
        </is>
      </c>
      <c r="J2107" s="16" t="inlineStr">
        <is>
          <t>Supone que el proveedor responde por el servicio negado</t>
        </is>
      </c>
      <c r="K2107" s="16" t="inlineStr">
        <is>
          <t>B</t>
        </is>
      </c>
      <c r="L2107" s="16" t="inlineStr">
        <is>
          <t>El argumento asume que la atención dependía por completo del sistema, sin considerar alternativas manuales.</t>
        </is>
      </c>
      <c r="M2107" s="16" t="inlineStr">
        <is>
          <t>Las otras dos señalan aspectos del reclamo, pero el salto está en el supuesto de la única vía.</t>
        </is>
      </c>
      <c r="O2107" s="16" t="inlineStr">
        <is>
          <t>SI</t>
        </is>
      </c>
      <c r="P2107" s="16" t="inlineStr">
        <is>
          <t>Alta</t>
        </is>
      </c>
      <c r="Q2107" s="16" t="inlineStr">
        <is>
          <t>v2</t>
        </is>
      </c>
      <c r="R2107" s="16" t="inlineStr">
        <is>
          <t>Aptitudes</t>
        </is>
      </c>
    </row>
    <row r="2108" ht="15" customHeight="1" s="12">
      <c r="A2108" s="16" t="inlineStr">
        <is>
          <t>F283-1</t>
        </is>
      </c>
      <c r="B2108" s="16" t="inlineStr">
        <is>
          <t>comun</t>
        </is>
      </c>
      <c r="C2108" s="16" t="inlineStr">
        <is>
          <t>Lectura crítica</t>
        </is>
      </c>
      <c r="D2108" s="16" t="inlineStr">
        <is>
          <t>C283</t>
        </is>
      </c>
      <c r="E2108" s="16" t="inlineStr">
        <is>
          <t>Lectura crítica</t>
        </is>
      </c>
      <c r="F2108" s="16" t="inlineStr">
        <is>
          <t>Un usuario afirma: «Me negaron el servicio porque el sistema estaba caído. Si el sistema hubiera funcionado, me habrían atendido; por tanto, la culpa es del proveedor del sistema».</t>
        </is>
      </c>
      <c r="G2108" s="16" t="inlineStr">
        <is>
          <t>La respuesta institucional adecuada empieza por:</t>
        </is>
      </c>
      <c r="H2108" s="16" t="inlineStr">
        <is>
          <t>Explicar que el proveedor es quien responde por eso</t>
        </is>
      </c>
      <c r="I2108" s="16" t="inlineStr">
        <is>
          <t>Verificar si existía un plan de contingencia previo</t>
        </is>
      </c>
      <c r="J2108" s="16" t="inlineStr">
        <is>
          <t>Aclarar que la atención no se negó, sino que esperó</t>
        </is>
      </c>
      <c r="K2108" s="16" t="inlineStr">
        <is>
          <t>B</t>
        </is>
      </c>
      <c r="L2108" s="16" t="inlineStr">
        <is>
          <t>Lo primero es revisar si había plan de contingencia, que es lo que estaba en manos de la entidad.</t>
        </is>
      </c>
      <c r="M2108" s="16" t="inlineStr">
        <is>
          <t>Trasladar la culpa al proveedor o discutir el nombre de lo ocurrido no resuelve el reclamo.</t>
        </is>
      </c>
      <c r="O2108" s="16" t="inlineStr">
        <is>
          <t>SI</t>
        </is>
      </c>
      <c r="P2108" s="16" t="inlineStr">
        <is>
          <t>Media</t>
        </is>
      </c>
      <c r="Q2108" s="16" t="inlineStr">
        <is>
          <t>v2</t>
        </is>
      </c>
      <c r="R2108" s="16" t="inlineStr">
        <is>
          <t>Aptitudes</t>
        </is>
      </c>
    </row>
    <row r="2109" ht="15" customHeight="1" s="12">
      <c r="A2109" s="16" t="inlineStr">
        <is>
          <t>F284-1</t>
        </is>
      </c>
      <c r="B2109" s="16" t="inlineStr">
        <is>
          <t>comun</t>
        </is>
      </c>
      <c r="C2109" s="16" t="inlineStr">
        <is>
          <t>Lectura crítica</t>
        </is>
      </c>
      <c r="D2109" s="16" t="inlineStr">
        <is>
          <t>C284</t>
        </is>
      </c>
      <c r="E2109" s="16" t="inlineStr">
        <is>
          <t>Lectura crítica</t>
        </is>
      </c>
      <c r="F2109" s="16" t="inlineStr">
        <is>
          <t>Informe: «La percepción de corrupción bajó del 41 % al 33 %. La encuesta cambió este año de aplicación telefónica a aplicación en línea».</t>
        </is>
      </c>
      <c r="G2109" s="16" t="inlineStr">
        <is>
          <t>La comparación entre los dos años:</t>
        </is>
      </c>
      <c r="H2109" s="16" t="inlineStr">
        <is>
          <t>Es válida, pero la baja de ocho puntos es pequeña</t>
        </is>
      </c>
      <c r="I2109" s="16" t="inlineStr">
        <is>
          <t>Es válida porque se preguntó igual en los dos años</t>
        </is>
      </c>
      <c r="J2109" s="16" t="inlineStr">
        <is>
          <t>Puede no ser válida: cambió la forma de aplicarla</t>
        </is>
      </c>
      <c r="K2109" s="16" t="inlineStr">
        <is>
          <t>C</t>
        </is>
      </c>
      <c r="L2109" s="16" t="inlineStr">
        <is>
          <t>Cambiar el modo de aplicación cambia quién responde, así que la serie puede no ser comparable.</t>
        </is>
      </c>
      <c r="M2109" s="16" t="inlineStr">
        <is>
          <t>Suponer validez por la pregunta idéntica o discutir el tamaño de la baja pasa por alto el cambio de método.</t>
        </is>
      </c>
      <c r="O2109" s="16" t="inlineStr">
        <is>
          <t>SI</t>
        </is>
      </c>
      <c r="P2109" s="16" t="inlineStr">
        <is>
          <t>Alta</t>
        </is>
      </c>
      <c r="Q2109" s="16" t="inlineStr">
        <is>
          <t>v2</t>
        </is>
      </c>
      <c r="R2109" s="16" t="inlineStr">
        <is>
          <t>Aptitudes</t>
        </is>
      </c>
    </row>
    <row r="2110" ht="15" customHeight="1" s="12">
      <c r="A2110" s="16" t="inlineStr">
        <is>
          <t>F285-1</t>
        </is>
      </c>
      <c r="B2110" s="16" t="inlineStr">
        <is>
          <t>comun</t>
        </is>
      </c>
      <c r="C2110" s="16" t="inlineStr">
        <is>
          <t>Lectura crítica</t>
        </is>
      </c>
      <c r="D2110" s="16" t="inlineStr">
        <is>
          <t>C285</t>
        </is>
      </c>
      <c r="E2110" s="16" t="inlineStr">
        <is>
          <t>Lectura crítica</t>
        </is>
      </c>
      <c r="F2110" s="16" t="inlineStr">
        <is>
          <t>Informe: «La percepción de corrupción bajó del 41 % al 33 %. La encuesta cambió este año de aplicación telefónica a aplicación en línea».</t>
        </is>
      </c>
      <c r="G2110" s="16" t="inlineStr">
        <is>
          <t>Para poder comparar habría que:</t>
        </is>
      </c>
      <c r="H2110" s="16" t="inlineStr">
        <is>
          <t>Reportar solo el dato del año más reciente medido</t>
        </is>
      </c>
      <c r="I2110" s="16" t="inlineStr">
        <is>
          <t>Repetir la encuesta telefónica con más entrevistados</t>
        </is>
      </c>
      <c r="J2110" s="16" t="inlineStr">
        <is>
          <t>Aplicar los dos modos un año y medir la diferencia</t>
        </is>
      </c>
      <c r="K2110" s="16" t="inlineStr">
        <is>
          <t>C</t>
        </is>
      </c>
      <c r="L2110" s="16" t="inlineStr">
        <is>
          <t>Aplicar ambos modos en paralelo permite estimar cuánto del cambio viene del método.</t>
        </is>
      </c>
      <c r="M2110" s="16" t="inlineStr">
        <is>
          <t>Ampliar la muestra telefónica o publicar un solo dato no resuelve la comparabilidad.</t>
        </is>
      </c>
      <c r="O2110" s="16" t="inlineStr">
        <is>
          <t>SI</t>
        </is>
      </c>
      <c r="P2110" s="16" t="inlineStr">
        <is>
          <t>Media</t>
        </is>
      </c>
      <c r="Q2110" s="16" t="inlineStr">
        <is>
          <t>v2</t>
        </is>
      </c>
      <c r="R2110" s="16" t="inlineStr">
        <is>
          <t>Aptitudes</t>
        </is>
      </c>
    </row>
    <row r="2111" ht="15" customHeight="1" s="12">
      <c r="A2111" s="16" t="inlineStr">
        <is>
          <t>F286-1</t>
        </is>
      </c>
      <c r="B2111" s="16" t="inlineStr">
        <is>
          <t>comun</t>
        </is>
      </c>
      <c r="C2111" s="16" t="inlineStr">
        <is>
          <t>Razonamiento cuantitativo</t>
        </is>
      </c>
      <c r="D2111" s="16" t="inlineStr">
        <is>
          <t>C286</t>
        </is>
      </c>
      <c r="E2111" s="16" t="inlineStr">
        <is>
          <t>Razonamiento cuantitativo</t>
        </is>
      </c>
      <c r="F2111" s="16" t="inlineStr">
        <is>
          <t>Tres servidores digitalizan 480 folios en 4 horas trabajando al mismo ritmo.</t>
        </is>
      </c>
      <c r="G2111" s="16" t="inlineStr">
        <is>
          <t>Cuatro servidores, al mismo ritmo, digitalizan en 4 horas:</t>
        </is>
      </c>
      <c r="H2111" s="16" t="inlineStr">
        <is>
          <t>600 folios</t>
        </is>
      </c>
      <c r="I2111" s="16" t="inlineStr">
        <is>
          <t>640 folios</t>
        </is>
      </c>
      <c r="J2111" s="16" t="inlineStr">
        <is>
          <t>560 folios</t>
        </is>
      </c>
      <c r="K2111" s="16" t="inlineStr">
        <is>
          <t>B</t>
        </is>
      </c>
      <c r="L2111" s="16" t="inlineStr">
        <is>
          <t>Cada uno hace 40 folios por hora, así que cuatro hacen 160 por hora y 640 en cuatro horas.</t>
        </is>
      </c>
      <c r="M2111" s="16" t="inlineStr">
        <is>
          <t>Las otras cifras suponen que el rendimiento por persona cambia al sumar una más.</t>
        </is>
      </c>
      <c r="O2111" s="16" t="inlineStr">
        <is>
          <t>SI</t>
        </is>
      </c>
      <c r="P2111" s="16" t="inlineStr">
        <is>
          <t>Media</t>
        </is>
      </c>
      <c r="Q2111" s="16" t="inlineStr">
        <is>
          <t>v2</t>
        </is>
      </c>
      <c r="R2111" s="16" t="inlineStr">
        <is>
          <t>Aptitudes</t>
        </is>
      </c>
    </row>
    <row r="2112" ht="15" customHeight="1" s="12">
      <c r="A2112" s="16" t="inlineStr">
        <is>
          <t>F287-1</t>
        </is>
      </c>
      <c r="B2112" s="16" t="inlineStr">
        <is>
          <t>comun</t>
        </is>
      </c>
      <c r="C2112" s="16" t="inlineStr">
        <is>
          <t>Razonamiento cuantitativo</t>
        </is>
      </c>
      <c r="D2112" s="16" t="inlineStr">
        <is>
          <t>C287</t>
        </is>
      </c>
      <c r="E2112" s="16" t="inlineStr">
        <is>
          <t>Razonamiento cuantitativo</t>
        </is>
      </c>
      <c r="F2112" s="16" t="inlineStr">
        <is>
          <t>Tres servidores digitalizan 480 folios en 4 horas trabajando al mismo ritmo.</t>
        </is>
      </c>
      <c r="G2112" s="16" t="inlineStr">
        <is>
          <t>Para digitalizar 1.200 folios en una jornada de 5 horas se necesitan:</t>
        </is>
      </c>
      <c r="H2112" s="16" t="inlineStr">
        <is>
          <t>5 servidores</t>
        </is>
      </c>
      <c r="I2112" s="16" t="inlineStr">
        <is>
          <t>6 servidores</t>
        </is>
      </c>
      <c r="J2112" s="16" t="inlineStr">
        <is>
          <t>7 servidores</t>
        </is>
      </c>
      <c r="K2112" s="16" t="inlineStr">
        <is>
          <t>B</t>
        </is>
      </c>
      <c r="L2112" s="16" t="inlineStr">
        <is>
          <t>A 40 folios por hora, cada servidor hace 200 en cinco horas; 1.200 entre 200 da 6.</t>
        </is>
      </c>
      <c r="M2112" s="16" t="inlineStr">
        <is>
          <t>Las otras cifras salen de usar el ritmo del grupo y no el individual.</t>
        </is>
      </c>
      <c r="O2112" s="16" t="inlineStr">
        <is>
          <t>SI</t>
        </is>
      </c>
      <c r="P2112" s="16" t="inlineStr">
        <is>
          <t>Alta</t>
        </is>
      </c>
      <c r="Q2112" s="16" t="inlineStr">
        <is>
          <t>v2</t>
        </is>
      </c>
      <c r="R2112" s="16" t="inlineStr">
        <is>
          <t>Aptitudes</t>
        </is>
      </c>
    </row>
    <row r="2113" ht="15" customHeight="1" s="12">
      <c r="A2113" s="16" t="inlineStr">
        <is>
          <t>F288-1</t>
        </is>
      </c>
      <c r="B2113" s="16" t="inlineStr">
        <is>
          <t>comun</t>
        </is>
      </c>
      <c r="C2113" s="16" t="inlineStr">
        <is>
          <t>Razonamiento cuantitativo</t>
        </is>
      </c>
      <c r="D2113" s="16" t="inlineStr">
        <is>
          <t>C288</t>
        </is>
      </c>
      <c r="E2113" s="16" t="inlineStr">
        <is>
          <t>Razonamiento cuantitativo</t>
        </is>
      </c>
      <c r="F2113" s="16" t="inlineStr">
        <is>
          <t>Un presupuesto de 120 millones se reparte en tres rubros en razón 5 : 3 : 2.</t>
        </is>
      </c>
      <c r="G2113" s="16" t="inlineStr">
        <is>
          <t>El rubro mayor recibe:</t>
        </is>
      </c>
      <c r="H2113" s="16" t="inlineStr">
        <is>
          <t>50 millones</t>
        </is>
      </c>
      <c r="I2113" s="16" t="inlineStr">
        <is>
          <t>60 millones</t>
        </is>
      </c>
      <c r="J2113" s="16" t="inlineStr">
        <is>
          <t>65 millones</t>
        </is>
      </c>
      <c r="K2113" s="16" t="inlineStr">
        <is>
          <t>B</t>
        </is>
      </c>
      <c r="L2113" s="16" t="inlineStr">
        <is>
          <t>Las partes suman 10; cinco décimos de 120 millones son 60 millones.</t>
        </is>
      </c>
      <c r="M2113" s="16" t="inlineStr">
        <is>
          <t>Los otros valores salen de repartir por partes iguales o de sumar mal las partes.</t>
        </is>
      </c>
      <c r="O2113" s="16" t="inlineStr">
        <is>
          <t>SI</t>
        </is>
      </c>
      <c r="P2113" s="16" t="inlineStr">
        <is>
          <t>Media</t>
        </is>
      </c>
      <c r="Q2113" s="16" t="inlineStr">
        <is>
          <t>v2</t>
        </is>
      </c>
      <c r="R2113" s="16" t="inlineStr">
        <is>
          <t>Aptitudes</t>
        </is>
      </c>
    </row>
    <row r="2114" ht="15" customHeight="1" s="12">
      <c r="A2114" s="16" t="inlineStr">
        <is>
          <t>F289-1</t>
        </is>
      </c>
      <c r="B2114" s="16" t="inlineStr">
        <is>
          <t>comun</t>
        </is>
      </c>
      <c r="C2114" s="16" t="inlineStr">
        <is>
          <t>Razonamiento cuantitativo</t>
        </is>
      </c>
      <c r="D2114" s="16" t="inlineStr">
        <is>
          <t>C289</t>
        </is>
      </c>
      <c r="E2114" s="16" t="inlineStr">
        <is>
          <t>Razonamiento cuantitativo</t>
        </is>
      </c>
      <c r="F2114" s="16" t="inlineStr">
        <is>
          <t>Un presupuesto de 120 millones se reparte en tres rubros en razón 5 : 3 : 2.</t>
        </is>
      </c>
      <c r="G2114" s="16" t="inlineStr">
        <is>
          <t>La diferencia entre el rubro mayor y el menor es:</t>
        </is>
      </c>
      <c r="H2114" s="16" t="inlineStr">
        <is>
          <t>36 millones</t>
        </is>
      </c>
      <c r="I2114" s="16" t="inlineStr">
        <is>
          <t>24 millones</t>
        </is>
      </c>
      <c r="J2114" s="16" t="inlineStr">
        <is>
          <t>40 millones</t>
        </is>
      </c>
      <c r="K2114" s="16" t="inlineStr">
        <is>
          <t>A</t>
        </is>
      </c>
      <c r="L2114" s="16" t="inlineStr">
        <is>
          <t>El mayor recibe 60 y el menor 24; la diferencia es 36 millones.</t>
        </is>
      </c>
      <c r="M2114" s="16" t="inlineStr">
        <is>
          <t>Un valor corresponde al rubro menor y el otro a una resta con proporciones equivocadas.</t>
        </is>
      </c>
      <c r="O2114" s="16" t="inlineStr">
        <is>
          <t>SI</t>
        </is>
      </c>
      <c r="P2114" s="16" t="inlineStr">
        <is>
          <t>Alta</t>
        </is>
      </c>
      <c r="Q2114" s="16" t="inlineStr">
        <is>
          <t>v2</t>
        </is>
      </c>
      <c r="R2114" s="16" t="inlineStr">
        <is>
          <t>Aptitudes</t>
        </is>
      </c>
    </row>
    <row r="2115" ht="15" customHeight="1" s="12">
      <c r="A2115" s="16" t="inlineStr">
        <is>
          <t>F290-1</t>
        </is>
      </c>
      <c r="B2115" s="16" t="inlineStr">
        <is>
          <t>comun</t>
        </is>
      </c>
      <c r="C2115" s="16" t="inlineStr">
        <is>
          <t>Razonamiento cuantitativo</t>
        </is>
      </c>
      <c r="D2115" s="16" t="inlineStr">
        <is>
          <t>C290</t>
        </is>
      </c>
      <c r="E2115" s="16" t="inlineStr">
        <is>
          <t>Razonamiento cuantitativo</t>
        </is>
      </c>
      <c r="F2115" s="16" t="inlineStr">
        <is>
          <t>Una meta anual de 4.800 atenciones se cumple de manera uniforme cada mes.</t>
        </is>
      </c>
      <c r="G2115" s="16" t="inlineStr">
        <is>
          <t>La meta mensual es de:</t>
        </is>
      </c>
      <c r="H2115" s="16" t="inlineStr">
        <is>
          <t>400 atenciones</t>
        </is>
      </c>
      <c r="I2115" s="16" t="inlineStr">
        <is>
          <t>480 atenciones</t>
        </is>
      </c>
      <c r="J2115" s="16" t="inlineStr">
        <is>
          <t>360 atenciones</t>
        </is>
      </c>
      <c r="K2115" s="16" t="inlineStr">
        <is>
          <t>A</t>
        </is>
      </c>
      <c r="L2115" s="16" t="inlineStr">
        <is>
          <t>4.800 dividido entre 12 meses da 400 atenciones mensuales.</t>
        </is>
      </c>
      <c r="M2115" s="16" t="inlineStr">
        <is>
          <t>Las otras cifras salen de dividir entre 10 o de estimar sin calcular.</t>
        </is>
      </c>
      <c r="O2115" s="16" t="inlineStr">
        <is>
          <t>SI</t>
        </is>
      </c>
      <c r="P2115" s="16" t="inlineStr">
        <is>
          <t>Basica</t>
        </is>
      </c>
      <c r="Q2115" s="16" t="inlineStr">
        <is>
          <t>v2</t>
        </is>
      </c>
      <c r="R2115" s="16" t="inlineStr">
        <is>
          <t>Aptitudes</t>
        </is>
      </c>
    </row>
    <row r="2116" ht="15" customHeight="1" s="12">
      <c r="A2116" s="16" t="inlineStr">
        <is>
          <t>F291-1</t>
        </is>
      </c>
      <c r="B2116" s="16" t="inlineStr">
        <is>
          <t>comun</t>
        </is>
      </c>
      <c r="C2116" s="16" t="inlineStr">
        <is>
          <t>Razonamiento cuantitativo</t>
        </is>
      </c>
      <c r="D2116" s="16" t="inlineStr">
        <is>
          <t>C291</t>
        </is>
      </c>
      <c r="E2116" s="16" t="inlineStr">
        <is>
          <t>Razonamiento cuantitativo</t>
        </is>
      </c>
      <c r="F2116" s="16" t="inlineStr">
        <is>
          <t>Una meta anual de 4.800 atenciones se cumple de manera uniforme cada mes.</t>
        </is>
      </c>
      <c r="G2116" s="16" t="inlineStr">
        <is>
          <t>Si en el primer semestre se hicieron 2.100, el rezago es de:</t>
        </is>
      </c>
      <c r="H2116" s="16" t="inlineStr">
        <is>
          <t>200 atenciones</t>
        </is>
      </c>
      <c r="I2116" s="16" t="inlineStr">
        <is>
          <t>300 atenciones</t>
        </is>
      </c>
      <c r="J2116" s="16" t="inlineStr">
        <is>
          <t>400 atenciones</t>
        </is>
      </c>
      <c r="K2116" s="16" t="inlineStr">
        <is>
          <t>B</t>
        </is>
      </c>
      <c r="L2116" s="16" t="inlineStr">
        <is>
          <t>La meta del semestre era 2.400 y se hicieron 2.100, así que faltan 300.</t>
        </is>
      </c>
      <c r="M2116" s="16" t="inlineStr">
        <is>
          <t>Las otras cifras comparan contra una meta semestral mal calculada.</t>
        </is>
      </c>
      <c r="O2116" s="16" t="inlineStr">
        <is>
          <t>SI</t>
        </is>
      </c>
      <c r="P2116" s="16" t="inlineStr">
        <is>
          <t>Media</t>
        </is>
      </c>
      <c r="Q2116" s="16" t="inlineStr">
        <is>
          <t>v2</t>
        </is>
      </c>
      <c r="R2116" s="16" t="inlineStr">
        <is>
          <t>Aptitudes</t>
        </is>
      </c>
    </row>
    <row r="2117" ht="15" customHeight="1" s="12">
      <c r="A2117" s="16" t="inlineStr">
        <is>
          <t>F292-1</t>
        </is>
      </c>
      <c r="B2117" s="16" t="inlineStr">
        <is>
          <t>comun</t>
        </is>
      </c>
      <c r="C2117" s="16" t="inlineStr">
        <is>
          <t>Razonamiento cuantitativo</t>
        </is>
      </c>
      <c r="D2117" s="16" t="inlineStr">
        <is>
          <t>C292</t>
        </is>
      </c>
      <c r="E2117" s="16" t="inlineStr">
        <is>
          <t>Razonamiento cuantitativo</t>
        </is>
      </c>
      <c r="F2117" s="16" t="inlineStr">
        <is>
          <t>Un servidor gana 3.200.000 pesos y le descuentan 4 % de salud y 4 % de pensión.</t>
        </is>
      </c>
      <c r="G2117" s="16" t="inlineStr">
        <is>
          <t>El total descontado es:</t>
        </is>
      </c>
      <c r="H2117" s="16" t="inlineStr">
        <is>
          <t>128.000 pesos</t>
        </is>
      </c>
      <c r="I2117" s="16" t="inlineStr">
        <is>
          <t>256.000 pesos</t>
        </is>
      </c>
      <c r="J2117" s="16" t="inlineStr">
        <is>
          <t>320.000 pesos</t>
        </is>
      </c>
      <c r="K2117" s="16" t="inlineStr">
        <is>
          <t>B</t>
        </is>
      </c>
      <c r="L2117" s="16" t="inlineStr">
        <is>
          <t>El 8 % de 3.200.000 son 256.000 pesos.</t>
        </is>
      </c>
      <c r="M2117" s="16" t="inlineStr">
        <is>
          <t>Los otros valores aplican solo un descuento o un porcentaje distinto.</t>
        </is>
      </c>
      <c r="O2117" s="16" t="inlineStr">
        <is>
          <t>SI</t>
        </is>
      </c>
      <c r="P2117" s="16" t="inlineStr">
        <is>
          <t>Basica</t>
        </is>
      </c>
      <c r="Q2117" s="16" t="inlineStr">
        <is>
          <t>v2</t>
        </is>
      </c>
      <c r="R2117" s="16" t="inlineStr">
        <is>
          <t>Aptitudes</t>
        </is>
      </c>
    </row>
    <row r="2118" ht="15" customHeight="1" s="12">
      <c r="A2118" s="16" t="inlineStr">
        <is>
          <t>F293-1</t>
        </is>
      </c>
      <c r="B2118" s="16" t="inlineStr">
        <is>
          <t>comun</t>
        </is>
      </c>
      <c r="C2118" s="16" t="inlineStr">
        <is>
          <t>Razonamiento cuantitativo</t>
        </is>
      </c>
      <c r="D2118" s="16" t="inlineStr">
        <is>
          <t>C293</t>
        </is>
      </c>
      <c r="E2118" s="16" t="inlineStr">
        <is>
          <t>Razonamiento cuantitativo</t>
        </is>
      </c>
      <c r="F2118" s="16" t="inlineStr">
        <is>
          <t>Un servidor gana 3.200.000 pesos y le descuentan 4 % de salud y 4 % de pensión.</t>
        </is>
      </c>
      <c r="G2118" s="16" t="inlineStr">
        <is>
          <t>El valor que recibe después de esos descuentos es:</t>
        </is>
      </c>
      <c r="H2118" s="16" t="inlineStr">
        <is>
          <t>3.072.000 pesos</t>
        </is>
      </c>
      <c r="I2118" s="16" t="inlineStr">
        <is>
          <t>2.944.000 pesos</t>
        </is>
      </c>
      <c r="J2118" s="16" t="inlineStr">
        <is>
          <t>2.880.000 pesos</t>
        </is>
      </c>
      <c r="K2118" s="16" t="inlineStr">
        <is>
          <t>B</t>
        </is>
      </c>
      <c r="L2118" s="16" t="inlineStr">
        <is>
          <t>3.200.000 menos 256.000 deja 2.944.000 pesos.</t>
        </is>
      </c>
      <c r="M2118" s="16" t="inlineStr">
        <is>
          <t>Los otros resultados descuentan un solo aporte o un porcentaje mayor.</t>
        </is>
      </c>
      <c r="O2118" s="16" t="inlineStr">
        <is>
          <t>SI</t>
        </is>
      </c>
      <c r="P2118" s="16" t="inlineStr">
        <is>
          <t>Media</t>
        </is>
      </c>
      <c r="Q2118" s="16" t="inlineStr">
        <is>
          <t>v2</t>
        </is>
      </c>
      <c r="R2118" s="16" t="inlineStr">
        <is>
          <t>Aptitudes</t>
        </is>
      </c>
    </row>
    <row r="2119" ht="15" customHeight="1" s="12">
      <c r="A2119" s="16" t="inlineStr">
        <is>
          <t>F294-1</t>
        </is>
      </c>
      <c r="B2119" s="16" t="inlineStr">
        <is>
          <t>comun</t>
        </is>
      </c>
      <c r="C2119" s="16" t="inlineStr">
        <is>
          <t>Análisis de información</t>
        </is>
      </c>
      <c r="D2119" s="16" t="inlineStr">
        <is>
          <t>C294</t>
        </is>
      </c>
      <c r="E2119" s="16" t="inlineStr">
        <is>
          <t>Análisis de información</t>
        </is>
      </c>
      <c r="F2119" s="16" t="inlineStr">
        <is>
          <t>Quejas por causa: demora 45 %, información confusa 25 %, trato 18 %, otras 12 %. Total del año: 800 quejas.</t>
        </is>
      </c>
      <c r="G2119" s="16" t="inlineStr">
        <is>
          <t>Las quejas por demora del año fueron:</t>
        </is>
      </c>
      <c r="H2119" s="16" t="inlineStr">
        <is>
          <t>400 quejas</t>
        </is>
      </c>
      <c r="I2119" s="16" t="inlineStr">
        <is>
          <t>360 quejas</t>
        </is>
      </c>
      <c r="J2119" s="16" t="inlineStr">
        <is>
          <t>320 quejas</t>
        </is>
      </c>
      <c r="K2119" s="16" t="inlineStr">
        <is>
          <t>B</t>
        </is>
      </c>
      <c r="L2119" s="16" t="inlineStr">
        <is>
          <t>El 45 % de 800 da 360 quejas.</t>
        </is>
      </c>
      <c r="M2119" s="16" t="inlineStr">
        <is>
          <t>Los otros valores corresponden a la mitad del total o al 40 %.</t>
        </is>
      </c>
      <c r="O2119" s="16" t="inlineStr">
        <is>
          <t>SI</t>
        </is>
      </c>
      <c r="P2119" s="16" t="inlineStr">
        <is>
          <t>Basica</t>
        </is>
      </c>
      <c r="Q2119" s="16" t="inlineStr">
        <is>
          <t>v2</t>
        </is>
      </c>
      <c r="R2119" s="16" t="inlineStr">
        <is>
          <t>Aptitudes</t>
        </is>
      </c>
    </row>
    <row r="2120" ht="15" customHeight="1" s="12">
      <c r="A2120" s="16" t="inlineStr">
        <is>
          <t>F295-1</t>
        </is>
      </c>
      <c r="B2120" s="16" t="inlineStr">
        <is>
          <t>comun</t>
        </is>
      </c>
      <c r="C2120" s="16" t="inlineStr">
        <is>
          <t>Análisis de información</t>
        </is>
      </c>
      <c r="D2120" s="16" t="inlineStr">
        <is>
          <t>C295</t>
        </is>
      </c>
      <c r="E2120" s="16" t="inlineStr">
        <is>
          <t>Análisis de información</t>
        </is>
      </c>
      <c r="F2120" s="16" t="inlineStr">
        <is>
          <t>Quejas por causa: demora 45 %, información confusa 25 %, trato 18 %, otras 12 %. Total del año: 800 quejas.</t>
        </is>
      </c>
      <c r="G2120" s="16" t="inlineStr">
        <is>
          <t>Un plan que solo ataque la demora podría reducir, en el mejor de los casos:</t>
        </is>
      </c>
      <c r="H2120" s="16" t="inlineStr">
        <is>
          <t>Menos de la mitad de las quejas anuales</t>
        </is>
      </c>
      <c r="I2120" s="16" t="inlineStr">
        <is>
          <t>Más de la mitad de las quejas del año así</t>
        </is>
      </c>
      <c r="J2120" s="16" t="inlineStr">
        <is>
          <t>Cerca de dos tercios de todas las quejas</t>
        </is>
      </c>
      <c r="K2120" s="16" t="inlineStr">
        <is>
          <t>A</t>
        </is>
      </c>
      <c r="L2120" s="16" t="inlineStr">
        <is>
          <t>La demora explica 45 %, así que ni resolviéndola por completo se pasa de la mitad.</t>
        </is>
      </c>
      <c r="M2120" s="16" t="inlineStr">
        <is>
          <t>Las otras dos sobrestiman el alcance del plan frente al peso de esa causa.</t>
        </is>
      </c>
      <c r="O2120" s="16" t="inlineStr">
        <is>
          <t>SI</t>
        </is>
      </c>
      <c r="P2120" s="16" t="inlineStr">
        <is>
          <t>Alta</t>
        </is>
      </c>
      <c r="Q2120" s="16" t="inlineStr">
        <is>
          <t>v2</t>
        </is>
      </c>
      <c r="R2120" s="16" t="inlineStr">
        <is>
          <t>Aptitudes</t>
        </is>
      </c>
    </row>
    <row r="2121" ht="15" customHeight="1" s="12">
      <c r="A2121" s="16" t="inlineStr">
        <is>
          <t>F296-1</t>
        </is>
      </c>
      <c r="B2121" s="16" t="inlineStr">
        <is>
          <t>comun</t>
        </is>
      </c>
      <c r="C2121" s="16" t="inlineStr">
        <is>
          <t>Análisis de información</t>
        </is>
      </c>
      <c r="D2121" s="16" t="inlineStr">
        <is>
          <t>C296</t>
        </is>
      </c>
      <c r="E2121" s="16" t="inlineStr">
        <is>
          <t>Análisis de información</t>
        </is>
      </c>
      <c r="F2121" s="16" t="inlineStr">
        <is>
          <t>Dos programas de formación: el primero certificó 180 de 200 inscritos; el segundo, 90 de 100. El primero costó 40 millones y el segundo 15 millones.</t>
        </is>
      </c>
      <c r="G2121" s="16" t="inlineStr">
        <is>
          <t>En tasa de certificación, los programas:</t>
        </is>
      </c>
      <c r="H2121" s="16" t="inlineStr">
        <is>
          <t>Gana el segundo: tuvo un costo menor</t>
        </is>
      </c>
      <c r="I2121" s="16" t="inlineStr">
        <is>
          <t>Gana el primero: certificó más personas</t>
        </is>
      </c>
      <c r="J2121" s="16" t="inlineStr">
        <is>
          <t>Empatan: los dos certificaron el 90 %</t>
        </is>
      </c>
      <c r="K2121" s="16" t="inlineStr">
        <is>
          <t>C</t>
        </is>
      </c>
      <c r="L2121" s="16" t="inlineStr">
        <is>
          <t>180 de 200 y 90 de 100 dan la misma tasa: 90 %.</t>
        </is>
      </c>
      <c r="M2121" s="16" t="inlineStr">
        <is>
          <t>Comparar el número absoluto o el costo no responde por la tasa de certificación.</t>
        </is>
      </c>
      <c r="O2121" s="16" t="inlineStr">
        <is>
          <t>SI</t>
        </is>
      </c>
      <c r="P2121" s="16" t="inlineStr">
        <is>
          <t>Media</t>
        </is>
      </c>
      <c r="Q2121" s="16" t="inlineStr">
        <is>
          <t>v2</t>
        </is>
      </c>
      <c r="R2121" s="16" t="inlineStr">
        <is>
          <t>Aptitudes</t>
        </is>
      </c>
    </row>
    <row r="2122" ht="15" customHeight="1" s="12">
      <c r="A2122" s="16" t="inlineStr">
        <is>
          <t>F297-1</t>
        </is>
      </c>
      <c r="B2122" s="16" t="inlineStr">
        <is>
          <t>comun</t>
        </is>
      </c>
      <c r="C2122" s="16" t="inlineStr">
        <is>
          <t>Análisis de información</t>
        </is>
      </c>
      <c r="D2122" s="16" t="inlineStr">
        <is>
          <t>C297</t>
        </is>
      </c>
      <c r="E2122" s="16" t="inlineStr">
        <is>
          <t>Análisis de información</t>
        </is>
      </c>
      <c r="F2122" s="16" t="inlineStr">
        <is>
          <t>Dos programas de formación: el primero certificó 180 de 200 inscritos; el segundo, 90 de 100. El primero costó 40 millones y el segundo 15 millones.</t>
        </is>
      </c>
      <c r="G2122" s="16" t="inlineStr">
        <is>
          <t>Por persona certificada, el costo fue:</t>
        </is>
      </c>
      <c r="H2122" s="16" t="inlineStr">
        <is>
          <t>Menor en el segundo programa dado</t>
        </is>
      </c>
      <c r="I2122" s="16" t="inlineStr">
        <is>
          <t>Menor en el primer programa citado</t>
        </is>
      </c>
      <c r="J2122" s="16" t="inlineStr">
        <is>
          <t>Igual en los dos programas dados</t>
        </is>
      </c>
      <c r="K2122" s="16" t="inlineStr">
        <is>
          <t>A</t>
        </is>
      </c>
      <c r="L2122" s="16" t="inlineStr">
        <is>
          <t>El primero costó 222 mil por certificado y el segundo 167 mil, así que el segundo resulta más barato.</t>
        </is>
      </c>
      <c r="M2122" s="16" t="inlineStr">
        <is>
          <t>Las otras dos invierten la comparación o suponen que el costo por persona coincide.</t>
        </is>
      </c>
      <c r="O2122" s="16" t="inlineStr">
        <is>
          <t>SI</t>
        </is>
      </c>
      <c r="P2122" s="16" t="inlineStr">
        <is>
          <t>Alta</t>
        </is>
      </c>
      <c r="Q2122" s="16" t="inlineStr">
        <is>
          <t>v2</t>
        </is>
      </c>
      <c r="R2122" s="16" t="inlineStr">
        <is>
          <t>Aptitudes</t>
        </is>
      </c>
    </row>
    <row r="2123" ht="15" customHeight="1" s="12">
      <c r="A2123" s="16" t="inlineStr">
        <is>
          <t>F298-1</t>
        </is>
      </c>
      <c r="B2123" s="16" t="inlineStr">
        <is>
          <t>comun</t>
        </is>
      </c>
      <c r="C2123" s="16" t="inlineStr">
        <is>
          <t>Análisis de información</t>
        </is>
      </c>
      <c r="D2123" s="16" t="inlineStr">
        <is>
          <t>C298</t>
        </is>
      </c>
      <c r="E2123" s="16" t="inlineStr">
        <is>
          <t>Análisis de información</t>
        </is>
      </c>
      <c r="F2123" s="16" t="inlineStr">
        <is>
          <t>Encuesta a 600 usuarios: 420 usaron el canal digital, 300 el presencial y 120 usaron los dos canales durante el año.</t>
        </is>
      </c>
      <c r="G2123" s="16" t="inlineStr">
        <is>
          <t>El número de usuarios que usó solo el canal presencial fue:</t>
        </is>
      </c>
      <c r="H2123" s="16" t="inlineStr">
        <is>
          <t>180 usuarios</t>
        </is>
      </c>
      <c r="I2123" s="16" t="inlineStr">
        <is>
          <t>300 usuarios</t>
        </is>
      </c>
      <c r="J2123" s="16" t="inlineStr">
        <is>
          <t>120 usuarios</t>
        </is>
      </c>
      <c r="K2123" s="16" t="inlineStr">
        <is>
          <t>A</t>
        </is>
      </c>
      <c r="L2123" s="16" t="inlineStr">
        <is>
          <t>A los 300 del presencial se les descuentan los 120 que también usaron el digital.</t>
        </is>
      </c>
      <c r="M2123" s="16" t="inlineStr">
        <is>
          <t>Un valor es el total del presencial y el otro corresponde a quienes usaron ambos.</t>
        </is>
      </c>
      <c r="O2123" s="16" t="inlineStr">
        <is>
          <t>SI</t>
        </is>
      </c>
      <c r="P2123" s="16" t="inlineStr">
        <is>
          <t>Alta</t>
        </is>
      </c>
      <c r="Q2123" s="16" t="inlineStr">
        <is>
          <t>v2</t>
        </is>
      </c>
      <c r="R2123" s="16" t="inlineStr">
        <is>
          <t>Aptitudes</t>
        </is>
      </c>
    </row>
    <row r="2124" ht="15" customHeight="1" s="12">
      <c r="A2124" s="16" t="inlineStr">
        <is>
          <t>F299-1</t>
        </is>
      </c>
      <c r="B2124" s="16" t="inlineStr">
        <is>
          <t>comun</t>
        </is>
      </c>
      <c r="C2124" s="16" t="inlineStr">
        <is>
          <t>Análisis de información</t>
        </is>
      </c>
      <c r="D2124" s="16" t="inlineStr">
        <is>
          <t>C299</t>
        </is>
      </c>
      <c r="E2124" s="16" t="inlineStr">
        <is>
          <t>Análisis de información</t>
        </is>
      </c>
      <c r="F2124" s="16" t="inlineStr">
        <is>
          <t>Encuesta a 600 usuarios: 420 usaron el canal digital, 300 el presencial y 120 usaron los dos canales durante el año.</t>
        </is>
      </c>
      <c r="G2124" s="16" t="inlineStr">
        <is>
          <t>Los usuarios que no usaron el canal digital fueron:</t>
        </is>
      </c>
      <c r="H2124" s="16" t="inlineStr">
        <is>
          <t>120 usuarios</t>
        </is>
      </c>
      <c r="I2124" s="16" t="inlineStr">
        <is>
          <t>300 usuarios</t>
        </is>
      </c>
      <c r="J2124" s="16" t="inlineStr">
        <is>
          <t>180 usuarios</t>
        </is>
      </c>
      <c r="K2124" s="16" t="inlineStr">
        <is>
          <t>C</t>
        </is>
      </c>
      <c r="L2124" s="16" t="inlineStr">
        <is>
          <t>600 menos los 420 del canal digital deja 180 usuarios.</t>
        </is>
      </c>
      <c r="M2124" s="16" t="inlineStr">
        <is>
          <t>Las otras cifras corresponden al total presencial o al cruce de los dos canales.</t>
        </is>
      </c>
      <c r="O2124" s="16" t="inlineStr">
        <is>
          <t>SI</t>
        </is>
      </c>
      <c r="P2124" s="16" t="inlineStr">
        <is>
          <t>Media</t>
        </is>
      </c>
      <c r="Q2124" s="16" t="inlineStr">
        <is>
          <t>v2</t>
        </is>
      </c>
      <c r="R2124" s="16" t="inlineStr">
        <is>
          <t>Aptitudes</t>
        </is>
      </c>
    </row>
    <row r="2125" ht="15" customHeight="1" s="12">
      <c r="A2125" s="16" t="inlineStr">
        <is>
          <t>F300-1</t>
        </is>
      </c>
      <c r="B2125" s="16" t="inlineStr">
        <is>
          <t>comun</t>
        </is>
      </c>
      <c r="C2125" s="16" t="inlineStr">
        <is>
          <t>Análisis de información</t>
        </is>
      </c>
      <c r="D2125" s="16" t="inlineStr">
        <is>
          <t>C300</t>
        </is>
      </c>
      <c r="E2125" s="16" t="inlineStr">
        <is>
          <t>Análisis de información</t>
        </is>
      </c>
      <c r="F2125" s="16" t="inlineStr">
        <is>
          <t>Tiempo de respuesta por mes, en días: 9, 11, 10, 25, 10, 9. La meta institucional es de 12 días.</t>
        </is>
      </c>
      <c r="G2125" s="16" t="inlineStr">
        <is>
          <t>Frente a la meta, el desempeño del periodo:</t>
        </is>
      </c>
      <c r="H2125" s="16" t="inlineStr">
        <is>
          <t>Incumple la mitad de los meses</t>
        </is>
      </c>
      <c r="I2125" s="16" t="inlineStr">
        <is>
          <t>Cumple en todos los meses medidos</t>
        </is>
      </c>
      <c r="J2125" s="16" t="inlineStr">
        <is>
          <t>Cumple cinco meses e incumple uno</t>
        </is>
      </c>
      <c r="K2125" s="16" t="inlineStr">
        <is>
          <t>C</t>
        </is>
      </c>
      <c r="L2125" s="16" t="inlineStr">
        <is>
          <t>Solo el mes de 25 días supera la meta de 12; los otros cinco quedan por debajo.</t>
        </is>
      </c>
      <c r="M2125" s="16" t="inlineStr">
        <is>
          <t>Las otras lecturas ignoran el mes atípico o cuentan como incumplidos meses que cumplieron.</t>
        </is>
      </c>
      <c r="O2125" s="16" t="inlineStr">
        <is>
          <t>SI</t>
        </is>
      </c>
      <c r="P2125" s="16" t="inlineStr">
        <is>
          <t>Media</t>
        </is>
      </c>
      <c r="Q2125" s="16" t="inlineStr">
        <is>
          <t>v2</t>
        </is>
      </c>
      <c r="R2125" s="16" t="inlineStr">
        <is>
          <t>Aptitudes</t>
        </is>
      </c>
    </row>
    <row r="2126" ht="15" customHeight="1" s="12">
      <c r="A2126" s="16" t="inlineStr">
        <is>
          <t>F301-1</t>
        </is>
      </c>
      <c r="B2126" s="16" t="inlineStr">
        <is>
          <t>comun</t>
        </is>
      </c>
      <c r="C2126" s="16" t="inlineStr">
        <is>
          <t>Análisis de información</t>
        </is>
      </c>
      <c r="D2126" s="16" t="inlineStr">
        <is>
          <t>C301</t>
        </is>
      </c>
      <c r="E2126" s="16" t="inlineStr">
        <is>
          <t>Análisis de información</t>
        </is>
      </c>
      <c r="F2126" s="16" t="inlineStr">
        <is>
          <t>Tiempo de respuesta por mes, en días: 9, 11, 10, 25, 10, 9. La meta institucional es de 12 días.</t>
        </is>
      </c>
      <c r="G2126" s="16" t="inlineStr">
        <is>
          <t>Informar el promedio del periodo, sin mencionar el mes de 25 días:</t>
        </is>
      </c>
      <c r="H2126" s="16" t="inlineStr">
        <is>
          <t>Es correcto, porque el promedio ya lo incorpora</t>
        </is>
      </c>
      <c r="I2126" s="16" t="inlineStr">
        <is>
          <t>Oculta el hecho que más afectó a los usuarios</t>
        </is>
      </c>
      <c r="J2126" s="16" t="inlineStr">
        <is>
          <t>Mejora la comparación con la meta institucional</t>
        </is>
      </c>
      <c r="K2126" s="16" t="inlineStr">
        <is>
          <t>B</t>
        </is>
      </c>
      <c r="L2126" s="16" t="inlineStr">
        <is>
          <t>El promedio disimula el mes en que la gente esperó el doble de la meta: hay que mostrarlo.</t>
        </is>
      </c>
      <c r="M2126" s="16" t="inlineStr">
        <is>
          <t>Que el promedio lo incorpore no equivale a informarlo, y ocultar el pico no mejora nada.</t>
        </is>
      </c>
      <c r="O2126" s="16" t="inlineStr">
        <is>
          <t>SI</t>
        </is>
      </c>
      <c r="P2126" s="16" t="inlineStr">
        <is>
          <t>Alta</t>
        </is>
      </c>
      <c r="Q2126" s="16" t="inlineStr">
        <is>
          <t>v2</t>
        </is>
      </c>
      <c r="R2126" s="16" t="inlineStr">
        <is>
          <t>Aptitudes</t>
        </is>
      </c>
    </row>
    <row r="2127" ht="15" customHeight="1" s="12">
      <c r="A2127" s="16" t="inlineStr">
        <is>
          <t>F302-1</t>
        </is>
      </c>
      <c r="B2127" s="16" t="inlineStr">
        <is>
          <t>comun</t>
        </is>
      </c>
      <c r="C2127" s="16" t="inlineStr">
        <is>
          <t>Ofimática y gestión documental</t>
        </is>
      </c>
      <c r="D2127" s="16" t="inlineStr">
        <is>
          <t>C302</t>
        </is>
      </c>
      <c r="E2127" s="16" t="inlineStr">
        <is>
          <t>Ofimática y gestión documental</t>
        </is>
      </c>
      <c r="F2127" s="16" t="inlineStr">
        <is>
          <t>Debe entregar una base con 12.000 registros a otra área.</t>
        </is>
      </c>
      <c r="G2127" s="16" t="inlineStr">
        <is>
          <t>Antes de enviarla conviene verificar:</t>
        </is>
      </c>
      <c r="H2127" s="16" t="inlineStr">
        <is>
          <t>Que el nombre del archivo lleve la fecha del día</t>
        </is>
      </c>
      <c r="I2127" s="16" t="inlineStr">
        <is>
          <t>Que el archivo abra en cualquier versión antigua</t>
        </is>
      </c>
      <c r="J2127" s="16" t="inlineStr">
        <is>
          <t>Que no incluya columnas ajenas a lo solicitado</t>
        </is>
      </c>
      <c r="K2127" s="16" t="inlineStr">
        <is>
          <t>C</t>
        </is>
      </c>
      <c r="L2127" s="16" t="inlineStr">
        <is>
          <t>La verificación central es no enviar datos que la otra área no necesita.</t>
        </is>
      </c>
      <c r="M2127" s="16" t="inlineStr">
        <is>
          <t>La compatibilidad y el nombre del archivo son detalles de forma frente a eso.</t>
        </is>
      </c>
      <c r="O2127" s="16" t="inlineStr">
        <is>
          <t>SI</t>
        </is>
      </c>
      <c r="P2127" s="16" t="inlineStr">
        <is>
          <t>Media</t>
        </is>
      </c>
      <c r="Q2127" s="16" t="inlineStr">
        <is>
          <t>v2</t>
        </is>
      </c>
      <c r="R2127" s="16" t="inlineStr">
        <is>
          <t>Aptitudes</t>
        </is>
      </c>
    </row>
    <row r="2128" ht="15" customHeight="1" s="12">
      <c r="A2128" s="16" t="inlineStr">
        <is>
          <t>F303-1</t>
        </is>
      </c>
      <c r="B2128" s="16" t="inlineStr">
        <is>
          <t>comun</t>
        </is>
      </c>
      <c r="C2128" s="16" t="inlineStr">
        <is>
          <t>Ofimática y gestión documental</t>
        </is>
      </c>
      <c r="D2128" s="16" t="inlineStr">
        <is>
          <t>C303</t>
        </is>
      </c>
      <c r="E2128" s="16" t="inlineStr">
        <is>
          <t>Ofimática y gestión documental</t>
        </is>
      </c>
      <c r="F2128" s="16" t="inlineStr">
        <is>
          <t>Una hoja tiene 3.000 filas y necesita ver solo las del área jurídica.</t>
        </is>
      </c>
      <c r="G2128" s="16" t="inlineStr">
        <is>
          <t>Lo adecuado es:</t>
        </is>
      </c>
      <c r="H2128" s="16" t="inlineStr">
        <is>
          <t>Ordenar la hoja por la columna del área</t>
        </is>
      </c>
      <c r="I2128" s="16" t="inlineStr">
        <is>
          <t>Aplicar un filtro por columna de área</t>
        </is>
      </c>
      <c r="J2128" s="16" t="inlineStr">
        <is>
          <t>Eliminar las filas de las demás áreas</t>
        </is>
      </c>
      <c r="K2128" s="16" t="inlineStr">
        <is>
          <t>B</t>
        </is>
      </c>
      <c r="L2128" s="16" t="inlineStr">
        <is>
          <t>El filtro muestra lo pedido sin alterar el resto de la información.</t>
        </is>
      </c>
      <c r="M2128" s="16" t="inlineStr">
        <is>
          <t>Ordenar no oculta nada y eliminar destruye datos que otros necesitan.</t>
        </is>
      </c>
      <c r="O2128" s="16" t="inlineStr">
        <is>
          <t>SI</t>
        </is>
      </c>
      <c r="P2128" s="16" t="inlineStr">
        <is>
          <t>Basica</t>
        </is>
      </c>
      <c r="Q2128" s="16" t="inlineStr">
        <is>
          <t>v2</t>
        </is>
      </c>
      <c r="R2128" s="16" t="inlineStr">
        <is>
          <t>Aptitudes</t>
        </is>
      </c>
    </row>
    <row r="2129" ht="15" customHeight="1" s="12">
      <c r="A2129" s="16" t="inlineStr">
        <is>
          <t>F304-1</t>
        </is>
      </c>
      <c r="B2129" s="16" t="inlineStr">
        <is>
          <t>comun</t>
        </is>
      </c>
      <c r="C2129" s="16" t="inlineStr">
        <is>
          <t>Ofimática y gestión documental</t>
        </is>
      </c>
      <c r="D2129" s="16" t="inlineStr">
        <is>
          <t>C304</t>
        </is>
      </c>
      <c r="E2129" s="16" t="inlineStr">
        <is>
          <t>Ofimática y gestión documental</t>
        </is>
      </c>
      <c r="F2129" s="16" t="inlineStr">
        <is>
          <t>Encuentra dos versiones de un informe con el mismo nombre y fechas distintas.</t>
        </is>
      </c>
      <c r="G2129" s="16" t="inlineStr">
        <is>
          <t>Lo correcto es:</t>
        </is>
      </c>
      <c r="H2129" s="16" t="inlineStr">
        <is>
          <t>Renombrar las dos con la fecha del archivo</t>
        </is>
      </c>
      <c r="I2129" s="16" t="inlineStr">
        <is>
          <t>Conservar la más reciente y borrar la otra</t>
        </is>
      </c>
      <c r="J2129" s="16" t="inlineStr">
        <is>
          <t>Identificar la versión final y dejar nota</t>
        </is>
      </c>
      <c r="K2129" s="16" t="inlineStr">
        <is>
          <t>C</t>
        </is>
      </c>
      <c r="L2129" s="16" t="inlineStr">
        <is>
          <t>Definir y dejar constancia de cuál es la final evita que otro trabaje sobre la equivocada.</t>
        </is>
      </c>
      <c r="M2129" s="16" t="inlineStr">
        <is>
          <t>Borrar puede perder cambios y renombrar sin decidir deja la duda abierta.</t>
        </is>
      </c>
      <c r="O2129" s="16" t="inlineStr">
        <is>
          <t>SI</t>
        </is>
      </c>
      <c r="P2129" s="16" t="inlineStr">
        <is>
          <t>Media</t>
        </is>
      </c>
      <c r="Q2129" s="16" t="inlineStr">
        <is>
          <t>v2</t>
        </is>
      </c>
      <c r="R2129" s="16" t="inlineStr">
        <is>
          <t>Aptitudes</t>
        </is>
      </c>
    </row>
    <row r="2130" ht="15" customHeight="1" s="12">
      <c r="A2130" s="16" t="inlineStr">
        <is>
          <t>F305-1</t>
        </is>
      </c>
      <c r="B2130" s="16" t="inlineStr">
        <is>
          <t>comun</t>
        </is>
      </c>
      <c r="C2130" s="16" t="inlineStr">
        <is>
          <t>Ofimática y gestión documental</t>
        </is>
      </c>
      <c r="D2130" s="16" t="inlineStr">
        <is>
          <t>C305</t>
        </is>
      </c>
      <c r="E2130" s="16" t="inlineStr">
        <is>
          <t>Ofimática y gestión documental</t>
        </is>
      </c>
      <c r="F2130" s="16" t="inlineStr">
        <is>
          <t>Debe citar la norma en un documento oficial.</t>
        </is>
      </c>
      <c r="G2130" s="16" t="inlineStr">
        <is>
          <t>La forma correcta de citarla es:</t>
        </is>
      </c>
      <c r="H2130" s="16" t="inlineStr">
        <is>
          <t>Indicando tipo, número, año y artículo</t>
        </is>
      </c>
      <c r="I2130" s="16" t="inlineStr">
        <is>
          <t>Indicando el tipo y número de la norma</t>
        </is>
      </c>
      <c r="J2130" s="16" t="inlineStr">
        <is>
          <t>Indicando el nombre común de esa norma</t>
        </is>
      </c>
      <c r="K2130" s="16" t="inlineStr">
        <is>
          <t>A</t>
        </is>
      </c>
      <c r="L2130" s="16" t="inlineStr">
        <is>
          <t>La cita completa permite que el lector la verifique sin buscar a ciegas.</t>
        </is>
      </c>
      <c r="M2130" s="16" t="inlineStr">
        <is>
          <t>El número solo o el nombre común dejan al lector sin la referencia exacta.</t>
        </is>
      </c>
      <c r="O2130" s="16" t="inlineStr">
        <is>
          <t>SI</t>
        </is>
      </c>
      <c r="P2130" s="16" t="inlineStr">
        <is>
          <t>Basica</t>
        </is>
      </c>
      <c r="Q2130" s="16" t="inlineStr">
        <is>
          <t>v2</t>
        </is>
      </c>
      <c r="R2130" s="16" t="inlineStr">
        <is>
          <t>Aptitudes</t>
        </is>
      </c>
    </row>
    <row r="2131" ht="15" customHeight="1" s="12">
      <c r="A2131" s="16" t="inlineStr">
        <is>
          <t>F306-1</t>
        </is>
      </c>
      <c r="B2131" s="16" t="inlineStr">
        <is>
          <t>comun</t>
        </is>
      </c>
      <c r="C2131" s="16" t="inlineStr">
        <is>
          <t>Ofimática y gestión documental</t>
        </is>
      </c>
      <c r="D2131" s="16" t="inlineStr">
        <is>
          <t>C306</t>
        </is>
      </c>
      <c r="E2131" s="16" t="inlineStr">
        <is>
          <t>Ofimática y gestión documental</t>
        </is>
      </c>
      <c r="F2131" s="16" t="inlineStr">
        <is>
          <t>Un ciudadano pide copia de un expediente que contiene datos de otras personas.</t>
        </is>
      </c>
      <c r="G2131" s="16" t="inlineStr">
        <is>
          <t>Antes de entregarlo corresponde:</t>
        </is>
      </c>
      <c r="H2131" s="16" t="inlineStr">
        <is>
          <t>Solicitar autorización escrita a cada tercero</t>
        </is>
      </c>
      <c r="I2131" s="16" t="inlineStr">
        <is>
          <t>Retirar o tachar los datos de otras personas</t>
        </is>
      </c>
      <c r="J2131" s="16" t="inlineStr">
        <is>
          <t>Entregarlo completo por ser público el trámite</t>
        </is>
      </c>
      <c r="K2131" s="16" t="inlineStr">
        <is>
          <t>B</t>
        </is>
      </c>
      <c r="L2131" s="16" t="inlineStr">
        <is>
          <t>La entrega procede protegiendo los datos que no son del solicitante.</t>
        </is>
      </c>
      <c r="M2131" s="16" t="inlineStr">
        <is>
          <t>Pedir autorización a cada tercero frena el derecho y entregar todo lo vulnera.</t>
        </is>
      </c>
      <c r="O2131" s="16" t="inlineStr">
        <is>
          <t>SI</t>
        </is>
      </c>
      <c r="P2131" s="16" t="inlineStr">
        <is>
          <t>Media</t>
        </is>
      </c>
      <c r="Q2131" s="16" t="inlineStr">
        <is>
          <t>v2</t>
        </is>
      </c>
      <c r="R2131" s="16" t="inlineStr">
        <is>
          <t>Aptitudes</t>
        </is>
      </c>
    </row>
    <row r="2132" ht="15" customHeight="1" s="12">
      <c r="A2132" s="16" t="inlineStr">
        <is>
          <t>F307-1</t>
        </is>
      </c>
      <c r="B2132" s="16" t="inlineStr">
        <is>
          <t>comun</t>
        </is>
      </c>
      <c r="C2132" s="16" t="inlineStr">
        <is>
          <t>Ofimática y gestión documental</t>
        </is>
      </c>
      <c r="D2132" s="16" t="inlineStr">
        <is>
          <t>C307</t>
        </is>
      </c>
      <c r="E2132" s="16" t="inlineStr">
        <is>
          <t>Ofimática y gestión documental</t>
        </is>
      </c>
      <c r="F2132" s="16" t="inlineStr">
        <is>
          <t>Guarda un archivo de trabajo en el escritorio del computador.</t>
        </is>
      </c>
      <c r="G2132" s="16" t="inlineStr">
        <is>
          <t>El riesgo principal de esa práctica es:</t>
        </is>
      </c>
      <c r="H2132" s="16" t="inlineStr">
        <is>
          <t>Que el archivo abra más lento al iniciar sesión</t>
        </is>
      </c>
      <c r="I2132" s="16" t="inlineStr">
        <is>
          <t>Que el archivo ocupe espacio en el disco duro</t>
        </is>
      </c>
      <c r="J2132" s="16" t="inlineStr">
        <is>
          <t>Que el archivo no quede respaldado ni visible</t>
        </is>
      </c>
      <c r="K2132" s="16" t="inlineStr">
        <is>
          <t>C</t>
        </is>
      </c>
      <c r="L2132" s="16" t="inlineStr">
        <is>
          <t>Lo grave es que si el equipo falla o alguien más lo necesita, el archivo no está disponible.</t>
        </is>
      </c>
      <c r="M2132" s="16" t="inlineStr">
        <is>
          <t>El espacio y la velocidad son molestias, no la pérdida de la información.</t>
        </is>
      </c>
      <c r="O2132" s="16" t="inlineStr">
        <is>
          <t>SI</t>
        </is>
      </c>
      <c r="P2132" s="16" t="inlineStr">
        <is>
          <t>Basica</t>
        </is>
      </c>
      <c r="Q2132" s="16" t="inlineStr">
        <is>
          <t>v2</t>
        </is>
      </c>
      <c r="R2132" s="16" t="inlineStr">
        <is>
          <t>Aptitudes</t>
        </is>
      </c>
    </row>
  </sheetData>
  <autoFilter ref="A1:O421"/>
  <dataValidations count="6">
    <dataValidation sqref="B2:B1421" showDropDown="0" showInputMessage="0" showErrorMessage="0" allowBlank="0" type="list" errorStyle="stop" operator="between">
      <formula1>"comun,invima,fne"</formula1>
      <formula2>0</formula2>
    </dataValidation>
    <dataValidation sqref="K2:K1421" showDropDown="0" showInputMessage="0" showErrorMessage="0" allowBlank="0" type="list" errorStyle="stop" operator="between">
      <formula1>"A,B,C"</formula1>
      <formula2>0</formula2>
    </dataValidation>
    <dataValidation sqref="O2:O1421" showDropDown="0" showInputMessage="0" showErrorMessage="0" allowBlank="0" type="list" errorStyle="stop" operator="between">
      <formula1>"SI,NO"</formula1>
      <formula2>0</formula2>
    </dataValidation>
    <dataValidation sqref="P2:P1551" showDropDown="0" showInputMessage="0" showErrorMessage="0" allowBlank="1" type="list" errorStyle="stop" operator="between">
      <formula1>"Basica,Media,Alta"</formula1>
      <formula2>0</formula2>
    </dataValidation>
    <dataValidation sqref="Q2:Q1551" showDropDown="0" showInputMessage="0" showErrorMessage="0" allowBlank="1" type="list" errorStyle="stop" operator="between">
      <formula1>"v2,repaso"</formula1>
      <formula2>0</formula2>
    </dataValidation>
    <dataValidation sqref="R2:R2000" showDropDown="0" showInputMessage="0" showErrorMessage="0" allowBlank="1" type="list" errorStyle="stop" operator="between">
      <formula1>"Básico,Específico,Aptitudes"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108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6" min="1" max="1"/>
    <col width="26" customWidth="1" style="16" min="2" max="2"/>
    <col width="50" customWidth="1" style="16" min="3" max="3"/>
    <col width="40" customWidth="1" style="16" min="4" max="6"/>
    <col width="9" customWidth="1" style="16" min="7" max="9"/>
    <col width="8" customWidth="1" style="16" min="10" max="10"/>
    <col width="34" customWidth="1" style="16" min="11" max="11"/>
    <col width="11" customWidth="1" style="16" min="12" max="12"/>
    <col width="12" customWidth="1" style="16" min="13" max="13"/>
  </cols>
  <sheetData>
    <row r="1" ht="23.25" customHeight="1" s="12">
      <c r="A1" s="20" t="inlineStr">
        <is>
          <t>id</t>
        </is>
      </c>
      <c r="B1" s="20" t="inlineStr">
        <is>
          <t>competencia</t>
        </is>
      </c>
      <c r="C1" s="20" t="inlineStr">
        <is>
          <t>situacion</t>
        </is>
      </c>
      <c r="D1" s="20" t="inlineStr">
        <is>
          <t>a</t>
        </is>
      </c>
      <c r="E1" s="20" t="inlineStr">
        <is>
          <t>b</t>
        </is>
      </c>
      <c r="F1" s="20" t="inlineStr">
        <is>
          <t>c</t>
        </is>
      </c>
      <c r="G1" s="20" t="inlineStr">
        <is>
          <t>puntos_a</t>
        </is>
      </c>
      <c r="H1" s="20" t="inlineStr">
        <is>
          <t>puntos_b</t>
        </is>
      </c>
      <c r="I1" s="20" t="inlineStr">
        <is>
          <t>puntos_c</t>
        </is>
      </c>
      <c r="J1" s="20" t="inlineStr">
        <is>
          <t>activa</t>
        </is>
      </c>
      <c r="K1" s="21" t="inlineStr">
        <is>
          <t>consigna</t>
        </is>
      </c>
      <c r="L1" s="21" t="inlineStr">
        <is>
          <t>invertida</t>
        </is>
      </c>
      <c r="M1" s="21" t="inlineStr">
        <is>
          <t>ambito</t>
        </is>
      </c>
    </row>
    <row r="2" ht="34.5" customHeight="1" s="12">
      <c r="A2" s="22" t="inlineStr">
        <is>
          <t>K001</t>
        </is>
      </c>
      <c r="B2" s="22" t="inlineStr">
        <is>
          <t>Orientación al usuario y al ciudadano</t>
        </is>
      </c>
      <c r="C2" s="22" t="inlineStr">
        <is>
          <t>Son las 4:40 p. m. del viernes. Un ciudadano llama alterado: su trámite lleva seis semanas sin respuesta y el área responsable ya cerró. Usted no maneja ese trámite y tiene pendiente un informe para las 5:00 p. m.</t>
        </is>
      </c>
      <c r="D2" s="22" t="inlineStr">
        <is>
          <t>Le pasa el número del conmutador para que insista allá</t>
        </is>
      </c>
      <c r="E2" s="22" t="inlineStr">
        <is>
          <t>Se compromete con una fecha concreta de respuesta</t>
        </is>
      </c>
      <c r="F2" s="22" t="inlineStr">
        <is>
          <t>Le explica que el área responsable atiende desde el lunes</t>
        </is>
      </c>
      <c r="G2" s="22" t="n">
        <v>1</v>
      </c>
      <c r="H2" s="22" t="n">
        <v>3</v>
      </c>
      <c r="I2" s="22" t="n">
        <v>2</v>
      </c>
      <c r="J2" s="22" t="inlineStr">
        <is>
          <t>SI</t>
        </is>
      </c>
      <c r="K2" s="16" t="inlineStr">
        <is>
          <t>¿Cuál sería su primera acción?</t>
        </is>
      </c>
      <c r="L2" s="16" t="inlineStr">
        <is>
          <t>NO</t>
        </is>
      </c>
      <c r="M2" s="16" t="inlineStr">
        <is>
          <t>comun</t>
        </is>
      </c>
    </row>
    <row r="3" ht="23.25" customHeight="1" s="12">
      <c r="A3" s="22" t="inlineStr">
        <is>
          <t>K002</t>
        </is>
      </c>
      <c r="B3" s="22" t="inlineStr">
        <is>
          <t>Orientación al usuario y al ciudadano</t>
        </is>
      </c>
      <c r="C3" s="22" t="inlineStr">
        <is>
          <t>Una mujer de 78 años lleva media hora frente al formulario en línea de la sala de atención. Detrás hay ocho personas esperando y usted es el único funcionario en el módulo. Ella dice que no volverá si no lo resuelve hoy.</t>
        </is>
      </c>
      <c r="D3" s="22" t="inlineStr">
        <is>
          <t>Le pide volver mañana temprano con alguien que la asista</t>
        </is>
      </c>
      <c r="E3" s="22" t="inlineStr">
        <is>
          <t>La acompaña en el formulario aunque los demás esperen un poco</t>
        </is>
      </c>
      <c r="F3" s="22" t="inlineStr">
        <is>
          <t>Le imprime el instructivo y la ubica en el módulo de apoyo</t>
        </is>
      </c>
      <c r="G3" s="22" t="n">
        <v>1</v>
      </c>
      <c r="H3" s="22" t="n">
        <v>3</v>
      </c>
      <c r="I3" s="22" t="n">
        <v>2</v>
      </c>
      <c r="J3" s="22" t="inlineStr">
        <is>
          <t>SI</t>
        </is>
      </c>
      <c r="K3" s="16" t="inlineStr">
        <is>
          <t>¿Qué hace usted?</t>
        </is>
      </c>
      <c r="L3" s="16" t="inlineStr">
        <is>
          <t>NO</t>
        </is>
      </c>
      <c r="M3" s="16" t="inlineStr">
        <is>
          <t>comun</t>
        </is>
      </c>
    </row>
    <row r="4" ht="34.5" customHeight="1" s="12">
      <c r="A4" s="22" t="inlineStr">
        <is>
          <t>K003</t>
        </is>
      </c>
      <c r="B4" s="22" t="inlineStr">
        <is>
          <t>Aporte técnico-profesional</t>
        </is>
      </c>
      <c r="C4" s="22" t="inlineStr">
        <is>
          <t>En la mesa de trabajo van a aprobar un procedimiento que contradice una resolución vigente. Lo firmó su jefe y lo defendieron dos directivos. Si habla, el trámite se aplaza un mes; si calla, la entidad aplicará algo ilegal.</t>
        </is>
      </c>
      <c r="D4" s="22" t="inlineStr">
        <is>
          <t>Pide un día de plazo para revisar el texto antes de firmar</t>
        </is>
      </c>
      <c r="E4" s="22" t="inlineStr">
        <is>
          <t>Firma el acta y deja constancia verbal de su desacuerdo</t>
        </is>
      </c>
      <c r="F4" s="22" t="inlineStr">
        <is>
          <t>Expone el error con la resolución en mano, en esa reunión</t>
        </is>
      </c>
      <c r="G4" s="22" t="n">
        <v>2</v>
      </c>
      <c r="H4" s="22" t="n">
        <v>1</v>
      </c>
      <c r="I4" s="22" t="n">
        <v>3</v>
      </c>
      <c r="J4" s="22" t="inlineStr">
        <is>
          <t>SI</t>
        </is>
      </c>
      <c r="K4" s="16" t="inlineStr">
        <is>
          <t>¿Cuál es la conducta más efectiva?</t>
        </is>
      </c>
      <c r="L4" s="16" t="inlineStr">
        <is>
          <t>NO</t>
        </is>
      </c>
      <c r="M4" s="16" t="inlineStr">
        <is>
          <t>comun</t>
        </is>
      </c>
    </row>
    <row r="5" ht="23.25" customHeight="1" s="12">
      <c r="A5" s="22" t="inlineStr">
        <is>
          <t>K004</t>
        </is>
      </c>
      <c r="B5" s="22" t="inlineStr">
        <is>
          <t>Aporte técnico-profesional</t>
        </is>
      </c>
      <c r="C5" s="22" t="inlineStr">
        <is>
          <t>Revisa el informe de un compañero que se va de licencia mañana. Tres cifras clave no tienen fuente y el documento sale publicado el lunes. Devolverlo retrasa la publicación y él ya no estará para corregirlo.</t>
        </is>
      </c>
      <c r="D5" s="22" t="inlineStr">
        <is>
          <t>Aprueba el informe, porque su compañero suele ser cuidadoso</t>
        </is>
      </c>
      <c r="E5" s="22" t="inlineStr">
        <is>
          <t>Verifica esas cifras en la fuente antes de que el informe salga</t>
        </is>
      </c>
      <c r="F5" s="22" t="inlineStr">
        <is>
          <t>Publica el informe con una nota que advierte el dato sin fuente</t>
        </is>
      </c>
      <c r="G5" s="22" t="n">
        <v>1</v>
      </c>
      <c r="H5" s="22" t="n">
        <v>3</v>
      </c>
      <c r="I5" s="22" t="n">
        <v>2</v>
      </c>
      <c r="J5" s="22" t="inlineStr">
        <is>
          <t>SI</t>
        </is>
      </c>
      <c r="K5" s="16" t="inlineStr">
        <is>
          <t>¿Qué hace usted?</t>
        </is>
      </c>
      <c r="L5" s="16" t="inlineStr">
        <is>
          <t>NO</t>
        </is>
      </c>
      <c r="M5" s="16" t="inlineStr">
        <is>
          <t>comun</t>
        </is>
      </c>
    </row>
    <row r="6" ht="23.25" customHeight="1" s="12">
      <c r="A6" s="22" t="inlineStr">
        <is>
          <t>K005</t>
        </is>
      </c>
      <c r="B6" s="22" t="inlineStr">
        <is>
          <t>Trabajo en equipo</t>
        </is>
      </c>
      <c r="C6" s="22" t="inlineStr">
        <is>
          <t>Faltan dos días para entregar un informe conjunto. Un compañero atraviesa una crisis familiar y no ha hecho su parte. Usted ya terminó la suya y tiene otras dos entregas esa semana.</t>
        </is>
      </c>
      <c r="D6" s="22" t="inlineStr">
        <is>
          <t>Asume usted la parte faltante y sacrifica sus otras entregas</t>
        </is>
      </c>
      <c r="E6" s="22" t="inlineStr">
        <is>
          <t>Propone al grupo repartir la parte que falta</t>
        </is>
      </c>
      <c r="F6" s="22" t="inlineStr">
        <is>
          <t>Entrega su parte a tiempo y deja que el vacío se note solo</t>
        </is>
      </c>
      <c r="G6" s="22" t="n">
        <v>2</v>
      </c>
      <c r="H6" s="22" t="n">
        <v>3</v>
      </c>
      <c r="I6" s="22" t="n">
        <v>1</v>
      </c>
      <c r="J6" s="22" t="inlineStr">
        <is>
          <t>SI</t>
        </is>
      </c>
      <c r="K6" s="16" t="inlineStr">
        <is>
          <t>¿Qué hace usted?</t>
        </is>
      </c>
      <c r="L6" s="16" t="inlineStr">
        <is>
          <t>NO</t>
        </is>
      </c>
      <c r="M6" s="16" t="inlineStr">
        <is>
          <t>comun</t>
        </is>
      </c>
    </row>
    <row r="7" ht="23.25" customHeight="1" s="12">
      <c r="A7" s="22" t="inlineStr">
        <is>
          <t>K006</t>
        </is>
      </c>
      <c r="B7" s="22" t="inlineStr">
        <is>
          <t>Trabajo en equipo</t>
        </is>
      </c>
      <c r="C7" s="22" t="inlineStr">
        <is>
          <t>Dos compañeros discuten a gritos en una reunión con un vigilado presente. Uno defiende aplicar una medida; el otro, esperar el concepto jurídico. El vigilado graba con el celular y pregunta quién manda ahí.</t>
        </is>
      </c>
      <c r="D7" s="22" t="inlineStr">
        <is>
          <t>Pide a ambos que bajen el tono y sigue con la agenda prevista</t>
        </is>
      </c>
      <c r="E7" s="22" t="inlineStr">
        <is>
          <t>Respalda al compañero cuya posición usted comparte hace tiempo</t>
        </is>
      </c>
      <c r="F7" s="22" t="inlineStr">
        <is>
          <t>Suspende la discusión hasta que salga el vigilado</t>
        </is>
      </c>
      <c r="G7" s="22" t="n">
        <v>2</v>
      </c>
      <c r="H7" s="22" t="n">
        <v>1</v>
      </c>
      <c r="I7" s="22" t="n">
        <v>3</v>
      </c>
      <c r="J7" s="22" t="inlineStr">
        <is>
          <t>SI</t>
        </is>
      </c>
      <c r="K7" s="16" t="inlineStr">
        <is>
          <t>¿Cuál sería su primera acción?</t>
        </is>
      </c>
      <c r="L7" s="16" t="inlineStr">
        <is>
          <t>NO</t>
        </is>
      </c>
      <c r="M7" s="16" t="inlineStr">
        <is>
          <t>comun</t>
        </is>
      </c>
    </row>
    <row r="8" ht="23.25" customHeight="1" s="12">
      <c r="A8" s="22" t="inlineStr">
        <is>
          <t>K007</t>
        </is>
      </c>
      <c r="B8" s="22" t="inlineStr">
        <is>
          <t>Adaptación al cambio</t>
        </is>
      </c>
      <c r="C8" s="22" t="inlineStr">
        <is>
          <t>La entidad estrena un sistema para registrar visitas. Lleva seis años usando su propio formato en Excel, que le funciona. El sistema nuevo duplica el tiempo de registro y aún tiene fallas en el módulo de actas.</t>
        </is>
      </c>
      <c r="D8" s="22" t="inlineStr">
        <is>
          <t>Reporta las fallas mientras registra en el sistema</t>
        </is>
      </c>
      <c r="E8" s="22" t="inlineStr">
        <is>
          <t>Sigue con su Excel hasta que el sistema esté estabilizado</t>
        </is>
      </c>
      <c r="F8" s="22" t="inlineStr">
        <is>
          <t>Registra en el sistema y conserva su Excel como respaldo propio</t>
        </is>
      </c>
      <c r="G8" s="22" t="n">
        <v>3</v>
      </c>
      <c r="H8" s="22" t="n">
        <v>1</v>
      </c>
      <c r="I8" s="22" t="n">
        <v>2</v>
      </c>
      <c r="J8" s="22" t="inlineStr">
        <is>
          <t>SI</t>
        </is>
      </c>
      <c r="K8" s="16" t="inlineStr">
        <is>
          <t>¿Qué hace usted?</t>
        </is>
      </c>
      <c r="L8" s="16" t="inlineStr">
        <is>
          <t>NO</t>
        </is>
      </c>
      <c r="M8" s="16" t="inlineStr">
        <is>
          <t>comun</t>
        </is>
      </c>
    </row>
    <row r="9" ht="23.25" customHeight="1" s="12">
      <c r="A9" s="22" t="inlineStr">
        <is>
          <t>K008</t>
        </is>
      </c>
      <c r="B9" s="22" t="inlineStr">
        <is>
          <t>Adaptación al cambio</t>
        </is>
      </c>
      <c r="C9" s="22" t="inlineStr">
        <is>
          <t>Lo trasladan a dispositivos médicos, tema que no domina, faltando tres semanas para un operativo nacional. Su nuevo coordinador da por hecho que usted conoce la clasificación por riesgo y le asigna dos visitas.</t>
        </is>
      </c>
      <c r="D9" s="22" t="inlineStr">
        <is>
          <t>Advierte que no domina el tema y solicita que reasignen las visitas</t>
        </is>
      </c>
      <c r="E9" s="22" t="inlineStr">
        <is>
          <t>Realiza las visitas y consulta las dudas cuando aparezcan en campo</t>
        </is>
      </c>
      <c r="F9" s="22" t="inlineStr">
        <is>
          <t>Pide acompañamiento para la primera visita del operativo</t>
        </is>
      </c>
      <c r="G9" s="22" t="n">
        <v>2</v>
      </c>
      <c r="H9" s="22" t="n">
        <v>1</v>
      </c>
      <c r="I9" s="22" t="n">
        <v>3</v>
      </c>
      <c r="J9" s="22" t="inlineStr">
        <is>
          <t>SI</t>
        </is>
      </c>
      <c r="K9" s="16" t="inlineStr">
        <is>
          <t>¿Qué hace usted?</t>
        </is>
      </c>
      <c r="L9" s="16" t="inlineStr">
        <is>
          <t>NO</t>
        </is>
      </c>
      <c r="M9" s="16" t="inlineStr">
        <is>
          <t>comun</t>
        </is>
      </c>
    </row>
    <row r="10" ht="23.25" customHeight="1" s="12">
      <c r="A10" s="22" t="inlineStr">
        <is>
          <t>K009</t>
        </is>
      </c>
      <c r="B10" s="22" t="inlineStr">
        <is>
          <t>Orientación a resultados</t>
        </is>
      </c>
      <c r="C10" s="22" t="inlineStr">
        <is>
          <t>Faltan dos semanas para el corte trimestral y su meta va en 60 %. Puede alcanzar el número visitando establecimientos pequeños y cercanos, o quedarse corto atendiendo tres plantas de alto riesgo que llevan un año sin visita.</t>
        </is>
      </c>
      <c r="D10" s="22" t="inlineStr">
        <is>
          <t>Completa la meta con los establecimientos pequeños y cercanos</t>
        </is>
      </c>
      <c r="E10" s="22" t="inlineStr">
        <is>
          <t>Divide el tiempo entre las plantas grandes y varios pequeños</t>
        </is>
      </c>
      <c r="F10" s="22" t="inlineStr">
        <is>
          <t>Visita las plantas de alto riesgo aunque baje la meta</t>
        </is>
      </c>
      <c r="G10" s="22" t="n">
        <v>1</v>
      </c>
      <c r="H10" s="22" t="n">
        <v>2</v>
      </c>
      <c r="I10" s="22" t="n">
        <v>3</v>
      </c>
      <c r="J10" s="22" t="inlineStr">
        <is>
          <t>SI</t>
        </is>
      </c>
      <c r="K10" s="16" t="inlineStr">
        <is>
          <t>¿Cuál es la conducta más efectiva?</t>
        </is>
      </c>
      <c r="L10" s="16" t="inlineStr">
        <is>
          <t>NO</t>
        </is>
      </c>
      <c r="M10" s="16" t="inlineStr">
        <is>
          <t>comun</t>
        </is>
      </c>
    </row>
    <row r="11" ht="23.25" customHeight="1" s="12">
      <c r="A11" s="22" t="inlineStr">
        <is>
          <t>K010</t>
        </is>
      </c>
      <c r="B11" s="22" t="inlineStr">
        <is>
          <t>Orientación a resultados</t>
        </is>
      </c>
      <c r="C11" s="22" t="inlineStr">
        <is>
          <t>Terminó sus visitas del mes el día 22. Su coordinador está de vacaciones, nadie le ha asignado nada más y dos compañeros están atrasados con sus actas, aunque no le han pedido ayuda.</t>
        </is>
      </c>
      <c r="D11" s="22" t="inlineStr">
        <is>
          <t>Adelanta la preparación de las visitas del mes siguiente</t>
        </is>
      </c>
      <c r="E11" s="22" t="inlineStr">
        <is>
          <t>Espera instrucciones hasta que regrese el coordinador</t>
        </is>
      </c>
      <c r="F11" s="22" t="inlineStr">
        <is>
          <t>Ofrece ayuda a los compañeros atrasados con las actas</t>
        </is>
      </c>
      <c r="G11" s="22" t="n">
        <v>2</v>
      </c>
      <c r="H11" s="22" t="n">
        <v>1</v>
      </c>
      <c r="I11" s="22" t="n">
        <v>3</v>
      </c>
      <c r="J11" s="22" t="inlineStr">
        <is>
          <t>SI</t>
        </is>
      </c>
      <c r="K11" s="16" t="inlineStr">
        <is>
          <t>¿Qué hace usted?</t>
        </is>
      </c>
      <c r="L11" s="16" t="inlineStr">
        <is>
          <t>NO</t>
        </is>
      </c>
      <c r="M11" s="16" t="inlineStr">
        <is>
          <t>comun</t>
        </is>
      </c>
    </row>
    <row r="12" ht="34.5" customHeight="1" s="12">
      <c r="A12" s="22" t="inlineStr">
        <is>
          <t>K011</t>
        </is>
      </c>
      <c r="B12" s="22" t="inlineStr">
        <is>
          <t>Comunicación efectiva</t>
        </is>
      </c>
      <c r="C12" s="22" t="inlineStr">
        <is>
          <t>Un panadero de barrio no entiende por qué le aplicaron una medida sanitaria. Habla poco español, su hija de 15 años traduce y él insiste en que siempre trabajó así. Usted tiene otra visita en 40 minutos.</t>
        </is>
      </c>
      <c r="D12" s="22" t="inlineStr">
        <is>
          <t>Le entrega el acta y le señala los artículos que puede consultar</t>
        </is>
      </c>
      <c r="E12" s="22" t="inlineStr">
        <is>
          <t>Le sugiere que un abogado le explique el alcance de la medida</t>
        </is>
      </c>
      <c r="F12" s="22" t="inlineStr">
        <is>
          <t>Le explica el hallazgo con palabras que él entienda</t>
        </is>
      </c>
      <c r="G12" s="22" t="n">
        <v>2</v>
      </c>
      <c r="H12" s="22" t="n">
        <v>1</v>
      </c>
      <c r="I12" s="22" t="n">
        <v>3</v>
      </c>
      <c r="J12" s="22" t="inlineStr">
        <is>
          <t>SI</t>
        </is>
      </c>
      <c r="K12" s="16" t="inlineStr">
        <is>
          <t>¿Cuál sería su primera acción?</t>
        </is>
      </c>
      <c r="L12" s="16" t="inlineStr">
        <is>
          <t>NO</t>
        </is>
      </c>
      <c r="M12" s="16" t="inlineStr">
        <is>
          <t>comun</t>
        </is>
      </c>
    </row>
    <row r="13" ht="23.25" customHeight="1" s="12">
      <c r="A13" s="22" t="inlineStr">
        <is>
          <t>K012</t>
        </is>
      </c>
      <c r="B13" s="22" t="inlineStr">
        <is>
          <t>Comunicación efectiva</t>
        </is>
      </c>
      <c r="C13" s="22" t="inlineStr">
        <is>
          <t>Debe presentar a directivos, en diez minutos, los resultados de un muestreo con hallazgos críticos. Ninguno es del área técnica y ya le avisaron que solo quieren saber qué decidir. Usted tiene 40 diapositivas preparadas.</t>
        </is>
      </c>
      <c r="D13" s="22" t="inlineStr">
        <is>
          <t>Presenta solo los hallazgos que exigen decisión</t>
        </is>
      </c>
      <c r="E13" s="22" t="inlineStr">
        <is>
          <t>Expone todas las diapositivas rápido, para no omitir información</t>
        </is>
      </c>
      <c r="F13" s="22" t="inlineStr">
        <is>
          <t>Envía el documento y pide reprogramar para presentarlo completo</t>
        </is>
      </c>
      <c r="G13" s="22" t="n">
        <v>3</v>
      </c>
      <c r="H13" s="22" t="n">
        <v>2</v>
      </c>
      <c r="I13" s="22" t="n">
        <v>1</v>
      </c>
      <c r="J13" s="22" t="inlineStr">
        <is>
          <t>SI</t>
        </is>
      </c>
      <c r="K13" s="16" t="inlineStr">
        <is>
          <t>¿Qué hace usted?</t>
        </is>
      </c>
      <c r="L13" s="16" t="inlineStr">
        <is>
          <t>NO</t>
        </is>
      </c>
      <c r="M13" s="16" t="inlineStr">
        <is>
          <t>comun</t>
        </is>
      </c>
    </row>
    <row r="14" ht="23.25" customHeight="1" s="12">
      <c r="A14" s="22" t="inlineStr">
        <is>
          <t>K013</t>
        </is>
      </c>
      <c r="B14" s="22" t="inlineStr">
        <is>
          <t>Gestión de procedimientos</t>
        </is>
      </c>
      <c r="C14" s="22" t="inlineStr">
        <is>
          <t>Un paso del procedimiento obliga a pedir dos veces el mismo documento al vigilado. Genera quejas y le cuesta media hora por visita. Cambiarlo exige pasar por el sistema de gestión, que demora dos meses.</t>
        </is>
      </c>
      <c r="D14" s="22" t="inlineStr">
        <is>
          <t>Aplica el paso completo y anota las quejas en cada acta de visita</t>
        </is>
      </c>
      <c r="E14" s="22" t="inlineStr">
        <is>
          <t>Omite la segunda solicitud, porque el documento ya está en poder suyo</t>
        </is>
      </c>
      <c r="F14" s="22" t="inlineStr">
        <is>
          <t>Propone la modificación por el canal, con los datos de reproceso</t>
        </is>
      </c>
      <c r="G14" s="22" t="n">
        <v>2</v>
      </c>
      <c r="H14" s="22" t="n">
        <v>1</v>
      </c>
      <c r="I14" s="22" t="n">
        <v>3</v>
      </c>
      <c r="J14" s="22" t="inlineStr">
        <is>
          <t>SI</t>
        </is>
      </c>
      <c r="K14" s="16" t="inlineStr">
        <is>
          <t>¿Qué hace usted?</t>
        </is>
      </c>
      <c r="L14" s="16" t="inlineStr">
        <is>
          <t>NO</t>
        </is>
      </c>
      <c r="M14" s="16" t="inlineStr">
        <is>
          <t>comun</t>
        </is>
      </c>
    </row>
    <row r="15" ht="23.25" customHeight="1" s="12">
      <c r="A15" s="22" t="inlineStr">
        <is>
          <t>K014</t>
        </is>
      </c>
      <c r="B15" s="22" t="inlineStr">
        <is>
          <t>Gestión de procedimientos</t>
        </is>
      </c>
      <c r="C15" s="22" t="inlineStr">
        <is>
          <t>Llega un profesional nuevo y su coordinador le pide que lo acompañe, además de sus propias visitas. En la primera salida el nuevo levanta un acta con errores que podrían anular la actuación.</t>
        </is>
      </c>
      <c r="D15" s="22" t="inlineStr">
        <is>
          <t>Corrige usted mismo las actas del nuevo durante el primer mes</t>
        </is>
      </c>
      <c r="E15" s="22" t="inlineStr">
        <is>
          <t>Le señala los errores y confía en que no volverán a ocurrir</t>
        </is>
      </c>
      <c r="F15" s="22" t="inlineStr">
        <is>
          <t>Revisa con él cada acta hasta que domine el formato</t>
        </is>
      </c>
      <c r="G15" s="22" t="n">
        <v>2</v>
      </c>
      <c r="H15" s="22" t="n">
        <v>1</v>
      </c>
      <c r="I15" s="22" t="n">
        <v>3</v>
      </c>
      <c r="J15" s="22" t="inlineStr">
        <is>
          <t>SI</t>
        </is>
      </c>
      <c r="K15" s="16" t="inlineStr">
        <is>
          <t>¿Cuál es la conducta más efectiva?</t>
        </is>
      </c>
      <c r="L15" s="16" t="inlineStr">
        <is>
          <t>NO</t>
        </is>
      </c>
      <c r="M15" s="16" t="inlineStr">
        <is>
          <t>comun</t>
        </is>
      </c>
    </row>
    <row r="16" ht="34.5" customHeight="1" s="12">
      <c r="A16" s="22" t="inlineStr">
        <is>
          <t>K015</t>
        </is>
      </c>
      <c r="B16" s="22" t="inlineStr">
        <is>
          <t>Instrumentación de decisiones</t>
        </is>
      </c>
      <c r="C16" s="22" t="inlineStr">
        <is>
          <t>Su coordinador necesita hoy un concepto para decidir si ordena una medida. Faltan resultados de laboratorio que llegan en cinco días y el producto sigue en el mercado durante ese tiempo.</t>
        </is>
      </c>
      <c r="D16" s="22" t="inlineStr">
        <is>
          <t>Entrega un concepto que señale sus propios límites</t>
        </is>
      </c>
      <c r="E16" s="22" t="inlineStr">
        <is>
          <t>Entrega los datos crudos para que el coordinador los interprete</t>
        </is>
      </c>
      <c r="F16" s="22" t="inlineStr">
        <is>
          <t>Pide esperar los resultados antes de emitir cualquier concepto</t>
        </is>
      </c>
      <c r="G16" s="22" t="n">
        <v>3</v>
      </c>
      <c r="H16" s="22" t="n">
        <v>1</v>
      </c>
      <c r="I16" s="22" t="n">
        <v>2</v>
      </c>
      <c r="J16" s="22" t="inlineStr">
        <is>
          <t>SI</t>
        </is>
      </c>
      <c r="K16" s="16" t="inlineStr">
        <is>
          <t>¿Qué hace usted?</t>
        </is>
      </c>
      <c r="L16" s="16" t="inlineStr">
        <is>
          <t>NO</t>
        </is>
      </c>
      <c r="M16" s="16" t="inlineStr">
        <is>
          <t>comun</t>
        </is>
      </c>
    </row>
    <row r="17" ht="34.5" customHeight="1" s="12">
      <c r="A17" s="22" t="inlineStr">
        <is>
          <t>K016</t>
        </is>
      </c>
      <c r="B17" s="22" t="inlineStr">
        <is>
          <t>Instrumentación de decisiones</t>
        </is>
      </c>
      <c r="C17" s="22" t="inlineStr">
        <is>
          <t>Debe recomendar entre dos alternativas técnicas. Una es la que su jefe ya mencionó en público; la otra tiene mejor soporte, pero implica reconocer que el proyecto va tarde. La información disponible es contradictoria.</t>
        </is>
      </c>
      <c r="D17" s="22" t="inlineStr">
        <is>
          <t>Presenta las dos alternativas sin inclinarse por ninguna</t>
        </is>
      </c>
      <c r="E17" s="22" t="inlineStr">
        <is>
          <t>Respalda la alternativa que el jefe mencionó públicamente</t>
        </is>
      </c>
      <c r="F17" s="22" t="inlineStr">
        <is>
          <t>Recomienda la alternativa con mejor soporte técnico</t>
        </is>
      </c>
      <c r="G17" s="22" t="n">
        <v>2</v>
      </c>
      <c r="H17" s="22" t="n">
        <v>1</v>
      </c>
      <c r="I17" s="22" t="n">
        <v>3</v>
      </c>
      <c r="J17" s="22" t="inlineStr">
        <is>
          <t>SI</t>
        </is>
      </c>
      <c r="K17" s="16" t="inlineStr">
        <is>
          <t>¿Cuál es la conducta más efectiva?</t>
        </is>
      </c>
      <c r="L17" s="16" t="inlineStr">
        <is>
          <t>NO</t>
        </is>
      </c>
      <c r="M17" s="16" t="inlineStr">
        <is>
          <t>comun</t>
        </is>
      </c>
    </row>
    <row r="18" ht="23.25" customHeight="1" s="12">
      <c r="A18" s="22" t="inlineStr">
        <is>
          <t>K017</t>
        </is>
      </c>
      <c r="B18" s="22" t="inlineStr">
        <is>
          <t>Compromiso con la organización</t>
        </is>
      </c>
      <c r="C18" s="22" t="inlineStr">
        <is>
          <t>Un contratista con el que trabaja a diario le pide ver el expediente de un competidor, 'solo para saber cómo va'. Le recuerda que él ayudó a sacar adelante su último informe y que nadie se enteraría.</t>
        </is>
      </c>
      <c r="D18" s="22" t="inlineStr">
        <is>
          <t>Mostrarle el expediente, porque él apoya el trabajo del área</t>
        </is>
      </c>
      <c r="E18" s="22" t="inlineStr">
        <is>
          <t>Contarle en términos generales en qué etapa va el trámite</t>
        </is>
      </c>
      <c r="F18" s="22" t="inlineStr">
        <is>
          <t>Indicarle el trámite formal para solicitar esa información</t>
        </is>
      </c>
      <c r="G18" s="22" t="n">
        <v>3</v>
      </c>
      <c r="H18" s="22" t="n">
        <v>2</v>
      </c>
      <c r="I18" s="22" t="n">
        <v>1</v>
      </c>
      <c r="J18" s="22" t="inlineStr">
        <is>
          <t>SI</t>
        </is>
      </c>
      <c r="K18" s="16" t="inlineStr">
        <is>
          <t>¿Cuál de estas conductas NO adoptaría?</t>
        </is>
      </c>
      <c r="L18" s="16" t="inlineStr">
        <is>
          <t>SI</t>
        </is>
      </c>
      <c r="M18" s="16" t="inlineStr">
        <is>
          <t>comun</t>
        </is>
      </c>
    </row>
    <row r="19" ht="23.25" customHeight="1" s="12">
      <c r="A19" s="22" t="inlineStr">
        <is>
          <t>K018</t>
        </is>
      </c>
      <c r="B19" s="22" t="inlineStr">
        <is>
          <t>Compromiso con la organización</t>
        </is>
      </c>
      <c r="C19" s="22" t="inlineStr">
        <is>
          <t>En un congreso, un colega de otra entidad afirma que el Invima demora los registros por negligencia. Hay periodistas en la sala. Usted conoce las cifras reales y sabe que la demora tiene otra causa.</t>
        </is>
      </c>
      <c r="D19" s="22" t="inlineStr">
        <is>
          <t>Escucha y luego informa el comentario a comunicaciones</t>
        </is>
      </c>
      <c r="E19" s="22" t="inlineStr">
        <is>
          <t>Aclara el punto con las cifras oficiales que conoce</t>
        </is>
      </c>
      <c r="F19" s="22" t="inlineStr">
        <is>
          <t>Deja pasar el comentario para no protagonizar un debate</t>
        </is>
      </c>
      <c r="G19" s="22" t="n">
        <v>2</v>
      </c>
      <c r="H19" s="22" t="n">
        <v>3</v>
      </c>
      <c r="I19" s="22" t="n">
        <v>1</v>
      </c>
      <c r="J19" s="22" t="inlineStr">
        <is>
          <t>SI</t>
        </is>
      </c>
      <c r="K19" s="16" t="inlineStr">
        <is>
          <t>¿Qué hace usted?</t>
        </is>
      </c>
      <c r="L19" s="16" t="inlineStr">
        <is>
          <t>NO</t>
        </is>
      </c>
      <c r="M19" s="16" t="inlineStr">
        <is>
          <t>comun</t>
        </is>
      </c>
    </row>
    <row r="20" ht="23.25" customHeight="1" s="12">
      <c r="A20" s="22" t="inlineStr">
        <is>
          <t>K019</t>
        </is>
      </c>
      <c r="B20" s="22" t="inlineStr">
        <is>
          <t>Aprendizaje continuo</t>
        </is>
      </c>
      <c r="C20" s="22" t="inlineStr">
        <is>
          <t>Ayer salió una resolución que cambia los requisitos que usted verifica. Su equipo tiene 14 visitas programadas esta semana y nadie ha leído la norma. La capacitación oficial está prevista en tres semanas.</t>
        </is>
      </c>
      <c r="D20" s="22" t="inlineStr">
        <is>
          <t>Pide aplazar las visitas hasta que llegue la capacitación</t>
        </is>
      </c>
      <c r="E20" s="22" t="inlineStr">
        <is>
          <t>Realiza las visitas con los criterios que venía aplicando</t>
        </is>
      </c>
      <c r="F20" s="22" t="inlineStr">
        <is>
          <t>Lee hoy la norma para ajustar las visitas de la semana</t>
        </is>
      </c>
      <c r="G20" s="22" t="n">
        <v>2</v>
      </c>
      <c r="H20" s="22" t="n">
        <v>1</v>
      </c>
      <c r="I20" s="22" t="n">
        <v>3</v>
      </c>
      <c r="J20" s="22" t="inlineStr">
        <is>
          <t>SI</t>
        </is>
      </c>
      <c r="K20" s="16" t="inlineStr">
        <is>
          <t>¿Cuál sería su primera acción?</t>
        </is>
      </c>
      <c r="L20" s="16" t="inlineStr">
        <is>
          <t>NO</t>
        </is>
      </c>
      <c r="M20" s="16" t="inlineStr">
        <is>
          <t>comun</t>
        </is>
      </c>
    </row>
    <row r="21" ht="23.25" customHeight="1" s="12">
      <c r="A21" s="22" t="inlineStr">
        <is>
          <t>K020</t>
        </is>
      </c>
      <c r="B21" s="22" t="inlineStr">
        <is>
          <t>Aprendizaje continuo</t>
        </is>
      </c>
      <c r="C21" s="22" t="inlineStr">
        <is>
          <t>Su jefe le devuelve un informe con una observación dura frente a otros compañeros. La observación es correcta: usted citó una norma derogada. Es la segunda vez este semestre. El informe debía radicarse hoy ante el Ministerio con su firma.</t>
        </is>
      </c>
      <c r="D21" s="22" t="inlineStr">
        <is>
          <t>Explica que la base de datos donde consultó estaba desactualizada</t>
        </is>
      </c>
      <c r="E21" s="22" t="inlineStr">
        <is>
          <t>Revisa cómo verifica la vigencia de las normas que cita</t>
        </is>
      </c>
      <c r="F21" s="22" t="inlineStr">
        <is>
          <t>Corrige el informe y pide que las observaciones sean en privado</t>
        </is>
      </c>
      <c r="G21" s="22" t="n">
        <v>1</v>
      </c>
      <c r="H21" s="22" t="n">
        <v>3</v>
      </c>
      <c r="I21" s="22" t="n">
        <v>2</v>
      </c>
      <c r="J21" s="22" t="inlineStr">
        <is>
          <t>SI</t>
        </is>
      </c>
      <c r="K21" s="16" t="inlineStr">
        <is>
          <t>¿Qué hace usted?</t>
        </is>
      </c>
      <c r="L21" s="16" t="inlineStr">
        <is>
          <t>NO</t>
        </is>
      </c>
      <c r="M21" s="16" t="inlineStr">
        <is>
          <t>comun</t>
        </is>
      </c>
    </row>
    <row r="22" ht="34.5" customHeight="1" s="12">
      <c r="A22" s="22" t="inlineStr">
        <is>
          <t>K021</t>
        </is>
      </c>
      <c r="B22" s="22" t="inlineStr">
        <is>
          <t>Orientación al usuario y al ciudadano</t>
        </is>
      </c>
      <c r="C22" s="22" t="inlineStr">
        <is>
          <t>Un empresario que usted conoce del barrio le escribe al celular: quiere saber si su registro fue aprobado, porque tiene un pedido grande esperando. El resultado sale publicado en tres días y usted ya lo conoce.</t>
        </is>
      </c>
      <c r="D22" s="22" t="inlineStr">
        <is>
          <t>Decirle que el resultado le llegará por el canal oficial</t>
        </is>
      </c>
      <c r="E22" s="22" t="inlineStr">
        <is>
          <t>Adelantarle el resultado por el chat, pidiéndole discreción</t>
        </is>
      </c>
      <c r="F22" s="22" t="inlineStr">
        <is>
          <t>Indicarle la fecha y el sitio donde se publica el resultado</t>
        </is>
      </c>
      <c r="G22" s="22" t="n">
        <v>2</v>
      </c>
      <c r="H22" s="22" t="n">
        <v>3</v>
      </c>
      <c r="I22" s="22" t="n">
        <v>1</v>
      </c>
      <c r="J22" s="22" t="inlineStr">
        <is>
          <t>SI</t>
        </is>
      </c>
      <c r="K22" s="16" t="inlineStr">
        <is>
          <t>¿Cuál de estas conductas NO adoptaría?</t>
        </is>
      </c>
      <c r="L22" s="16" t="inlineStr">
        <is>
          <t>SI</t>
        </is>
      </c>
      <c r="M22" s="16" t="inlineStr">
        <is>
          <t>comun</t>
        </is>
      </c>
    </row>
    <row r="23" ht="23.25" customHeight="1" s="12">
      <c r="A23" s="22" t="inlineStr">
        <is>
          <t>K022</t>
        </is>
      </c>
      <c r="B23" s="22" t="inlineStr">
        <is>
          <t>Orientación al usuario y al ciudadano</t>
        </is>
      </c>
      <c r="C23" s="22" t="inlineStr">
        <is>
          <t>La misma pregunta sobre un trámite llega quince veces por semana al correo del grupo. Responder cada una toma diez minutos. Nadie ha pedido que se publique una guía y el área de comunicaciones está saturada.</t>
        </is>
      </c>
      <c r="D23" s="22" t="inlineStr">
        <is>
          <t>Arma una respuesta modelo y la usa para contestar cada correo</t>
        </is>
      </c>
      <c r="E23" s="22" t="inlineStr">
        <is>
          <t>Redacta una guía breve para publicación</t>
        </is>
      </c>
      <c r="F23" s="22" t="inlineStr">
        <is>
          <t>Responde las que alcanza y deja las repetidas sin contestar</t>
        </is>
      </c>
      <c r="G23" s="22" t="n">
        <v>2</v>
      </c>
      <c r="H23" s="22" t="n">
        <v>3</v>
      </c>
      <c r="I23" s="22" t="n">
        <v>1</v>
      </c>
      <c r="J23" s="22" t="inlineStr">
        <is>
          <t>SI</t>
        </is>
      </c>
      <c r="K23" s="16" t="inlineStr">
        <is>
          <t>¿Qué hace usted?</t>
        </is>
      </c>
      <c r="L23" s="16" t="inlineStr">
        <is>
          <t>NO</t>
        </is>
      </c>
      <c r="M23" s="16" t="inlineStr">
        <is>
          <t>comun</t>
        </is>
      </c>
    </row>
    <row r="24" ht="23.25" customHeight="1" s="12">
      <c r="A24" s="22" t="inlineStr">
        <is>
          <t>K023</t>
        </is>
      </c>
      <c r="B24" s="22" t="inlineStr">
        <is>
          <t>Aporte técnico-profesional</t>
        </is>
      </c>
      <c r="C24" s="22" t="inlineStr">
        <is>
          <t>Un directivo va a sustentar ante el Ministerio una decisión con una cifra que usted sabe desactualizada. Falta una hora para la reunión y la cifra vigente cambia la conclusión del documento.</t>
        </is>
      </c>
      <c r="D24" s="22" t="inlineStr">
        <is>
          <t>Corrige la cifra en la presentación antes de que él la reciba</t>
        </is>
      </c>
      <c r="E24" s="22" t="inlineStr">
        <is>
          <t>Le informa el cambio antes de la reunión</t>
        </is>
      </c>
      <c r="F24" s="22" t="inlineStr">
        <is>
          <t>Deja la cifra y aclara el punto en el acta posterior de la reunión</t>
        </is>
      </c>
      <c r="G24" s="22" t="n">
        <v>2</v>
      </c>
      <c r="H24" s="22" t="n">
        <v>3</v>
      </c>
      <c r="I24" s="22" t="n">
        <v>1</v>
      </c>
      <c r="J24" s="22" t="inlineStr">
        <is>
          <t>SI</t>
        </is>
      </c>
      <c r="K24" s="16" t="inlineStr">
        <is>
          <t>¿Cuál sería su primera acción?</t>
        </is>
      </c>
      <c r="L24" s="16" t="inlineStr">
        <is>
          <t>NO</t>
        </is>
      </c>
      <c r="M24" s="16" t="inlineStr">
        <is>
          <t>comun</t>
        </is>
      </c>
    </row>
    <row r="25" ht="23.25" customHeight="1" s="12">
      <c r="A25" s="22" t="inlineStr">
        <is>
          <t>K024</t>
        </is>
      </c>
      <c r="B25" s="22" t="inlineStr">
        <is>
          <t>Aporte técnico-profesional</t>
        </is>
      </c>
      <c r="C25" s="22" t="inlineStr">
        <is>
          <t>Sale una norma que obliga a rediseñar un proyecto que su grupo lleva ocho meses ejecutando. Nadie más parece haberla notado y el coordinador está en comisión hasta el jueves. El contrato con el operador se firma el próximo lunes a primera hora.</t>
        </is>
      </c>
      <c r="D25" s="22" t="inlineStr">
        <is>
          <t>Analiza el impacto de la norma en el proyecto</t>
        </is>
      </c>
      <c r="E25" s="22" t="inlineStr">
        <is>
          <t>Espera a que el coordinador regrese y note la norma nueva</t>
        </is>
      </c>
      <c r="F25" s="22" t="inlineStr">
        <is>
          <t>Comunica la novedad al grupo y continúa con lo planeado</t>
        </is>
      </c>
      <c r="G25" s="22" t="n">
        <v>3</v>
      </c>
      <c r="H25" s="22" t="n">
        <v>1</v>
      </c>
      <c r="I25" s="22" t="n">
        <v>2</v>
      </c>
      <c r="J25" s="22" t="inlineStr">
        <is>
          <t>SI</t>
        </is>
      </c>
      <c r="K25" s="16" t="inlineStr">
        <is>
          <t>¿Qué hace usted?</t>
        </is>
      </c>
      <c r="L25" s="16" t="inlineStr">
        <is>
          <t>NO</t>
        </is>
      </c>
      <c r="M25" s="16" t="inlineStr">
        <is>
          <t>comun</t>
        </is>
      </c>
    </row>
    <row r="26" ht="23.25" customHeight="1" s="12">
      <c r="A26" s="22" t="inlineStr">
        <is>
          <t>K025</t>
        </is>
      </c>
      <c r="B26" s="22" t="inlineStr">
        <is>
          <t>Trabajo en equipo</t>
        </is>
      </c>
      <c r="C26" s="22" t="inlineStr">
        <is>
          <t>El equipo decidió, tras una discusión larga, un enfoque que usted considera equivocado. La decisión se tomó por mayoría y ya se comunicó al director. A usted le corresponde ejecutar la mitad del trabajo.</t>
        </is>
      </c>
      <c r="D26" s="22" t="inlineStr">
        <is>
          <t>Ejecuta lo acordado dejando por escrito sus reparos</t>
        </is>
      </c>
      <c r="E26" s="22" t="inlineStr">
        <is>
          <t>Ejecuta su parte con el enfoque que considera correcto</t>
        </is>
      </c>
      <c r="F26" s="22" t="inlineStr">
        <is>
          <t>Ejecuta lo acordado y guarda sus reparos para el informe final</t>
        </is>
      </c>
      <c r="G26" s="22" t="n">
        <v>3</v>
      </c>
      <c r="H26" s="22" t="n">
        <v>1</v>
      </c>
      <c r="I26" s="22" t="n">
        <v>2</v>
      </c>
      <c r="J26" s="22" t="inlineStr">
        <is>
          <t>SI</t>
        </is>
      </c>
      <c r="K26" s="16" t="inlineStr">
        <is>
          <t>¿Qué hace usted?</t>
        </is>
      </c>
      <c r="L26" s="16" t="inlineStr">
        <is>
          <t>NO</t>
        </is>
      </c>
      <c r="M26" s="16" t="inlineStr">
        <is>
          <t>comun</t>
        </is>
      </c>
    </row>
    <row r="27" ht="23.25" customHeight="1" s="12">
      <c r="A27" s="22" t="inlineStr">
        <is>
          <t>K026</t>
        </is>
      </c>
      <c r="B27" s="22" t="inlineStr">
        <is>
          <t>Trabajo en equipo</t>
        </is>
      </c>
      <c r="C27" s="22" t="inlineStr">
        <is>
          <t>Un compañero de otra dirección le pide una base de datos que le ahorraría dos semanas. La base es de trabajo interno, no tiene reserva legal y su jefe está de licencia. Ella la necesita para responder una tutela que vence el martes.</t>
        </is>
      </c>
      <c r="D27" s="22" t="inlineStr">
        <is>
          <t>La comparte por el canal institucional</t>
        </is>
      </c>
      <c r="E27" s="22" t="inlineStr">
        <is>
          <t>Le pide esperar a que regrese su jefe para autorizarlo</t>
        </is>
      </c>
      <c r="F27" s="22" t="inlineStr">
        <is>
          <t>Le explica que esa base es de uso exclusivo del área</t>
        </is>
      </c>
      <c r="G27" s="22" t="n">
        <v>3</v>
      </c>
      <c r="H27" s="22" t="n">
        <v>2</v>
      </c>
      <c r="I27" s="22" t="n">
        <v>1</v>
      </c>
      <c r="J27" s="22" t="inlineStr">
        <is>
          <t>SI</t>
        </is>
      </c>
      <c r="K27" s="16" t="inlineStr">
        <is>
          <t>¿Cuál es la conducta más efectiva?</t>
        </is>
      </c>
      <c r="L27" s="16" t="inlineStr">
        <is>
          <t>NO</t>
        </is>
      </c>
      <c r="M27" s="16" t="inlineStr">
        <is>
          <t>comun</t>
        </is>
      </c>
    </row>
    <row r="28" ht="34.5" customHeight="1" s="12">
      <c r="A28" s="22" t="inlineStr">
        <is>
          <t>K027</t>
        </is>
      </c>
      <c r="B28" s="22" t="inlineStr">
        <is>
          <t>Adaptación al cambio</t>
        </is>
      </c>
      <c r="C28" s="22" t="inlineStr">
        <is>
          <t>A mitad de año el director cambia las prioridades y su proyecto, con 70 % de avance, pasa a segundo plano. Nadie le dijo qué hacer con lo avanzado y usted cree que el proyecto sigue siendo necesario.</t>
        </is>
      </c>
      <c r="D28" s="22" t="inlineStr">
        <is>
          <t>Se pone al día con las nuevas prioridades del grupo</t>
        </is>
      </c>
      <c r="E28" s="22" t="inlineStr">
        <is>
          <t>Suspende todo y espera nuevas instrucciones de la dirección</t>
        </is>
      </c>
      <c r="F28" s="22" t="inlineStr">
        <is>
          <t>Sigue avanzando en el proyecto en los tiempos que le quedan</t>
        </is>
      </c>
      <c r="G28" s="22" t="n">
        <v>3</v>
      </c>
      <c r="H28" s="22" t="n">
        <v>1</v>
      </c>
      <c r="I28" s="22" t="n">
        <v>2</v>
      </c>
      <c r="J28" s="22" t="inlineStr">
        <is>
          <t>SI</t>
        </is>
      </c>
      <c r="K28" s="16" t="inlineStr">
        <is>
          <t>¿Qué hace usted?</t>
        </is>
      </c>
      <c r="L28" s="16" t="inlineStr">
        <is>
          <t>NO</t>
        </is>
      </c>
      <c r="M28" s="16" t="inlineStr">
        <is>
          <t>comun</t>
        </is>
      </c>
    </row>
    <row r="29" ht="34.5" customHeight="1" s="12">
      <c r="A29" s="22" t="inlineStr">
        <is>
          <t>K028</t>
        </is>
      </c>
      <c r="B29" s="22" t="inlineStr">
        <is>
          <t>Adaptación al cambio</t>
        </is>
      </c>
      <c r="C29" s="22" t="inlineStr">
        <is>
          <t>La entidad adopta turnos presenciales y remotos. Usted vive a dos horas de la sede y en los días presenciales pierde cuatro horas en transporte. Su equipo necesita coordinación diaria.</t>
        </is>
      </c>
      <c r="D29" s="22" t="inlineStr">
        <is>
          <t>Solicita quedar en remoto y compensa con más horas de trabajo</t>
        </is>
      </c>
      <c r="E29" s="22" t="inlineStr">
        <is>
          <t>Asiste a los turnos y reduce su respuesta en los días remotos</t>
        </is>
      </c>
      <c r="F29" s="22" t="inlineStr">
        <is>
          <t>Cumple los turnos presenciales acordados</t>
        </is>
      </c>
      <c r="G29" s="22" t="n">
        <v>2</v>
      </c>
      <c r="H29" s="22" t="n">
        <v>1</v>
      </c>
      <c r="I29" s="22" t="n">
        <v>3</v>
      </c>
      <c r="J29" s="22" t="inlineStr">
        <is>
          <t>SI</t>
        </is>
      </c>
      <c r="K29" s="16" t="inlineStr">
        <is>
          <t>¿Qué hace usted?</t>
        </is>
      </c>
      <c r="L29" s="16" t="inlineStr">
        <is>
          <t>NO</t>
        </is>
      </c>
      <c r="M29" s="16" t="inlineStr">
        <is>
          <t>comun</t>
        </is>
      </c>
    </row>
    <row r="30" ht="23.25" customHeight="1" s="12">
      <c r="A30" s="22" t="inlineStr">
        <is>
          <t>K029</t>
        </is>
      </c>
      <c r="B30" s="22" t="inlineStr">
        <is>
          <t>Orientación a resultados</t>
        </is>
      </c>
      <c r="C30" s="22" t="inlineStr">
        <is>
          <t>Un indicador de su grupo va a incumplirse por un error de su propio registro. Nadie lo ha notado y el informe se envía en cuatro días. Corregirlo revela que llevan dos meses reportando mal.</t>
        </is>
      </c>
      <c r="D30" s="22" t="inlineStr">
        <is>
          <t>Corregir el registro y explicarlo en el informe del trimestre</t>
        </is>
      </c>
      <c r="E30" s="22" t="inlineStr">
        <is>
          <t>Ajustar el criterio de cálculo para que el dato no se vea mal</t>
        </is>
      </c>
      <c r="F30" s="22" t="inlineStr">
        <is>
          <t>Corregir el registro e informar el error al coordinador hoy</t>
        </is>
      </c>
      <c r="G30" s="22" t="n">
        <v>2</v>
      </c>
      <c r="H30" s="22" t="n">
        <v>3</v>
      </c>
      <c r="I30" s="22" t="n">
        <v>1</v>
      </c>
      <c r="J30" s="22" t="inlineStr">
        <is>
          <t>SI</t>
        </is>
      </c>
      <c r="K30" s="16" t="inlineStr">
        <is>
          <t>¿Cuál de estas conductas NO adoptaría?</t>
        </is>
      </c>
      <c r="L30" s="16" t="inlineStr">
        <is>
          <t>SI</t>
        </is>
      </c>
      <c r="M30" s="16" t="inlineStr">
        <is>
          <t>comun</t>
        </is>
      </c>
    </row>
    <row r="31" ht="23.25" customHeight="1" s="12">
      <c r="A31" s="22" t="inlineStr">
        <is>
          <t>K030</t>
        </is>
      </c>
      <c r="B31" s="22" t="inlineStr">
        <is>
          <t>Orientación a resultados</t>
        </is>
      </c>
      <c r="C31" s="22" t="inlineStr">
        <is>
          <t>Tiene cinco tareas con el mismo plazo: dos actas vencidas, un concepto para una medida sanitaria, dos respuestas a peticiones que vencen mañana y un informe de gestión interno. Su coordinador le escribe pidiendo el informe interno para hoy.</t>
        </is>
      </c>
      <c r="D31" s="22" t="inlineStr">
        <is>
          <t>Empieza por el informe interno, que es el más rápido de hacer</t>
        </is>
      </c>
      <c r="E31" s="22" t="inlineStr">
        <is>
          <t>Organiza las cinco por orden de llegada y avanza sin parar</t>
        </is>
      </c>
      <c r="F31" s="22" t="inlineStr">
        <is>
          <t>Atiende primero lo que vence mañana</t>
        </is>
      </c>
      <c r="G31" s="22" t="n">
        <v>1</v>
      </c>
      <c r="H31" s="22" t="n">
        <v>2</v>
      </c>
      <c r="I31" s="22" t="n">
        <v>3</v>
      </c>
      <c r="J31" s="22" t="inlineStr">
        <is>
          <t>SI</t>
        </is>
      </c>
      <c r="K31" s="16" t="inlineStr">
        <is>
          <t>¿Cuál sería su primera acción?</t>
        </is>
      </c>
      <c r="L31" s="16" t="inlineStr">
        <is>
          <t>NO</t>
        </is>
      </c>
      <c r="M31" s="16" t="inlineStr">
        <is>
          <t>comun</t>
        </is>
      </c>
    </row>
    <row r="32" ht="23.25" customHeight="1" s="12">
      <c r="A32" s="22" t="inlineStr">
        <is>
          <t>K031</t>
        </is>
      </c>
      <c r="B32" s="22" t="inlineStr">
        <is>
          <t>Comunicación efectiva</t>
        </is>
      </c>
      <c r="C32" s="22" t="inlineStr">
        <is>
          <t>Un ciudadano responde que no entendió la respuesta que usted le envió y vuelve a radicar la misma petición. El texto era correcto en derecho, pero lleno de citas normativas. Ya van dos radicados por el mismo caso.</t>
        </is>
      </c>
      <c r="D32" s="22" t="inlineStr">
        <is>
          <t>Lo llama para explicarle en palabras corrientes</t>
        </is>
      </c>
      <c r="E32" s="22" t="inlineStr">
        <is>
          <t>Reenvía la respuesta con un resumen adjunto de dos párrafos</t>
        </is>
      </c>
      <c r="F32" s="22" t="inlineStr">
        <is>
          <t>Responde el nuevo radicado remitiéndose a la respuesta anterior</t>
        </is>
      </c>
      <c r="G32" s="22" t="n">
        <v>3</v>
      </c>
      <c r="H32" s="22" t="n">
        <v>2</v>
      </c>
      <c r="I32" s="22" t="n">
        <v>1</v>
      </c>
      <c r="J32" s="22" t="inlineStr">
        <is>
          <t>SI</t>
        </is>
      </c>
      <c r="K32" s="16" t="inlineStr">
        <is>
          <t>¿Qué hace usted?</t>
        </is>
      </c>
      <c r="L32" s="16" t="inlineStr">
        <is>
          <t>NO</t>
        </is>
      </c>
      <c r="M32" s="16" t="inlineStr">
        <is>
          <t>comun</t>
        </is>
      </c>
    </row>
    <row r="33" ht="23.25" customHeight="1" s="12">
      <c r="A33" s="22" t="inlineStr">
        <is>
          <t>K032</t>
        </is>
      </c>
      <c r="B33" s="22" t="inlineStr">
        <is>
          <t>Comunicación efectiva</t>
        </is>
      </c>
      <c r="C33" s="22" t="inlineStr">
        <is>
          <t>En una mesa con tres entidades, un delegado usa siglas técnicas que el resto no maneja. La reunión avanza sobre acuerdos que nadie está entendiendo igual y quedan diez minutos. El acta firmada será el soporte de un convenio interinstitucional.</t>
        </is>
      </c>
      <c r="D33" s="22" t="inlineStr">
        <is>
          <t>Pide aclarar los términos antes de cerrar los acuerdos</t>
        </is>
      </c>
      <c r="E33" s="22" t="inlineStr">
        <is>
          <t>Guarda silencio, porque el delegado es de mayor jerarquía</t>
        </is>
      </c>
      <c r="F33" s="22" t="inlineStr">
        <is>
          <t>Toma nota de las siglas y las aclara en el acta posterior</t>
        </is>
      </c>
      <c r="G33" s="22" t="n">
        <v>3</v>
      </c>
      <c r="H33" s="22" t="n">
        <v>1</v>
      </c>
      <c r="I33" s="22" t="n">
        <v>2</v>
      </c>
      <c r="J33" s="22" t="inlineStr">
        <is>
          <t>SI</t>
        </is>
      </c>
      <c r="K33" s="16" t="inlineStr">
        <is>
          <t>¿Cuál sería su primera acción?</t>
        </is>
      </c>
      <c r="L33" s="16" t="inlineStr">
        <is>
          <t>NO</t>
        </is>
      </c>
      <c r="M33" s="16" t="inlineStr">
        <is>
          <t>comun</t>
        </is>
      </c>
    </row>
    <row r="34" ht="23.25" customHeight="1" s="12">
      <c r="A34" s="22" t="inlineStr">
        <is>
          <t>K033</t>
        </is>
      </c>
      <c r="B34" s="22" t="inlineStr">
        <is>
          <t>Gestión de procedimientos</t>
        </is>
      </c>
      <c r="C34" s="22" t="inlineStr">
        <is>
          <t>Le llega un caso que no encaja en ningún procedimiento: un producto nuevo que la norma no clasifica. El vigilado exige respuesta esta semana y su coordinador dice que use su criterio.</t>
        </is>
      </c>
      <c r="D34" s="22" t="inlineStr">
        <is>
          <t>Devuelve el caso porque no existe procedimiento aplicable</t>
        </is>
      </c>
      <c r="E34" s="22" t="inlineStr">
        <is>
          <t>Resuelve el caso con la norma general aplicable</t>
        </is>
      </c>
      <c r="F34" s="22" t="inlineStr">
        <is>
          <t>Consulta a la oficina jurídica y aplaza la respuesta al vigilado</t>
        </is>
      </c>
      <c r="G34" s="22" t="n">
        <v>1</v>
      </c>
      <c r="H34" s="22" t="n">
        <v>3</v>
      </c>
      <c r="I34" s="22" t="n">
        <v>2</v>
      </c>
      <c r="J34" s="22" t="inlineStr">
        <is>
          <t>SI</t>
        </is>
      </c>
      <c r="K34" s="16" t="inlineStr">
        <is>
          <t>¿Qué hace usted?</t>
        </is>
      </c>
      <c r="L34" s="16" t="inlineStr">
        <is>
          <t>NO</t>
        </is>
      </c>
      <c r="M34" s="16" t="inlineStr">
        <is>
          <t>comun</t>
        </is>
      </c>
    </row>
    <row r="35" ht="23.25" customHeight="1" s="12">
      <c r="A35" s="22" t="inlineStr">
        <is>
          <t>K034</t>
        </is>
      </c>
      <c r="B35" s="22" t="inlineStr">
        <is>
          <t>Gestión de procedimientos</t>
        </is>
      </c>
      <c r="C35" s="22" t="inlineStr">
        <is>
          <t>Una auditoría concluye que su grupo no deja evidencia de un control que sí realizan. Documentarlo agrega quince minutos por caso y el grupo ya está atrasado. El hallazgo va al plan de mejoramiento.</t>
        </is>
      </c>
      <c r="D35" s="22" t="inlineStr">
        <is>
          <t>Responde que el control se hace, aunque no quede evidencia escrita</t>
        </is>
      </c>
      <c r="E35" s="22" t="inlineStr">
        <is>
          <t>Pide ampliar el plazo del plan para diseñar el registro con calma</t>
        </is>
      </c>
      <c r="F35" s="22" t="inlineStr">
        <is>
          <t>Define hoy un registro simple para ese control</t>
        </is>
      </c>
      <c r="G35" s="22" t="n">
        <v>1</v>
      </c>
      <c r="H35" s="22" t="n">
        <v>2</v>
      </c>
      <c r="I35" s="22" t="n">
        <v>3</v>
      </c>
      <c r="J35" s="22" t="inlineStr">
        <is>
          <t>SI</t>
        </is>
      </c>
      <c r="K35" s="16" t="inlineStr">
        <is>
          <t>¿Qué hace usted?</t>
        </is>
      </c>
      <c r="L35" s="16" t="inlineStr">
        <is>
          <t>NO</t>
        </is>
      </c>
      <c r="M35" s="16" t="inlineStr">
        <is>
          <t>comun</t>
        </is>
      </c>
    </row>
    <row r="36" ht="34.5" customHeight="1" s="12">
      <c r="A36" s="22" t="inlineStr">
        <is>
          <t>K035</t>
        </is>
      </c>
      <c r="B36" s="22" t="inlineStr">
        <is>
          <t>Instrumentación de decisiones</t>
        </is>
      </c>
      <c r="C36" s="22" t="inlineStr">
        <is>
          <t>Debe recomendar entre dos proveedores. Faltan dos certificados que uno de ellos no ha enviado y el contrato debe firmarse el viernes. Con la información actual, el más barato parece el más débil.</t>
        </is>
      </c>
      <c r="D36" s="22" t="inlineStr">
        <is>
          <t>Recomienda al más barato, porque el precio es el criterio objetivo</t>
        </is>
      </c>
      <c r="E36" s="22" t="inlineStr">
        <is>
          <t>Recomienda al proveedor completo y descarta al que no respondió</t>
        </is>
      </c>
      <c r="F36" s="22" t="inlineStr">
        <is>
          <t>Solicita los certificados faltantes antes del viernes</t>
        </is>
      </c>
      <c r="G36" s="22" t="n">
        <v>1</v>
      </c>
      <c r="H36" s="22" t="n">
        <v>2</v>
      </c>
      <c r="I36" s="22" t="n">
        <v>3</v>
      </c>
      <c r="J36" s="22" t="inlineStr">
        <is>
          <t>SI</t>
        </is>
      </c>
      <c r="K36" s="16" t="inlineStr">
        <is>
          <t>¿Cuál es la conducta más efectiva?</t>
        </is>
      </c>
      <c r="L36" s="16" t="inlineStr">
        <is>
          <t>NO</t>
        </is>
      </c>
      <c r="M36" s="16" t="inlineStr">
        <is>
          <t>comun</t>
        </is>
      </c>
    </row>
    <row r="37" ht="23.25" customHeight="1" s="12">
      <c r="A37" s="22" t="inlineStr">
        <is>
          <t>K036</t>
        </is>
      </c>
      <c r="B37" s="22" t="inlineStr">
        <is>
          <t>Instrumentación de decisiones</t>
        </is>
      </c>
      <c r="C37" s="22" t="inlineStr">
        <is>
          <t>Una decisión que usted recomendó salió mal: la medida se cayó en un recurso y el vigilado volvió a operar. Su jefe le pide explicaciones en el comité de la próxima semana. El expediente vuelve a su escritorio para una nueva decisión.</t>
        </is>
      </c>
      <c r="D37" s="22" t="inlineStr">
        <is>
          <t>Señala que el concepto jurídico del caso venía incompleto</t>
        </is>
      </c>
      <c r="E37" s="22" t="inlineStr">
        <is>
          <t>Explica que la información disponible no permitía otra cosa</t>
        </is>
      </c>
      <c r="F37" s="22" t="inlineStr">
        <is>
          <t>Lleva al comité el análisis de lo que falló</t>
        </is>
      </c>
      <c r="G37" s="22" t="n">
        <v>1</v>
      </c>
      <c r="H37" s="22" t="n">
        <v>2</v>
      </c>
      <c r="I37" s="22" t="n">
        <v>3</v>
      </c>
      <c r="J37" s="22" t="inlineStr">
        <is>
          <t>SI</t>
        </is>
      </c>
      <c r="K37" s="16" t="inlineStr">
        <is>
          <t>¿Qué hace usted?</t>
        </is>
      </c>
      <c r="L37" s="16" t="inlineStr">
        <is>
          <t>NO</t>
        </is>
      </c>
      <c r="M37" s="16" t="inlineStr">
        <is>
          <t>comun</t>
        </is>
      </c>
    </row>
    <row r="38" ht="23.25" customHeight="1" s="12">
      <c r="A38" s="22" t="inlineStr">
        <is>
          <t>K037</t>
        </is>
      </c>
      <c r="B38" s="22" t="inlineStr">
        <is>
          <t>Compromiso con la organización</t>
        </is>
      </c>
      <c r="C38" s="22" t="inlineStr">
        <is>
          <t>Le ofrecen asesorar una empresa de alimentos los sábados. No está vigilada por su grupo, pero sí por la entidad. El pago equivale a un tercio de su salario y su hijo entra a la universidad.</t>
        </is>
      </c>
      <c r="D38" s="22" t="inlineStr">
        <is>
          <t>Rechazar la oferta, por el conflicto con la función que ejerce</t>
        </is>
      </c>
      <c r="E38" s="22" t="inlineStr">
        <is>
          <t>Aceptar la asesoría, ya que es un sábado y otro grupo la vigila</t>
        </is>
      </c>
      <c r="F38" s="22" t="inlineStr">
        <is>
          <t>Consultar con control interno si existe conflicto de interés</t>
        </is>
      </c>
      <c r="G38" s="22" t="n">
        <v>1</v>
      </c>
      <c r="H38" s="22" t="n">
        <v>3</v>
      </c>
      <c r="I38" s="22" t="n">
        <v>2</v>
      </c>
      <c r="J38" s="22" t="inlineStr">
        <is>
          <t>SI</t>
        </is>
      </c>
      <c r="K38" s="16" t="inlineStr">
        <is>
          <t>¿Cuál de estas conductas NO adoptaría?</t>
        </is>
      </c>
      <c r="L38" s="16" t="inlineStr">
        <is>
          <t>SI</t>
        </is>
      </c>
      <c r="M38" s="16" t="inlineStr">
        <is>
          <t>comun</t>
        </is>
      </c>
    </row>
    <row r="39" ht="23.25" customHeight="1" s="12">
      <c r="A39" s="22" t="inlineStr">
        <is>
          <t>K038</t>
        </is>
      </c>
      <c r="B39" s="22" t="inlineStr">
        <is>
          <t>Compromiso con la organización</t>
        </is>
      </c>
      <c r="C39" s="22" t="inlineStr">
        <is>
          <t>En su dependencia se imprimen a color actas que van al archivo digital. El gasto mensual equivale a dos resmas por persona. Nadie ha dicho nada y el jefe autoriza cada pedido sin revisar.</t>
        </is>
      </c>
      <c r="D39" s="22" t="inlineStr">
        <is>
          <t>Reduce sus propias impresiones y deja que cada quien decida</t>
        </is>
      </c>
      <c r="E39" s="22" t="inlineStr">
        <is>
          <t>Propone imprimir solo lo estrictamente necesario</t>
        </is>
      </c>
      <c r="F39" s="22" t="inlineStr">
        <is>
          <t>Mantiene la práctica, porque el jefe autoriza cada pedido</t>
        </is>
      </c>
      <c r="G39" s="22" t="n">
        <v>2</v>
      </c>
      <c r="H39" s="22" t="n">
        <v>3</v>
      </c>
      <c r="I39" s="22" t="n">
        <v>1</v>
      </c>
      <c r="J39" s="22" t="inlineStr">
        <is>
          <t>SI</t>
        </is>
      </c>
      <c r="K39" s="16" t="inlineStr">
        <is>
          <t>¿Qué hace usted?</t>
        </is>
      </c>
      <c r="L39" s="16" t="inlineStr">
        <is>
          <t>NO</t>
        </is>
      </c>
      <c r="M39" s="16" t="inlineStr">
        <is>
          <t>comun</t>
        </is>
      </c>
    </row>
    <row r="40" ht="23.25" customHeight="1" s="12">
      <c r="A40" s="22" t="inlineStr">
        <is>
          <t>K039</t>
        </is>
      </c>
      <c r="B40" s="22" t="inlineStr">
        <is>
          <t>Aprendizaje continuo</t>
        </is>
      </c>
      <c r="C40" s="22" t="inlineStr">
        <is>
          <t>La entidad ofrece un curso virtual de 40 horas sobre la norma que usted aplica. Es fuera del horario, no otorga permiso y coincide con el cierre de semestre de su especialización. El grupo aplicará esa norma en el operativo del próximo trimestre.</t>
        </is>
      </c>
      <c r="D40" s="22" t="inlineStr">
        <is>
          <t>Toma el curso ajustando su agenda de estudio</t>
        </is>
      </c>
      <c r="E40" s="22" t="inlineStr">
        <is>
          <t>Aplaza el curso a la siguiente convocatoria de la entidad</t>
        </is>
      </c>
      <c r="F40" s="22" t="inlineStr">
        <is>
          <t>Descarta el curso, porque ya conoce la norma en la práctica</t>
        </is>
      </c>
      <c r="G40" s="22" t="n">
        <v>3</v>
      </c>
      <c r="H40" s="22" t="n">
        <v>2</v>
      </c>
      <c r="I40" s="22" t="n">
        <v>1</v>
      </c>
      <c r="J40" s="22" t="inlineStr">
        <is>
          <t>SI</t>
        </is>
      </c>
      <c r="K40" s="16" t="inlineStr">
        <is>
          <t>¿Qué hace usted?</t>
        </is>
      </c>
      <c r="L40" s="16" t="inlineStr">
        <is>
          <t>NO</t>
        </is>
      </c>
      <c r="M40" s="16" t="inlineStr">
        <is>
          <t>comun</t>
        </is>
      </c>
    </row>
    <row r="41" ht="23.25" customHeight="1" s="12">
      <c r="A41" s="22" t="inlineStr">
        <is>
          <t>K040</t>
        </is>
      </c>
      <c r="B41" s="22" t="inlineStr">
        <is>
          <t>Aprendizaje continuo</t>
        </is>
      </c>
      <c r="C41" s="22" t="inlineStr">
        <is>
          <t>Un profesional recién llegado propone una forma distinta de programar las visitas, que ahorraría un día por semana. El método actual lo diseñó usted hace cuatro años y el grupo ya lo domina.</t>
        </is>
      </c>
      <c r="D41" s="22" t="inlineStr">
        <is>
          <t>Prueba la propuesta en un grupo de visitas</t>
        </is>
      </c>
      <c r="E41" s="22" t="inlineStr">
        <is>
          <t>Mantiene el método actual, que el grupo ya conoce bien</t>
        </is>
      </c>
      <c r="F41" s="22" t="inlineStr">
        <is>
          <t>Lleva la propuesta al equipo para que todos opinen antes</t>
        </is>
      </c>
      <c r="G41" s="22" t="n">
        <v>3</v>
      </c>
      <c r="H41" s="22" t="n">
        <v>1</v>
      </c>
      <c r="I41" s="22" t="n">
        <v>2</v>
      </c>
      <c r="J41" s="22" t="inlineStr">
        <is>
          <t>SI</t>
        </is>
      </c>
      <c r="K41" s="16" t="inlineStr">
        <is>
          <t>¿Cuál es la conducta más efectiva?</t>
        </is>
      </c>
      <c r="L41" s="16" t="inlineStr">
        <is>
          <t>NO</t>
        </is>
      </c>
      <c r="M41" s="16" t="inlineStr">
        <is>
          <t>comun</t>
        </is>
      </c>
    </row>
    <row r="42" ht="23.25" customHeight="1" s="12">
      <c r="A42" s="22" t="inlineStr">
        <is>
          <t>K041</t>
        </is>
      </c>
      <c r="B42" s="22" t="inlineStr">
        <is>
          <t>Orientación al usuario y al ciudadano</t>
        </is>
      </c>
      <c r="C42" s="22" t="inlineStr">
        <is>
          <t>Un ciudadano llega pidiendo un certificado que la entidad no expide y que necesita hoy para un contrato. Ya fue a dos oficinas y lo devolvieron sin explicación. Usted sabe qué entidad lo emite, pero no el trámite exacto.</t>
        </is>
      </c>
      <c r="D42" s="22" t="inlineStr">
        <is>
          <t>Le dice qué entidad lo emite y cómo ubicar el trámite</t>
        </is>
      </c>
      <c r="E42" s="22" t="inlineStr">
        <is>
          <t>Le ofrece averiguar y devolverle la llamada más adelante</t>
        </is>
      </c>
      <c r="F42" s="22" t="inlineStr">
        <is>
          <t>Le confirma que aquí no se expide ese tipo de certificado</t>
        </is>
      </c>
      <c r="G42" s="22" t="n">
        <v>3</v>
      </c>
      <c r="H42" s="22" t="n">
        <v>1</v>
      </c>
      <c r="I42" s="22" t="n">
        <v>2</v>
      </c>
      <c r="J42" s="22" t="inlineStr">
        <is>
          <t>SI</t>
        </is>
      </c>
      <c r="K42" s="16" t="inlineStr">
        <is>
          <t>¿Cuál sería su primera acción?</t>
        </is>
      </c>
      <c r="L42" s="16" t="inlineStr">
        <is>
          <t>NO</t>
        </is>
      </c>
      <c r="M42" s="16" t="inlineStr">
        <is>
          <t>comun</t>
        </is>
      </c>
    </row>
    <row r="43" ht="23.25" customHeight="1" s="12">
      <c r="A43" s="22" t="inlineStr">
        <is>
          <t>K042</t>
        </is>
      </c>
      <c r="B43" s="22" t="inlineStr">
        <is>
          <t>Orientación al usuario y al ciudadano</t>
        </is>
      </c>
      <c r="C43" s="22" t="inlineStr">
        <is>
          <t>Tras una visita difícil, el representante de la empresa le entrega una caja de regalo navideña y le dice que es para todo el grupo, que todos los años hacen lo mismo. Hay dos compañeros presentes.</t>
        </is>
      </c>
      <c r="D43" s="22" t="inlineStr">
        <is>
          <t>Rechazar el obsequio y explicar por qué no puede aceptarlo</t>
        </is>
      </c>
      <c r="E43" s="22" t="inlineStr">
        <is>
          <t>Recibir la caja y dejarla en la sala del grupo para compartirla</t>
        </is>
      </c>
      <c r="F43" s="22" t="inlineStr">
        <is>
          <t>Recibir la caja y reportarla al jefe para que decida qué hacer</t>
        </is>
      </c>
      <c r="G43" s="22" t="n">
        <v>1</v>
      </c>
      <c r="H43" s="22" t="n">
        <v>3</v>
      </c>
      <c r="I43" s="22" t="n">
        <v>2</v>
      </c>
      <c r="J43" s="22" t="inlineStr">
        <is>
          <t>SI</t>
        </is>
      </c>
      <c r="K43" s="16" t="inlineStr">
        <is>
          <t>¿Cuál de estas conductas NO adoptaría?</t>
        </is>
      </c>
      <c r="L43" s="16" t="inlineStr">
        <is>
          <t>SI</t>
        </is>
      </c>
      <c r="M43" s="16" t="inlineStr">
        <is>
          <t>comun</t>
        </is>
      </c>
    </row>
    <row r="44" ht="23.25" customHeight="1" s="12">
      <c r="A44" s="22" t="inlineStr">
        <is>
          <t>K043</t>
        </is>
      </c>
      <c r="B44" s="22" t="inlineStr">
        <is>
          <t>Orientación al usuario y al ciudadano</t>
        </is>
      </c>
      <c r="C44" s="22" t="inlineStr">
        <is>
          <t>En la sede regional las filas llegan a tres horas los lunes. Usted atiende 30 personas al día y varias se van sin ser atendidas. La coordinación dice que no hay más personal disponible este año.</t>
        </is>
      </c>
      <c r="D44" s="22" t="inlineStr">
        <is>
          <t>Pide paciencia y explica que la entidad no tiene más personal</t>
        </is>
      </c>
      <c r="E44" s="22" t="inlineStr">
        <is>
          <t>Atiende más rápido reduciendo el tiempo de cada orientación</t>
        </is>
      </c>
      <c r="F44" s="22" t="inlineStr">
        <is>
          <t>Propone un esquema de turnos o citas con los datos de demanda</t>
        </is>
      </c>
      <c r="G44" s="22" t="n">
        <v>1</v>
      </c>
      <c r="H44" s="22" t="n">
        <v>2</v>
      </c>
      <c r="I44" s="22" t="n">
        <v>3</v>
      </c>
      <c r="J44" s="22" t="inlineStr">
        <is>
          <t>SI</t>
        </is>
      </c>
      <c r="K44" s="16" t="inlineStr">
        <is>
          <t>¿Cuál es la conducta más efectiva?</t>
        </is>
      </c>
      <c r="L44" s="16" t="inlineStr">
        <is>
          <t>NO</t>
        </is>
      </c>
      <c r="M44" s="16" t="inlineStr">
        <is>
          <t>comun</t>
        </is>
      </c>
    </row>
    <row r="45" ht="23.25" customHeight="1" s="12">
      <c r="A45" s="22" t="inlineStr">
        <is>
          <t>K044</t>
        </is>
      </c>
      <c r="B45" s="22" t="inlineStr">
        <is>
          <t>Aporte técnico-profesional</t>
        </is>
      </c>
      <c r="C45" s="22" t="inlineStr">
        <is>
          <t>Le piden un concepto sobre cosméticos, tema que no ha trabajado. El plazo vence en dos días, la empresa amenaza con tutela y el único experto del grupo está incapacitado. El peticionario ya radicó un derecho de petición por la demora.</t>
        </is>
      </c>
      <c r="D45" s="22" t="inlineStr">
        <is>
          <t>Solicita prórroga al peticionario mientras regresa el experto</t>
        </is>
      </c>
      <c r="E45" s="22" t="inlineStr">
        <is>
          <t>Estudia la normativa andina y consulta a un par de otra regional</t>
        </is>
      </c>
      <c r="F45" s="22" t="inlineStr">
        <is>
          <t>Emite el concepto con lo que recuerda de una capacitación previa</t>
        </is>
      </c>
      <c r="G45" s="22" t="n">
        <v>2</v>
      </c>
      <c r="H45" s="22" t="n">
        <v>3</v>
      </c>
      <c r="I45" s="22" t="n">
        <v>1</v>
      </c>
      <c r="J45" s="22" t="inlineStr">
        <is>
          <t>SI</t>
        </is>
      </c>
      <c r="K45" s="16" t="inlineStr">
        <is>
          <t>¿Qué hace usted?</t>
        </is>
      </c>
      <c r="L45" s="16" t="inlineStr">
        <is>
          <t>NO</t>
        </is>
      </c>
      <c r="M45" s="16" t="inlineStr">
        <is>
          <t>comun</t>
        </is>
      </c>
    </row>
    <row r="46" ht="23.25" customHeight="1" s="12">
      <c r="A46" s="22" t="inlineStr">
        <is>
          <t>K045</t>
        </is>
      </c>
      <c r="B46" s="22" t="inlineStr">
        <is>
          <t>Aporte técnico-profesional</t>
        </is>
      </c>
      <c r="C46" s="22" t="inlineStr">
        <is>
          <t>El formato de acta induce a error: dos casillas parecidas se diligencian al revés y ya hubo tres actas devueltas. Cambiar el formato exige pasar por gestión documental, que tarda seis semanas.</t>
        </is>
      </c>
      <c r="D46" s="22" t="inlineStr">
        <is>
          <t>Usa una versión propia del formato con las casillas corregidas</t>
        </is>
      </c>
      <c r="E46" s="22" t="inlineStr">
        <is>
          <t>Advierte al grupo del error mientras el formato sigue igual</t>
        </is>
      </c>
      <c r="F46" s="22" t="inlineStr">
        <is>
          <t>Propone el cambio con los ejemplos de las actas devueltas</t>
        </is>
      </c>
      <c r="G46" s="22" t="n">
        <v>1</v>
      </c>
      <c r="H46" s="22" t="n">
        <v>2</v>
      </c>
      <c r="I46" s="22" t="n">
        <v>3</v>
      </c>
      <c r="J46" s="22" t="inlineStr">
        <is>
          <t>SI</t>
        </is>
      </c>
      <c r="K46" s="16" t="inlineStr">
        <is>
          <t>¿Qué hace usted?</t>
        </is>
      </c>
      <c r="L46" s="16" t="inlineStr">
        <is>
          <t>NO</t>
        </is>
      </c>
      <c r="M46" s="16" t="inlineStr">
        <is>
          <t>comun</t>
        </is>
      </c>
    </row>
    <row r="47" ht="23.25" customHeight="1" s="12">
      <c r="A47" s="22" t="inlineStr">
        <is>
          <t>K046</t>
        </is>
      </c>
      <c r="B47" s="22" t="inlineStr">
        <is>
          <t>Aporte técnico-profesional</t>
        </is>
      </c>
      <c r="C47" s="22" t="inlineStr">
        <is>
          <t>Su jefe le pide resumir en una página, para la comunidad, un informe de 60 páginas sobre riesgos de un producto. Simplificar obliga a omitir matices técnicos que podrían malinterpretarse.</t>
        </is>
      </c>
      <c r="D47" s="22" t="inlineStr">
        <is>
          <t>Entrega el informe completo, porque resumirlo puede distorsionarlo</t>
        </is>
      </c>
      <c r="E47" s="22" t="inlineStr">
        <is>
          <t>Traduce el informe a lenguaje claro sin alterar la conclusión</t>
        </is>
      </c>
      <c r="F47" s="22" t="inlineStr">
        <is>
          <t>Resume solo las conclusiones y remite al informe completo</t>
        </is>
      </c>
      <c r="G47" s="22" t="n">
        <v>1</v>
      </c>
      <c r="H47" s="22" t="n">
        <v>3</v>
      </c>
      <c r="I47" s="22" t="n">
        <v>2</v>
      </c>
      <c r="J47" s="22" t="inlineStr">
        <is>
          <t>SI</t>
        </is>
      </c>
      <c r="K47" s="16" t="inlineStr">
        <is>
          <t>¿Cuál es la conducta más efectiva?</t>
        </is>
      </c>
      <c r="L47" s="16" t="inlineStr">
        <is>
          <t>NO</t>
        </is>
      </c>
      <c r="M47" s="16" t="inlineStr">
        <is>
          <t>comun</t>
        </is>
      </c>
    </row>
    <row r="48" ht="23.25" customHeight="1" s="12">
      <c r="A48" s="22" t="inlineStr">
        <is>
          <t>K047</t>
        </is>
      </c>
      <c r="B48" s="22" t="inlineStr">
        <is>
          <t>Trabajo en equipo</t>
        </is>
      </c>
      <c r="C48" s="22" t="inlineStr">
        <is>
          <t>En comité, un compañero presenta como propio el análisis que ustedes dos hicieron. El director lo felicita delante de todos. Usted tiene los archivos con las fechas de elaboración. El director le pide a él liderar la segunda fase del análisis.</t>
        </is>
      </c>
      <c r="D48" s="22" t="inlineStr">
        <is>
          <t>Aclara en el mismo comité que el análisis fue hecho por ambos</t>
        </is>
      </c>
      <c r="E48" s="22" t="inlineStr">
        <is>
          <t>Deja pasar el episodio y evita trabajar de nuevo con él</t>
        </is>
      </c>
      <c r="F48" s="22" t="inlineStr">
        <is>
          <t>Habla con él en privado para acordar cómo reconocer el aporte</t>
        </is>
      </c>
      <c r="G48" s="22" t="n">
        <v>2</v>
      </c>
      <c r="H48" s="22" t="n">
        <v>1</v>
      </c>
      <c r="I48" s="22" t="n">
        <v>3</v>
      </c>
      <c r="J48" s="22" t="inlineStr">
        <is>
          <t>SI</t>
        </is>
      </c>
      <c r="K48" s="16" t="inlineStr">
        <is>
          <t>¿Qué hace usted?</t>
        </is>
      </c>
      <c r="L48" s="16" t="inlineStr">
        <is>
          <t>NO</t>
        </is>
      </c>
      <c r="M48" s="16" t="inlineStr">
        <is>
          <t>comun</t>
        </is>
      </c>
    </row>
    <row r="49" ht="23.25" customHeight="1" s="12">
      <c r="A49" s="22" t="inlineStr">
        <is>
          <t>K048</t>
        </is>
      </c>
      <c r="B49" s="22" t="inlineStr">
        <is>
          <t>Trabajo en equipo</t>
        </is>
      </c>
      <c r="C49" s="22" t="inlineStr">
        <is>
          <t>Faltan 24 horas para entregar un informe conjunto y un integrante no responde llamadas ni correos desde hace tres días. Sin su parte, el informe queda incompleto y el grupo pierde el indicador.</t>
        </is>
      </c>
      <c r="D49" s="22" t="inlineStr">
        <is>
          <t>Lo busca por otro medio antes de mover la entrega</t>
        </is>
      </c>
      <c r="E49" s="22" t="inlineStr">
        <is>
          <t>Informa al coordinador que el integrante está ilocalizable</t>
        </is>
      </c>
      <c r="F49" s="22" t="inlineStr">
        <is>
          <t>Entrega el informe sin esa parte y explica el faltante después</t>
        </is>
      </c>
      <c r="G49" s="22" t="n">
        <v>3</v>
      </c>
      <c r="H49" s="22" t="n">
        <v>2</v>
      </c>
      <c r="I49" s="22" t="n">
        <v>1</v>
      </c>
      <c r="J49" s="22" t="inlineStr">
        <is>
          <t>SI</t>
        </is>
      </c>
      <c r="K49" s="16" t="inlineStr">
        <is>
          <t>¿Cuál sería su primera acción?</t>
        </is>
      </c>
      <c r="L49" s="16" t="inlineStr">
        <is>
          <t>NO</t>
        </is>
      </c>
      <c r="M49" s="16" t="inlineStr">
        <is>
          <t>comun</t>
        </is>
      </c>
    </row>
    <row r="50" ht="23.25" customHeight="1" s="12">
      <c r="A50" s="22" t="inlineStr">
        <is>
          <t>K049</t>
        </is>
      </c>
      <c r="B50" s="22" t="inlineStr">
        <is>
          <t>Trabajo en equipo</t>
        </is>
      </c>
      <c r="C50" s="22" t="inlineStr">
        <is>
          <t>Llega al grupo una profesional con más años de experiencia que usted, pero nueva en el sector sanitario. El coordinador le pide inducirla y ella deja ver que no le gusta que la orienten.</t>
        </is>
      </c>
      <c r="D50" s="22" t="inlineStr">
        <is>
          <t>La deja avanzar sola, porque tiene más experiencia que usted</t>
        </is>
      </c>
      <c r="E50" s="22" t="inlineStr">
        <is>
          <t>Le comparte lo esencial del sector y le ofrece resolver dudas</t>
        </is>
      </c>
      <c r="F50" s="22" t="inlineStr">
        <is>
          <t>Le entrega los procedimientos y espera que consulte si necesita</t>
        </is>
      </c>
      <c r="G50" s="22" t="n">
        <v>1</v>
      </c>
      <c r="H50" s="22" t="n">
        <v>3</v>
      </c>
      <c r="I50" s="22" t="n">
        <v>2</v>
      </c>
      <c r="J50" s="22" t="inlineStr">
        <is>
          <t>SI</t>
        </is>
      </c>
      <c r="K50" s="16" t="inlineStr">
        <is>
          <t>¿Qué hace usted?</t>
        </is>
      </c>
      <c r="L50" s="16" t="inlineStr">
        <is>
          <t>NO</t>
        </is>
      </c>
      <c r="M50" s="16" t="inlineStr">
        <is>
          <t>comun</t>
        </is>
      </c>
    </row>
    <row r="51" ht="23.25" customHeight="1" s="12">
      <c r="A51" s="22" t="inlineStr">
        <is>
          <t>K050</t>
        </is>
      </c>
      <c r="B51" s="22" t="inlineStr">
        <is>
          <t>Adaptación al cambio</t>
        </is>
      </c>
      <c r="C51" s="22" t="inlineStr">
        <is>
          <t>Le asignan una visita en una zona apartada del país, con dos días de anticipación. No conoce el vigilado, no hay actas previas digitalizadas y el viaje toma un día completo. Le adelantaron que el vigilado tiene dos sanciones anteriores.</t>
        </is>
      </c>
      <c r="D51" s="22" t="inlineStr">
        <is>
          <t>Pide aplazar la visita hasta tener el expediente completo</t>
        </is>
      </c>
      <c r="E51" s="22" t="inlineStr">
        <is>
          <t>Revisa el historial del vigilado antes de viajar</t>
        </is>
      </c>
      <c r="F51" s="22" t="inlineStr">
        <is>
          <t>Viaja y arma el criterio con lo que encuentre en el sitio</t>
        </is>
      </c>
      <c r="G51" s="22" t="n">
        <v>2</v>
      </c>
      <c r="H51" s="22" t="n">
        <v>3</v>
      </c>
      <c r="I51" s="22" t="n">
        <v>1</v>
      </c>
      <c r="J51" s="22" t="inlineStr">
        <is>
          <t>SI</t>
        </is>
      </c>
      <c r="K51" s="16" t="inlineStr">
        <is>
          <t>¿Cuál sería su primera acción?</t>
        </is>
      </c>
      <c r="L51" s="16" t="inlineStr">
        <is>
          <t>NO</t>
        </is>
      </c>
      <c r="M51" s="16" t="inlineStr">
        <is>
          <t>comun</t>
        </is>
      </c>
    </row>
    <row r="52" ht="23.25" customHeight="1" s="12">
      <c r="A52" s="22" t="inlineStr">
        <is>
          <t>K051</t>
        </is>
      </c>
      <c r="B52" s="22" t="inlineStr">
        <is>
          <t>Adaptación al cambio</t>
        </is>
      </c>
      <c r="C52" s="22" t="inlineStr">
        <is>
          <t>Una norma nueva cambia el procedimiento que usted aplica hace seis años y que le funciona. Dos compañeros dicen que van a seguir igual porque 'nadie se va a dar cuenta' y el coordinador no ha dicho nada.</t>
        </is>
      </c>
      <c r="D52" s="22" t="inlineStr">
        <is>
          <t>Aplicar la norma nueva y comentarlo en la reunión de grupo</t>
        </is>
      </c>
      <c r="E52" s="22" t="inlineStr">
        <is>
          <t>Seguir con el procedimiento anterior mientras nadie lo exija</t>
        </is>
      </c>
      <c r="F52" s="22" t="inlineStr">
        <is>
          <t>Aplicar la norma nueva desde la próxima visita programada</t>
        </is>
      </c>
      <c r="G52" s="22" t="n">
        <v>2</v>
      </c>
      <c r="H52" s="22" t="n">
        <v>3</v>
      </c>
      <c r="I52" s="22" t="n">
        <v>1</v>
      </c>
      <c r="J52" s="22" t="inlineStr">
        <is>
          <t>SI</t>
        </is>
      </c>
      <c r="K52" s="16" t="inlineStr">
        <is>
          <t>¿Cuál de estas conductas NO adoptaría?</t>
        </is>
      </c>
      <c r="L52" s="16" t="inlineStr">
        <is>
          <t>SI</t>
        </is>
      </c>
      <c r="M52" s="16" t="inlineStr">
        <is>
          <t>comun</t>
        </is>
      </c>
    </row>
    <row r="53" ht="23.25" customHeight="1" s="12">
      <c r="A53" s="22" t="inlineStr">
        <is>
          <t>K052</t>
        </is>
      </c>
      <c r="B53" s="22" t="inlineStr">
        <is>
          <t>Adaptación al cambio</t>
        </is>
      </c>
      <c r="C53" s="22" t="inlineStr">
        <is>
          <t>Llega un jefe nuevo que cambia la forma de revisar los conceptos: ahora exige dos revisiones cruzadas. El equipo se queja porque duplica el tiempo y usted comparte parte de la crítica.</t>
        </is>
      </c>
      <c r="D53" s="22" t="inlineStr">
        <is>
          <t>Aplica el cambio y traslada la queja del equipo al jefe</t>
        </is>
      </c>
      <c r="E53" s="22" t="inlineStr">
        <is>
          <t>Aplica el cambio solo en los conceptos más complejos</t>
        </is>
      </c>
      <c r="F53" s="22" t="inlineStr">
        <is>
          <t>Aplica el cambio y mide su efecto real en los tiempos</t>
        </is>
      </c>
      <c r="G53" s="22" t="n">
        <v>2</v>
      </c>
      <c r="H53" s="22" t="n">
        <v>1</v>
      </c>
      <c r="I53" s="22" t="n">
        <v>3</v>
      </c>
      <c r="J53" s="22" t="inlineStr">
        <is>
          <t>SI</t>
        </is>
      </c>
      <c r="K53" s="16" t="inlineStr">
        <is>
          <t>¿Qué hace usted?</t>
        </is>
      </c>
      <c r="L53" s="16" t="inlineStr">
        <is>
          <t>NO</t>
        </is>
      </c>
      <c r="M53" s="16" t="inlineStr">
        <is>
          <t>comun</t>
        </is>
      </c>
    </row>
    <row r="54" ht="23.25" customHeight="1" s="12">
      <c r="A54" s="22" t="inlineStr">
        <is>
          <t>K053</t>
        </is>
      </c>
      <c r="B54" s="22" t="inlineStr">
        <is>
          <t>Orientación a resultados</t>
        </is>
      </c>
      <c r="C54" s="22" t="inlineStr">
        <is>
          <t>Un trámite a su cargo acumula 300 casos de rezago, algunos de hace ocho meses. Atender el rezago implica frenar los casos nuevos, que también tienen términos corriendo. El más antiguo ya tiene una acción de tutela admitida en su contra.</t>
        </is>
      </c>
      <c r="D54" s="22" t="inlineStr">
        <is>
          <t>Atiende primero todo el rezago, empezando por el más antiguo</t>
        </is>
      </c>
      <c r="E54" s="22" t="inlineStr">
        <is>
          <t>Atiende los casos nuevos y deja el rezago para el próximo año</t>
        </is>
      </c>
      <c r="F54" s="22" t="inlineStr">
        <is>
          <t>Propone un plan que mezcle rezago y casos nuevos por riesgo</t>
        </is>
      </c>
      <c r="G54" s="22" t="n">
        <v>2</v>
      </c>
      <c r="H54" s="22" t="n">
        <v>1</v>
      </c>
      <c r="I54" s="22" t="n">
        <v>3</v>
      </c>
      <c r="J54" s="22" t="inlineStr">
        <is>
          <t>SI</t>
        </is>
      </c>
      <c r="K54" s="16" t="inlineStr">
        <is>
          <t>¿Cuál es la conducta más efectiva?</t>
        </is>
      </c>
      <c r="L54" s="16" t="inlineStr">
        <is>
          <t>NO</t>
        </is>
      </c>
      <c r="M54" s="16" t="inlineStr">
        <is>
          <t>comun</t>
        </is>
      </c>
    </row>
    <row r="55" ht="23.25" customHeight="1" s="12">
      <c r="A55" s="22" t="inlineStr">
        <is>
          <t>K054</t>
        </is>
      </c>
      <c r="B55" s="22" t="inlineStr">
        <is>
          <t>Orientación a resultados</t>
        </is>
      </c>
      <c r="C55" s="22" t="inlineStr">
        <is>
          <t>Su meta depende de información que debe entregar otra entidad. Llevan un mes sin responder los correos y el plazo vence en tres semanas. Su coordinador supone que todo avanza bien. El indicador del grupo depende de esa información en el corte.</t>
        </is>
      </c>
      <c r="D55" s="22" t="inlineStr">
        <is>
          <t>Informa al coordinador que la meta está en riesgo por terceros</t>
        </is>
      </c>
      <c r="E55" s="22" t="inlineStr">
        <is>
          <t>Busca un contacto directo en esa entidad esta semana</t>
        </is>
      </c>
      <c r="F55" s="22" t="inlineStr">
        <is>
          <t>Espera la respuesta y documenta los correos ya enviados</t>
        </is>
      </c>
      <c r="G55" s="22" t="n">
        <v>2</v>
      </c>
      <c r="H55" s="22" t="n">
        <v>3</v>
      </c>
      <c r="I55" s="22" t="n">
        <v>1</v>
      </c>
      <c r="J55" s="22" t="inlineStr">
        <is>
          <t>SI</t>
        </is>
      </c>
      <c r="K55" s="16" t="inlineStr">
        <is>
          <t>¿Qué hace usted?</t>
        </is>
      </c>
      <c r="L55" s="16" t="inlineStr">
        <is>
          <t>NO</t>
        </is>
      </c>
      <c r="M55" s="16" t="inlineStr">
        <is>
          <t>comun</t>
        </is>
      </c>
    </row>
    <row r="56" ht="23.25" customHeight="1" s="12">
      <c r="A56" s="22" t="inlineStr">
        <is>
          <t>K055</t>
        </is>
      </c>
      <c r="B56" s="22" t="inlineStr">
        <is>
          <t>Orientación a resultados</t>
        </is>
      </c>
      <c r="C56" s="22" t="inlineStr">
        <is>
          <t>Su informe mensual muestra 100 % de cumplimiento, pero usted sabe que cuatro actas se levantaron sin verificar todos los ítems. Nadie lo ha notado y el indicador del grupo depende de ese dato.</t>
        </is>
      </c>
      <c r="D56" s="22" t="inlineStr">
        <is>
          <t>Presentar el informe tal como está, ya que el dato es formalmente cierto</t>
        </is>
      </c>
      <c r="E56" s="22" t="inlineStr">
        <is>
          <t>Completar la verificación de esas actas antes de enviar el informe</t>
        </is>
      </c>
      <c r="F56" s="22" t="inlineStr">
        <is>
          <t>Presentar el informe advirtiendo que cuatro actas deben completarse</t>
        </is>
      </c>
      <c r="G56" s="22" t="n">
        <v>3</v>
      </c>
      <c r="H56" s="22" t="n">
        <v>1</v>
      </c>
      <c r="I56" s="22" t="n">
        <v>2</v>
      </c>
      <c r="J56" s="22" t="inlineStr">
        <is>
          <t>SI</t>
        </is>
      </c>
      <c r="K56" s="16" t="inlineStr">
        <is>
          <t>¿Cuál de estas conductas NO adoptaría?</t>
        </is>
      </c>
      <c r="L56" s="16" t="inlineStr">
        <is>
          <t>SI</t>
        </is>
      </c>
      <c r="M56" s="16" t="inlineStr">
        <is>
          <t>comun</t>
        </is>
      </c>
    </row>
    <row r="57" ht="23.25" customHeight="1" s="12">
      <c r="A57" s="22" t="inlineStr">
        <is>
          <t>K056</t>
        </is>
      </c>
      <c r="B57" s="22" t="inlineStr">
        <is>
          <t>Comunicación efectiva</t>
        </is>
      </c>
      <c r="C57" s="22" t="inlineStr">
        <is>
          <t>Debe comunicar a una pyme que su producto será retirado del mercado. Es su único producto, el dueño está en la sala y ya perdió un contrato por la investigación previa. La decisión se sustenta en dos análisis de laboratorio concordantes.</t>
        </is>
      </c>
      <c r="D57" s="22" t="inlineStr">
        <is>
          <t>Le anticipa que la decisión aún podría cambiar en el recurso</t>
        </is>
      </c>
      <c r="E57" s="22" t="inlineStr">
        <is>
          <t>Le comunica la decisión con claridad y los pasos que siguen</t>
        </is>
      </c>
      <c r="F57" s="22" t="inlineStr">
        <is>
          <t>Le entrega el acto administrativo para que lo lea con calma</t>
        </is>
      </c>
      <c r="G57" s="22" t="n">
        <v>1</v>
      </c>
      <c r="H57" s="22" t="n">
        <v>3</v>
      </c>
      <c r="I57" s="22" t="n">
        <v>2</v>
      </c>
      <c r="J57" s="22" t="inlineStr">
        <is>
          <t>SI</t>
        </is>
      </c>
      <c r="K57" s="16" t="inlineStr">
        <is>
          <t>¿Cuál sería su primera acción?</t>
        </is>
      </c>
      <c r="L57" s="16" t="inlineStr">
        <is>
          <t>NO</t>
        </is>
      </c>
      <c r="M57" s="16" t="inlineStr">
        <is>
          <t>comun</t>
        </is>
      </c>
    </row>
    <row r="58" ht="23.25" customHeight="1" s="12">
      <c r="A58" s="22" t="inlineStr">
        <is>
          <t>K057</t>
        </is>
      </c>
      <c r="B58" s="22" t="inlineStr">
        <is>
          <t>Comunicación efectiva</t>
        </is>
      </c>
      <c r="C58" s="22" t="inlineStr">
        <is>
          <t>En una mesa técnica un colega usa siglas que la mitad de la sala no conoce. Los acuerdos se están redactando sobre esos términos y el acta se firma al final de la sesión. Tres de los asistentes firman en representación de sus entidades.</t>
        </is>
      </c>
      <c r="D58" s="22" t="inlineStr">
        <is>
          <t>Anota las siglas y propone un glosario anexo al acta final</t>
        </is>
      </c>
      <c r="E58" s="22" t="inlineStr">
        <is>
          <t>Pide que se definan las siglas antes de redactar los acuerdos</t>
        </is>
      </c>
      <c r="F58" s="22" t="inlineStr">
        <is>
          <t>Deja que avance la sesión y consulta los términos después</t>
        </is>
      </c>
      <c r="G58" s="22" t="n">
        <v>2</v>
      </c>
      <c r="H58" s="22" t="n">
        <v>3</v>
      </c>
      <c r="I58" s="22" t="n">
        <v>1</v>
      </c>
      <c r="J58" s="22" t="inlineStr">
        <is>
          <t>SI</t>
        </is>
      </c>
      <c r="K58" s="16" t="inlineStr">
        <is>
          <t>¿Qué hace usted?</t>
        </is>
      </c>
      <c r="L58" s="16" t="inlineStr">
        <is>
          <t>NO</t>
        </is>
      </c>
      <c r="M58" s="16" t="inlineStr">
        <is>
          <t>comun</t>
        </is>
      </c>
    </row>
    <row r="59" ht="23.25" customHeight="1" s="12">
      <c r="A59" s="22" t="inlineStr">
        <is>
          <t>K058</t>
        </is>
      </c>
      <c r="B59" s="22" t="inlineStr">
        <is>
          <t>Comunicación efectiva</t>
        </is>
      </c>
      <c r="C59" s="22" t="inlineStr">
        <is>
          <t>Un ciudadano le escribe un correo con insultos porque su solicitud fue negada. La negativa está bien fundada. El correo tiene copia a la dirección general y a un concejal. Vence mañana el término para responder el nuevo radicado.</t>
        </is>
      </c>
      <c r="D59" s="22" t="inlineStr">
        <is>
          <t>Responde con respeto, centrado en los motivos de la decisión</t>
        </is>
      </c>
      <c r="E59" s="22" t="inlineStr">
        <is>
          <t>Remite el correo a su jefe para que él defina la respuesta</t>
        </is>
      </c>
      <c r="F59" s="22" t="inlineStr">
        <is>
          <t>Responde señalando el tono del mensaje antes que el fondo</t>
        </is>
      </c>
      <c r="G59" s="22" t="n">
        <v>3</v>
      </c>
      <c r="H59" s="22" t="n">
        <v>2</v>
      </c>
      <c r="I59" s="22" t="n">
        <v>1</v>
      </c>
      <c r="J59" s="22" t="inlineStr">
        <is>
          <t>SI</t>
        </is>
      </c>
      <c r="K59" s="16" t="inlineStr">
        <is>
          <t>¿Qué hace usted?</t>
        </is>
      </c>
      <c r="L59" s="16" t="inlineStr">
        <is>
          <t>NO</t>
        </is>
      </c>
      <c r="M59" s="16" t="inlineStr">
        <is>
          <t>comun</t>
        </is>
      </c>
    </row>
    <row r="60" ht="23.25" customHeight="1" s="12">
      <c r="A60" s="22" t="inlineStr">
        <is>
          <t>K059</t>
        </is>
      </c>
      <c r="B60" s="22" t="inlineStr">
        <is>
          <t>Gestión de procedimientos</t>
        </is>
      </c>
      <c r="C60" s="22" t="inlineStr">
        <is>
          <t>Descubre que cada profesional del grupo interpreta distinto un requisito: tres exigen el documento y dos lo dan por cumplido con una declaración. Un vigilado ya reclamó por trato desigual.</t>
        </is>
      </c>
      <c r="D60" s="22" t="inlineStr">
        <is>
          <t>Mantiene su criterio, que considera el más ajustado a la norma</t>
        </is>
      </c>
      <c r="E60" s="22" t="inlineStr">
        <is>
          <t>Promueve una sesión para fijar un criterio único del grupo</t>
        </is>
      </c>
      <c r="F60" s="22" t="inlineStr">
        <is>
          <t>Consulta a la oficina jurídica y aplica lo que ella responda</t>
        </is>
      </c>
      <c r="G60" s="22" t="n">
        <v>1</v>
      </c>
      <c r="H60" s="22" t="n">
        <v>3</v>
      </c>
      <c r="I60" s="22" t="n">
        <v>2</v>
      </c>
      <c r="J60" s="22" t="inlineStr">
        <is>
          <t>SI</t>
        </is>
      </c>
      <c r="K60" s="16" t="inlineStr">
        <is>
          <t>¿Cuál es la conducta más efectiva?</t>
        </is>
      </c>
      <c r="L60" s="16" t="inlineStr">
        <is>
          <t>NO</t>
        </is>
      </c>
      <c r="M60" s="16" t="inlineStr">
        <is>
          <t>comun</t>
        </is>
      </c>
    </row>
    <row r="61" ht="23.25" customHeight="1" s="12">
      <c r="A61" s="22" t="inlineStr">
        <is>
          <t>K060</t>
        </is>
      </c>
      <c r="B61" s="22" t="inlineStr">
        <is>
          <t>Gestión de procedimientos</t>
        </is>
      </c>
      <c r="C61" s="22" t="inlineStr">
        <is>
          <t>Su coordinador le pide omitir la verificación documental para alcanzar la meta del trimestre. Dice que asume la responsabilidad y que es solo por esta vez. Faltan cinco días para el corte.</t>
        </is>
      </c>
      <c r="D61" s="22" t="inlineStr">
        <is>
          <t>Cumplir la verificación y advertir que la meta no se alcanzará</t>
        </is>
      </c>
      <c r="E61" s="22" t="inlineStr">
        <is>
          <t>Omitir la verificación, ya que el coordinador asume la responsabilidad</t>
        </is>
      </c>
      <c r="F61" s="22" t="inlineStr">
        <is>
          <t>Proponer priorizar los casos de mayor riesgo dentro del plazo</t>
        </is>
      </c>
      <c r="G61" s="22" t="n">
        <v>2</v>
      </c>
      <c r="H61" s="22" t="n">
        <v>3</v>
      </c>
      <c r="I61" s="22" t="n">
        <v>1</v>
      </c>
      <c r="J61" s="22" t="inlineStr">
        <is>
          <t>SI</t>
        </is>
      </c>
      <c r="K61" s="16" t="inlineStr">
        <is>
          <t>¿Cuál de estas conductas NO adoptaría?</t>
        </is>
      </c>
      <c r="L61" s="16" t="inlineStr">
        <is>
          <t>SI</t>
        </is>
      </c>
      <c r="M61" s="16" t="inlineStr">
        <is>
          <t>comun</t>
        </is>
      </c>
    </row>
    <row r="62" ht="23.25" customHeight="1" s="12">
      <c r="A62" s="22" t="inlineStr">
        <is>
          <t>K061</t>
        </is>
      </c>
      <c r="B62" s="22" t="inlineStr">
        <is>
          <t>Gestión de procedimientos</t>
        </is>
      </c>
      <c r="C62" s="22" t="inlineStr">
        <is>
          <t>Le encargan diseñar el procedimiento de un trámite nuevo. Tiene una semana, no hay antecedentes en la entidad y quienes lo van a aplicar están en operativos hasta el viernes. El trámite empieza a recibirse en línea dentro de quince días.</t>
        </is>
      </c>
      <c r="D62" s="22" t="inlineStr">
        <is>
          <t>Redacta una versión y la valida con quienes lo aplicarán</t>
        </is>
      </c>
      <c r="E62" s="22" t="inlineStr">
        <is>
          <t>Redacta el procedimiento solo, para cumplir con el plazo</t>
        </is>
      </c>
      <c r="F62" s="22" t="inlineStr">
        <is>
          <t>Adapta el procedimiento de otra entidad con ajustes mínimos</t>
        </is>
      </c>
      <c r="G62" s="22" t="n">
        <v>3</v>
      </c>
      <c r="H62" s="22" t="n">
        <v>1</v>
      </c>
      <c r="I62" s="22" t="n">
        <v>2</v>
      </c>
      <c r="J62" s="22" t="inlineStr">
        <is>
          <t>SI</t>
        </is>
      </c>
      <c r="K62" s="16" t="inlineStr">
        <is>
          <t>¿Qué hace usted?</t>
        </is>
      </c>
      <c r="L62" s="16" t="inlineStr">
        <is>
          <t>NO</t>
        </is>
      </c>
      <c r="M62" s="16" t="inlineStr">
        <is>
          <t>comun</t>
        </is>
      </c>
    </row>
    <row r="63" ht="34.5" customHeight="1" s="12">
      <c r="A63" s="22" t="inlineStr">
        <is>
          <t>K062</t>
        </is>
      </c>
      <c r="B63" s="22" t="inlineStr">
        <is>
          <t>Instrumentación de decisiones</t>
        </is>
      </c>
      <c r="C63" s="22" t="inlineStr">
        <is>
          <t>Hay presión para decidir hoy sobre un lote sospechoso. El análisis llega en cuatro días, el producto es de consumo infantil y el titular amenaza con demandar si se ordena el retiro.</t>
        </is>
      </c>
      <c r="D63" s="22" t="inlineStr">
        <is>
          <t>Pide concepto jurídico antes de adoptar cualquier medida</t>
        </is>
      </c>
      <c r="E63" s="22" t="inlineStr">
        <is>
          <t>Adopta la medida preventiva proporcional al riesgo detectado</t>
        </is>
      </c>
      <c r="F63" s="22" t="inlineStr">
        <is>
          <t>Espera el análisis y refuerza la vigilancia del producto</t>
        </is>
      </c>
      <c r="G63" s="22" t="n">
        <v>1</v>
      </c>
      <c r="H63" s="22" t="n">
        <v>3</v>
      </c>
      <c r="I63" s="22" t="n">
        <v>2</v>
      </c>
      <c r="J63" s="22" t="inlineStr">
        <is>
          <t>SI</t>
        </is>
      </c>
      <c r="K63" s="16" t="inlineStr">
        <is>
          <t>¿Cuál es la conducta más efectiva?</t>
        </is>
      </c>
      <c r="L63" s="16" t="inlineStr">
        <is>
          <t>NO</t>
        </is>
      </c>
      <c r="M63" s="16" t="inlineStr">
        <is>
          <t>comun</t>
        </is>
      </c>
    </row>
    <row r="64" ht="23.25" customHeight="1" s="12">
      <c r="A64" s="22" t="inlineStr">
        <is>
          <t>K063</t>
        </is>
      </c>
      <c r="B64" s="22" t="inlineStr">
        <is>
          <t>Instrumentación de decisiones</t>
        </is>
      </c>
      <c r="C64" s="22" t="inlineStr">
        <is>
          <t>Dos normas se contradicen: una resolución de 2013 y un decreto de 2023. El vigilado invoca la que le conviene y la oficina jurídica tarda un mes en responder. La decisión vence en diez días.</t>
        </is>
      </c>
      <c r="D64" s="22" t="inlineStr">
        <is>
          <t>Aplica la de mayor jerarquía y sustenta el criterio por escrito</t>
        </is>
      </c>
      <c r="E64" s="22" t="inlineStr">
        <is>
          <t>Consulta a jurídica y pide prórroga al peticionario mientras llega</t>
        </is>
      </c>
      <c r="F64" s="22" t="inlineStr">
        <is>
          <t>Aplica la norma que el vigilado invoca, para evitar el litigio</t>
        </is>
      </c>
      <c r="G64" s="22" t="n">
        <v>3</v>
      </c>
      <c r="H64" s="22" t="n">
        <v>2</v>
      </c>
      <c r="I64" s="22" t="n">
        <v>1</v>
      </c>
      <c r="J64" s="22" t="inlineStr">
        <is>
          <t>SI</t>
        </is>
      </c>
      <c r="K64" s="16" t="inlineStr">
        <is>
          <t>¿Qué hace usted?</t>
        </is>
      </c>
      <c r="L64" s="16" t="inlineStr">
        <is>
          <t>NO</t>
        </is>
      </c>
      <c r="M64" s="16" t="inlineStr">
        <is>
          <t>comun</t>
        </is>
      </c>
    </row>
    <row r="65" ht="23.25" customHeight="1" s="12">
      <c r="A65" s="22" t="inlineStr">
        <is>
          <t>K064</t>
        </is>
      </c>
      <c r="B65" s="22" t="inlineStr">
        <is>
          <t>Instrumentación de decisiones</t>
        </is>
      </c>
      <c r="C65" s="22" t="inlineStr">
        <is>
          <t>Su jefe rechaza una recomendación suya sobre una medida sanitaria y decide lo contrario, sin explicar por qué. Usted mantiene su criterio técnico y el caso puede llegar a los medios.</t>
        </is>
      </c>
      <c r="D65" s="22" t="inlineStr">
        <is>
          <t>Insiste en su recomendación ante el jefe del jefe</t>
        </is>
      </c>
      <c r="E65" s="22" t="inlineStr">
        <is>
          <t>Deja por escrito su concepto técnico y acata la decisión</t>
        </is>
      </c>
      <c r="F65" s="22" t="inlineStr">
        <is>
          <t>Pregunta los criterios de la decisión antes de ejecutarla</t>
        </is>
      </c>
      <c r="G65" s="22" t="n">
        <v>1</v>
      </c>
      <c r="H65" s="22" t="n">
        <v>3</v>
      </c>
      <c r="I65" s="22" t="n">
        <v>2</v>
      </c>
      <c r="J65" s="22" t="inlineStr">
        <is>
          <t>SI</t>
        </is>
      </c>
      <c r="K65" s="16" t="inlineStr">
        <is>
          <t>¿Qué hace usted?</t>
        </is>
      </c>
      <c r="L65" s="16" t="inlineStr">
        <is>
          <t>NO</t>
        </is>
      </c>
      <c r="M65" s="16" t="inlineStr">
        <is>
          <t>comun</t>
        </is>
      </c>
    </row>
    <row r="66" ht="34.5" customHeight="1" s="12">
      <c r="A66" s="22" t="inlineStr">
        <is>
          <t>K065</t>
        </is>
      </c>
      <c r="B66" s="22" t="inlineStr">
        <is>
          <t>Compromiso con la organización</t>
        </is>
      </c>
      <c r="C66" s="22" t="inlineStr">
        <is>
          <t>Un amigo cercano le pide que le adelante el turno de una inspección de su negocio, que lleva cuatro meses en cola. Nadie revisa el orden y otras tres empresas llevan más tiempo esperando.</t>
        </is>
      </c>
      <c r="D66" s="22" t="inlineStr">
        <is>
          <t>Adelantar la inspección, ya que nadie revisa el orden de la cola</t>
        </is>
      </c>
      <c r="E66" s="22" t="inlineStr">
        <is>
          <t>Explicarle el criterio con que se programa cada inspección</t>
        </is>
      </c>
      <c r="F66" s="22" t="inlineStr">
        <is>
          <t>Mantener el turno y decirle cuándo se realizaría su visita</t>
        </is>
      </c>
      <c r="G66" s="22" t="n">
        <v>3</v>
      </c>
      <c r="H66" s="22" t="n">
        <v>2</v>
      </c>
      <c r="I66" s="22" t="n">
        <v>1</v>
      </c>
      <c r="J66" s="22" t="inlineStr">
        <is>
          <t>SI</t>
        </is>
      </c>
      <c r="K66" s="16" t="inlineStr">
        <is>
          <t>¿Cuál de estas conductas NO adoptaría?</t>
        </is>
      </c>
      <c r="L66" s="16" t="inlineStr">
        <is>
          <t>SI</t>
        </is>
      </c>
      <c r="M66" s="16" t="inlineStr">
        <is>
          <t>comun</t>
        </is>
      </c>
    </row>
    <row r="67" ht="23.25" customHeight="1" s="12">
      <c r="A67" s="22" t="inlineStr">
        <is>
          <t>K066</t>
        </is>
      </c>
      <c r="B67" s="22" t="inlineStr">
        <is>
          <t>Compromiso con la organización</t>
        </is>
      </c>
      <c r="C67" s="22" t="inlineStr">
        <is>
          <t>Un compañero usa el vehículo oficial para diligencias personales los viernes. Lleva meses haciéndolo, todo el grupo lo sabe y él dice que compensa con horas extra no pagadas. Mañana hay auditoría interna sobre el uso del parque automotor.</t>
        </is>
      </c>
      <c r="D67" s="22" t="inlineStr">
        <is>
          <t>Informa el hecho al coordinador del grupo sin hablar con él</t>
        </is>
      </c>
      <c r="E67" s="22" t="inlineStr">
        <is>
          <t>Evita el tema, porque el compañero trabaja horas de más</t>
        </is>
      </c>
      <c r="F67" s="22" t="inlineStr">
        <is>
          <t>Le advierte que esa práctica compromete su responsabilidad</t>
        </is>
      </c>
      <c r="G67" s="22" t="n">
        <v>2</v>
      </c>
      <c r="H67" s="22" t="n">
        <v>1</v>
      </c>
      <c r="I67" s="22" t="n">
        <v>3</v>
      </c>
      <c r="J67" s="22" t="inlineStr">
        <is>
          <t>SI</t>
        </is>
      </c>
      <c r="K67" s="16" t="inlineStr">
        <is>
          <t>¿Qué hace usted?</t>
        </is>
      </c>
      <c r="L67" s="16" t="inlineStr">
        <is>
          <t>NO</t>
        </is>
      </c>
      <c r="M67" s="16" t="inlineStr">
        <is>
          <t>comun</t>
        </is>
      </c>
    </row>
    <row r="68" ht="34.5" customHeight="1" s="12">
      <c r="A68" s="22" t="inlineStr">
        <is>
          <t>K067</t>
        </is>
      </c>
      <c r="B68" s="22" t="inlineStr">
        <is>
          <t>Compromiso con la organización</t>
        </is>
      </c>
      <c r="C68" s="22" t="inlineStr">
        <is>
          <t>Un periodista lo llama al celular por una decisión técnica que usted firmó y que hoy es noticia. Pide una explicación breve y dice que publicará con o sin su versión, en dos horas. La oficina de comunicaciones no ha respondido su mensaje aún.</t>
        </is>
      </c>
      <c r="D68" s="22" t="inlineStr">
        <is>
          <t>Le explica el fundamento técnico sin opinar sobre lo demás</t>
        </is>
      </c>
      <c r="E68" s="22" t="inlineStr">
        <is>
          <t>Remite la solicitud a la oficina de comunicaciones de inmediato</t>
        </is>
      </c>
      <c r="F68" s="22" t="inlineStr">
        <is>
          <t>Le pide que envíe sus preguntas por escrito a su correo</t>
        </is>
      </c>
      <c r="G68" s="22" t="n">
        <v>2</v>
      </c>
      <c r="H68" s="22" t="n">
        <v>3</v>
      </c>
      <c r="I68" s="22" t="n">
        <v>1</v>
      </c>
      <c r="J68" s="22" t="inlineStr">
        <is>
          <t>SI</t>
        </is>
      </c>
      <c r="K68" s="16" t="inlineStr">
        <is>
          <t>¿Cuál sería su primera acción?</t>
        </is>
      </c>
      <c r="L68" s="16" t="inlineStr">
        <is>
          <t>NO</t>
        </is>
      </c>
      <c r="M68" s="16" t="inlineStr">
        <is>
          <t>comun</t>
        </is>
      </c>
    </row>
    <row r="69" ht="23.25" customHeight="1" s="12">
      <c r="A69" s="22" t="inlineStr">
        <is>
          <t>K068</t>
        </is>
      </c>
      <c r="B69" s="22" t="inlineStr">
        <is>
          <t>Aprendizaje continuo</t>
        </is>
      </c>
      <c r="C69" s="22" t="inlineStr">
        <is>
          <t>En una visita usted olvidó verificar el plan de saneamiento y el acta ya se firmó. El vigilado quedó con concepto favorable y hay una queja ciudadana sobre ese mismo punto. La queja la trasladaron hoy a su grupo para respuesta en cinco días.</t>
        </is>
      </c>
      <c r="D69" s="22" t="inlineStr">
        <is>
          <t>Reconocer la omisión en el expediente y corregir la actuación</t>
        </is>
      </c>
      <c r="E69" s="22" t="inlineStr">
        <is>
          <t>Esperar la próxima visita programada para revisar ese punto</t>
        </is>
      </c>
      <c r="F69" s="22" t="inlineStr">
        <is>
          <t>Informar el error y programar la verificación faltante</t>
        </is>
      </c>
      <c r="G69" s="22" t="n">
        <v>1</v>
      </c>
      <c r="H69" s="22" t="n">
        <v>3</v>
      </c>
      <c r="I69" s="22" t="n">
        <v>2</v>
      </c>
      <c r="J69" s="22" t="inlineStr">
        <is>
          <t>SI</t>
        </is>
      </c>
      <c r="K69" s="16" t="inlineStr">
        <is>
          <t>¿Cuál de estas conductas NO adoptaría?</t>
        </is>
      </c>
      <c r="L69" s="16" t="inlineStr">
        <is>
          <t>SI</t>
        </is>
      </c>
      <c r="M69" s="16" t="inlineStr">
        <is>
          <t>comun</t>
        </is>
      </c>
    </row>
    <row r="70" ht="23.25" customHeight="1" s="12">
      <c r="A70" s="22" t="inlineStr">
        <is>
          <t>K069</t>
        </is>
      </c>
      <c r="B70" s="22" t="inlineStr">
        <is>
          <t>Aprendizaje continuo</t>
        </is>
      </c>
      <c r="C70" s="22" t="inlineStr">
        <is>
          <t>El laboratorio adquiere un equipo nuevo que cambia el método de ensayo. La capacitación es de 20 horas, fuera de su horario, y su carga actual ya es alta. Dos compañeros decidieron no asistir.</t>
        </is>
      </c>
      <c r="D70" s="22" t="inlineStr">
        <is>
          <t>Se capacita para operar el equipo desde su implementación</t>
        </is>
      </c>
      <c r="E70" s="22" t="inlineStr">
        <is>
          <t>Aplaza la capacitación hasta que el equipo entre en uso</t>
        </is>
      </c>
      <c r="F70" s="22" t="inlineStr">
        <is>
          <t>Pide que la capacitación se programe en horario laboral</t>
        </is>
      </c>
      <c r="G70" s="22" t="n">
        <v>3</v>
      </c>
      <c r="H70" s="22" t="n">
        <v>1</v>
      </c>
      <c r="I70" s="22" t="n">
        <v>2</v>
      </c>
      <c r="J70" s="22" t="inlineStr">
        <is>
          <t>SI</t>
        </is>
      </c>
      <c r="K70" s="16" t="inlineStr">
        <is>
          <t>¿Qué hace usted?</t>
        </is>
      </c>
      <c r="L70" s="16" t="inlineStr">
        <is>
          <t>NO</t>
        </is>
      </c>
      <c r="M70" s="16" t="inlineStr">
        <is>
          <t>comun</t>
        </is>
      </c>
    </row>
    <row r="71" ht="23.25" customHeight="1" s="12">
      <c r="A71" s="22" t="inlineStr">
        <is>
          <t>K070</t>
        </is>
      </c>
      <c r="B71" s="22" t="inlineStr">
        <is>
          <t>Aprendizaje continuo</t>
        </is>
      </c>
      <c r="C71" s="22" t="inlineStr">
        <is>
          <t>Un colega de otra entidad comparte una práctica que redujo a la mitad sus tiempos de respuesta. Aquí el marco normativo es distinto y adaptarla implicaría cambiar dos procedimientos internos.</t>
        </is>
      </c>
      <c r="D71" s="22" t="inlineStr">
        <is>
          <t>Propone adoptarla tal como funciona en la otra entidad</t>
        </is>
      </c>
      <c r="E71" s="22" t="inlineStr">
        <is>
          <t>La descarta, porque los marcos normativos no son comparables</t>
        </is>
      </c>
      <c r="F71" s="22" t="inlineStr">
        <is>
          <t>Analiza si la práctica es viable con el marco normativo propio</t>
        </is>
      </c>
      <c r="G71" s="22" t="n">
        <v>2</v>
      </c>
      <c r="H71" s="22" t="n">
        <v>1</v>
      </c>
      <c r="I71" s="22" t="n">
        <v>3</v>
      </c>
      <c r="J71" s="22" t="inlineStr">
        <is>
          <t>SI</t>
        </is>
      </c>
      <c r="K71" s="16" t="inlineStr">
        <is>
          <t>¿Cuál es la conducta más efectiva?</t>
        </is>
      </c>
      <c r="L71" s="16" t="inlineStr">
        <is>
          <t>NO</t>
        </is>
      </c>
      <c r="M71" s="16" t="inlineStr">
        <is>
          <t>comun</t>
        </is>
      </c>
    </row>
    <row r="72" ht="23.25" customHeight="1" s="12">
      <c r="A72" s="22" t="inlineStr">
        <is>
          <t>K071</t>
        </is>
      </c>
      <c r="B72" s="22" t="inlineStr">
        <is>
          <t>Dirección y desarrollo de personal</t>
        </is>
      </c>
      <c r="C72" s="22" t="inlineStr">
        <is>
          <t>Un profesional a su cargo lleva tres meses sin cumplir metas. Tiene buen criterio técnico, pero se dispersa. Su evaluación se firma en dos semanas y él no sabe que va mal. Usted registró todas las entregas tardías en la bitácora del grupo.</t>
        </is>
      </c>
      <c r="D72" s="22" t="inlineStr">
        <is>
          <t>Registra el incumplimiento y lo comenta en la evaluación</t>
        </is>
      </c>
      <c r="E72" s="22" t="inlineStr">
        <is>
          <t>Habla con él y acuerdan un plan de mejora concreto</t>
        </is>
      </c>
      <c r="F72" s="22" t="inlineStr">
        <is>
          <t>Le reduce la carga para que alcance a cumplir las metas</t>
        </is>
      </c>
      <c r="G72" s="22" t="n">
        <v>2</v>
      </c>
      <c r="H72" s="22" t="n">
        <v>3</v>
      </c>
      <c r="I72" s="22" t="n">
        <v>1</v>
      </c>
      <c r="J72" s="22" t="inlineStr">
        <is>
          <t>SI</t>
        </is>
      </c>
      <c r="K72" s="16" t="inlineStr">
        <is>
          <t>¿Cuál sería su primera acción?</t>
        </is>
      </c>
      <c r="L72" s="16" t="inlineStr">
        <is>
          <t>NO</t>
        </is>
      </c>
      <c r="M72" s="16" t="inlineStr">
        <is>
          <t>comun</t>
        </is>
      </c>
    </row>
    <row r="73" ht="23.25" customHeight="1" s="12">
      <c r="A73" s="22" t="inlineStr">
        <is>
          <t>K072</t>
        </is>
      </c>
      <c r="B73" s="22" t="inlineStr">
        <is>
          <t>Dirección y desarrollo de personal</t>
        </is>
      </c>
      <c r="C73" s="22" t="inlineStr">
        <is>
          <t>Dos personas de su equipo dejaron de hablarse tras un reclamo público. El trabajo se reparte mal y una de ellas pidió traslado. Usted se enteró por terceros, ninguna se lo ha dicho.</t>
        </is>
      </c>
      <c r="D73" s="22" t="inlineStr">
        <is>
          <t>Reúne al equipo completo para tratar el clima laboral</t>
        </is>
      </c>
      <c r="E73" s="22" t="inlineStr">
        <is>
          <t>Tramita el traslado pedido y evita entrar en el conflicto</t>
        </is>
      </c>
      <c r="F73" s="22" t="inlineStr">
        <is>
          <t>Habla con cada una por separado antes de reunirlas</t>
        </is>
      </c>
      <c r="G73" s="22" t="n">
        <v>2</v>
      </c>
      <c r="H73" s="22" t="n">
        <v>1</v>
      </c>
      <c r="I73" s="22" t="n">
        <v>3</v>
      </c>
      <c r="J73" s="22" t="inlineStr">
        <is>
          <t>SI</t>
        </is>
      </c>
      <c r="K73" s="16" t="inlineStr">
        <is>
          <t>¿Qué hace usted?</t>
        </is>
      </c>
      <c r="L73" s="16" t="inlineStr">
        <is>
          <t>NO</t>
        </is>
      </c>
      <c r="M73" s="16" t="inlineStr">
        <is>
          <t>comun</t>
        </is>
      </c>
    </row>
    <row r="74" ht="23.25" customHeight="1" s="12">
      <c r="A74" s="22" t="inlineStr">
        <is>
          <t>K073</t>
        </is>
      </c>
      <c r="B74" s="22" t="inlineStr">
        <is>
          <t>Dirección y desarrollo de personal</t>
        </is>
      </c>
      <c r="C74" s="22" t="inlineStr">
        <is>
          <t>Una profesional de su equipo resuelve los casos difíciles con calidad y rapidez. Por eso siempre le asigna lo complejo. Ella pidió formación en un tema nuevo y el presupuesto alcanza para una sola persona.</t>
        </is>
      </c>
      <c r="D74" s="22" t="inlineStr">
        <is>
          <t>Asigna el cupo a quien tenga menos casos complejos a cargo</t>
        </is>
      </c>
      <c r="E74" s="22" t="inlineStr">
        <is>
          <t>Le da el cupo pero mantiene su carga de casos complejos</t>
        </is>
      </c>
      <c r="F74" s="22" t="inlineStr">
        <is>
          <t>Le da el cupo de formación y redistribuye los casos difíciles</t>
        </is>
      </c>
      <c r="G74" s="22" t="n">
        <v>1</v>
      </c>
      <c r="H74" s="22" t="n">
        <v>2</v>
      </c>
      <c r="I74" s="22" t="n">
        <v>3</v>
      </c>
      <c r="J74" s="22" t="inlineStr">
        <is>
          <t>SI</t>
        </is>
      </c>
      <c r="K74" s="16" t="inlineStr">
        <is>
          <t>¿Cuál es la conducta más efectiva?</t>
        </is>
      </c>
      <c r="L74" s="16" t="inlineStr">
        <is>
          <t>NO</t>
        </is>
      </c>
      <c r="M74" s="16" t="inlineStr">
        <is>
          <t>comun</t>
        </is>
      </c>
    </row>
    <row r="75" ht="23.25" customHeight="1" s="12">
      <c r="A75" s="22" t="inlineStr">
        <is>
          <t>K074</t>
        </is>
      </c>
      <c r="B75" s="22" t="inlineStr">
        <is>
          <t>Toma de decisiones</t>
        </is>
      </c>
      <c r="C75" s="22" t="inlineStr">
        <is>
          <t>Debe decidir hoy si suspende una actividad con riesgo sanitario. Su equipo está dividido: la mitad ve riesgo inminente, la otra mitad cree que basta un requerimiento. Ambas posiciones tienen soporte.</t>
        </is>
      </c>
      <c r="D75" s="22" t="inlineStr">
        <is>
          <t>Decide con los argumentos de riesgo y explica las razones</t>
        </is>
      </c>
      <c r="E75" s="22" t="inlineStr">
        <is>
          <t>Opta por el requerimiento, que es la opción menos gravosa</t>
        </is>
      </c>
      <c r="F75" s="22" t="inlineStr">
        <is>
          <t>Convoca un concepto externo antes de tomar la decisión</t>
        </is>
      </c>
      <c r="G75" s="22" t="n">
        <v>3</v>
      </c>
      <c r="H75" s="22" t="n">
        <v>1</v>
      </c>
      <c r="I75" s="22" t="n">
        <v>2</v>
      </c>
      <c r="J75" s="22" t="inlineStr">
        <is>
          <t>SI</t>
        </is>
      </c>
      <c r="K75" s="16" t="inlineStr">
        <is>
          <t>¿Qué hace usted?</t>
        </is>
      </c>
      <c r="L75" s="16" t="inlineStr">
        <is>
          <t>NO</t>
        </is>
      </c>
      <c r="M75" s="16" t="inlineStr">
        <is>
          <t>comun</t>
        </is>
      </c>
    </row>
    <row r="76" ht="23.25" customHeight="1" s="12">
      <c r="A76" s="22" t="inlineStr">
        <is>
          <t>K075</t>
        </is>
      </c>
      <c r="B76" s="22" t="inlineStr">
        <is>
          <t>Toma de decisiones</t>
        </is>
      </c>
      <c r="C76" s="22" t="inlineStr">
        <is>
          <t>Una decisión suya dejó sin insumos a otra dirección durante dos semanas. Ellos se enteraron tarde y hoy lo dicen en comité, frente al director. Usted no consultó antes de decidir. La otra dirección debe responder una petición con esos insumos.</t>
        </is>
      </c>
      <c r="D76" s="22" t="inlineStr">
        <is>
          <t>Señala que ellos debieron advertir su necesidad a tiempo</t>
        </is>
      </c>
      <c r="E76" s="22" t="inlineStr">
        <is>
          <t>Reconoce el efecto y acuerda con ellos cómo resolverlo</t>
        </is>
      </c>
      <c r="F76" s="22" t="inlineStr">
        <is>
          <t>Explica los motivos técnicos que llevaron a esa decisión</t>
        </is>
      </c>
      <c r="G76" s="22" t="n">
        <v>1</v>
      </c>
      <c r="H76" s="22" t="n">
        <v>3</v>
      </c>
      <c r="I76" s="22" t="n">
        <v>2</v>
      </c>
      <c r="J76" s="22" t="inlineStr">
        <is>
          <t>SI</t>
        </is>
      </c>
      <c r="K76" s="16" t="inlineStr">
        <is>
          <t>¿Qué hace usted?</t>
        </is>
      </c>
      <c r="L76" s="16" t="inlineStr">
        <is>
          <t>NO</t>
        </is>
      </c>
      <c r="M76" s="16" t="inlineStr">
        <is>
          <t>comun</t>
        </is>
      </c>
    </row>
    <row r="77" ht="23.25" customHeight="1" s="12">
      <c r="A77" s="22" t="inlineStr">
        <is>
          <t>K076</t>
        </is>
      </c>
      <c r="B77" s="22" t="inlineStr">
        <is>
          <t>Toma de decisiones</t>
        </is>
      </c>
      <c r="C77" s="22" t="inlineStr">
        <is>
          <t>Tiene un solo vehículo y tres solicitudes urgentes: un brote alimentario en un colegio, una queja de una droguería y una visita de verificación pendiente desde hace un mes. El colegio reporta doce niños con síntomas desde esta mañana.</t>
        </is>
      </c>
      <c r="D77" s="22" t="inlineStr">
        <is>
          <t>Programa las tres en el orden en que fueron radicadas</t>
        </is>
      </c>
      <c r="E77" s="22" t="inlineStr">
        <is>
          <t>Atiende el brote del colegio por el riesgo para la salud</t>
        </is>
      </c>
      <c r="F77" s="22" t="inlineStr">
        <is>
          <t>Atiende la visita más antigua, que ya está muy vencida</t>
        </is>
      </c>
      <c r="G77" s="22" t="n">
        <v>2</v>
      </c>
      <c r="H77" s="22" t="n">
        <v>3</v>
      </c>
      <c r="I77" s="22" t="n">
        <v>1</v>
      </c>
      <c r="J77" s="22" t="inlineStr">
        <is>
          <t>SI</t>
        </is>
      </c>
      <c r="K77" s="16" t="inlineStr">
        <is>
          <t>¿Cuál sería su primera acción?</t>
        </is>
      </c>
      <c r="L77" s="16" t="inlineStr">
        <is>
          <t>NO</t>
        </is>
      </c>
      <c r="M77" s="16" t="inlineStr">
        <is>
          <t>comun</t>
        </is>
      </c>
    </row>
    <row r="78" ht="23.25" customHeight="1" s="12">
      <c r="A78" s="22" t="inlineStr">
        <is>
          <t>K077</t>
        </is>
      </c>
      <c r="B78" s="22" t="inlineStr">
        <is>
          <t>Trabajo en equipo</t>
        </is>
      </c>
      <c r="C78" s="22" t="inlineStr">
        <is>
          <t>El informe que su grupo envió al Ministerio tiene un error de cifras que cambia una conclusión. Ya fue radicado y citado en una reunión. Corregirlo expone al grupo; callarlo mantiene un dato falso.</t>
        </is>
      </c>
      <c r="D78" s="22" t="inlineStr">
        <is>
          <t>Dejar el dato como está, dado que el informe ya fue radicado</t>
        </is>
      </c>
      <c r="E78" s="22" t="inlineStr">
        <is>
          <t>Enviar hoy la corrección con la explicación del error</t>
        </is>
      </c>
      <c r="F78" s="22" t="inlineStr">
        <is>
          <t>Informar al coordinador y proponer la corrección formal</t>
        </is>
      </c>
      <c r="G78" s="22" t="n">
        <v>3</v>
      </c>
      <c r="H78" s="22" t="n">
        <v>2</v>
      </c>
      <c r="I78" s="22" t="n">
        <v>1</v>
      </c>
      <c r="J78" s="22" t="inlineStr">
        <is>
          <t>SI</t>
        </is>
      </c>
      <c r="K78" s="16" t="inlineStr">
        <is>
          <t>¿Cuál de estas conductas NO adoptaría?</t>
        </is>
      </c>
      <c r="L78" s="16" t="inlineStr">
        <is>
          <t>SI</t>
        </is>
      </c>
      <c r="M78" s="16" t="inlineStr">
        <is>
          <t>comun</t>
        </is>
      </c>
    </row>
    <row r="79" ht="23.25" customHeight="1" s="12">
      <c r="A79" s="22" t="inlineStr">
        <is>
          <t>K078</t>
        </is>
      </c>
      <c r="B79" s="22" t="inlineStr">
        <is>
          <t>Orientación al usuario y al ciudadano</t>
        </is>
      </c>
      <c r="C79" s="22" t="inlineStr">
        <is>
          <t>Un panadero pequeño no cumple tres requisitos y no entiende cuáles son. Si le aplica la medida cierra su negocio; si no lo hace, incumple su deber. Él pide una oportunidad de ajustarse.</t>
        </is>
      </c>
      <c r="D79" s="22" t="inlineStr">
        <is>
          <t>Aplica la medida sin entrar en explicaciones adicionales</t>
        </is>
      </c>
      <c r="E79" s="22" t="inlineStr">
        <is>
          <t>Aplica lo que exige la norma y le explica cómo ajustarse</t>
        </is>
      </c>
      <c r="F79" s="22" t="inlineStr">
        <is>
          <t>Le concede un plazo informal antes de levantar el acta</t>
        </is>
      </c>
      <c r="G79" s="22" t="n">
        <v>1</v>
      </c>
      <c r="H79" s="22" t="n">
        <v>3</v>
      </c>
      <c r="I79" s="22" t="n">
        <v>2</v>
      </c>
      <c r="J79" s="22" t="inlineStr">
        <is>
          <t>SI</t>
        </is>
      </c>
      <c r="K79" s="16" t="inlineStr">
        <is>
          <t>¿Cuál es la conducta más efectiva?</t>
        </is>
      </c>
      <c r="L79" s="16" t="inlineStr">
        <is>
          <t>NO</t>
        </is>
      </c>
      <c r="M79" s="16" t="inlineStr">
        <is>
          <t>comun</t>
        </is>
      </c>
    </row>
    <row r="80" ht="23.25" customHeight="1" s="12">
      <c r="A80" s="22" t="inlineStr">
        <is>
          <t>K079</t>
        </is>
      </c>
      <c r="B80" s="22" t="inlineStr">
        <is>
          <t>Comunicación efectiva</t>
        </is>
      </c>
      <c r="C80" s="22" t="inlineStr">
        <is>
          <t>Debe explicar un cambio normativo a tres públicos el mismo día: inspectores, empresarios y una junta de acción comunal. Tiene una sola presentación preparada y 30 minutos con cada grupo.</t>
        </is>
      </c>
      <c r="D80" s="22" t="inlineStr">
        <is>
          <t>Adapta el mensaje al lenguaje propio de cada público</t>
        </is>
      </c>
      <c r="E80" s="22" t="inlineStr">
        <is>
          <t>Envía la norma por correo y deja la sesión para dudas</t>
        </is>
      </c>
      <c r="F80" s="22" t="inlineStr">
        <is>
          <t>Usa la misma presentación y responde preguntas al final</t>
        </is>
      </c>
      <c r="G80" s="22" t="n">
        <v>3</v>
      </c>
      <c r="H80" s="22" t="n">
        <v>1</v>
      </c>
      <c r="I80" s="22" t="n">
        <v>2</v>
      </c>
      <c r="J80" s="22" t="inlineStr">
        <is>
          <t>SI</t>
        </is>
      </c>
      <c r="K80" s="16" t="inlineStr">
        <is>
          <t>¿Qué hace usted?</t>
        </is>
      </c>
      <c r="L80" s="16" t="inlineStr">
        <is>
          <t>NO</t>
        </is>
      </c>
      <c r="M80" s="16" t="inlineStr">
        <is>
          <t>comun</t>
        </is>
      </c>
    </row>
    <row r="81" ht="23.25" customHeight="1" s="12">
      <c r="A81" s="22" t="inlineStr">
        <is>
          <t>K080</t>
        </is>
      </c>
      <c r="B81" s="22" t="inlineStr">
        <is>
          <t>Aporte técnico-profesional</t>
        </is>
      </c>
      <c r="C81" s="22" t="inlineStr">
        <is>
          <t>Encuentra un error normativo en una guía publicada por la entidad hace un año. La firmó una dirección distinta a la suya y ya la citan varios vigilados en sus respuestas. Un vigilado ya sustentó su descargo citando el párrafo equivocado.</t>
        </is>
      </c>
      <c r="D81" s="22" t="inlineStr">
        <is>
          <t>Evita el tema, porque la guía es de otra dirección</t>
        </is>
      </c>
      <c r="E81" s="22" t="inlineStr">
        <is>
          <t>Advierte a los vigilados que esa parte de la guía no aplica</t>
        </is>
      </c>
      <c r="F81" s="22" t="inlineStr">
        <is>
          <t>Informa el error al área responsable con el soporte del caso</t>
        </is>
      </c>
      <c r="G81" s="22" t="n">
        <v>1</v>
      </c>
      <c r="H81" s="22" t="n">
        <v>2</v>
      </c>
      <c r="I81" s="22" t="n">
        <v>3</v>
      </c>
      <c r="J81" s="22" t="inlineStr">
        <is>
          <t>SI</t>
        </is>
      </c>
      <c r="K81" s="16" t="inlineStr">
        <is>
          <t>¿Cuál es la conducta más efectiva?</t>
        </is>
      </c>
      <c r="L81" s="16" t="inlineStr">
        <is>
          <t>NO</t>
        </is>
      </c>
      <c r="M81" s="16" t="inlineStr">
        <is>
          <t>comun</t>
        </is>
      </c>
    </row>
    <row r="82" ht="15" customHeight="1" s="12">
      <c r="A82" s="16" t="inlineStr">
        <is>
          <t>K081</t>
        </is>
      </c>
      <c r="B82" s="16" t="inlineStr">
        <is>
          <t>Orientación al usuario y al ciudadano</t>
        </is>
      </c>
      <c r="C82" s="16" t="inlineStr">
        <is>
          <t>Son las 11:40 y usted atiende el último turno antes del almuerzo. Llega una señora de otro municipio que viajó dos horas y trae la documentación incompleta: le falta un soporte que puede pedir por correo, pero tardaría dos días. Detrás hay cuatro personas esperando y su jefe insiste en cumplir el indicador de tiempo de atención.</t>
        </is>
      </c>
      <c r="D82" s="16" t="inlineStr">
        <is>
          <t>Le explica que sin el soporte no puede radicar y le entrega por escrito la lista de lo que debe traer</t>
        </is>
      </c>
      <c r="E82" s="16" t="inlineStr">
        <is>
          <t>Le recibe todo sin revisar para no demorar la fila y le dice que después la llaman si algo falta</t>
        </is>
      </c>
      <c r="F82" s="16" t="inlineStr">
        <is>
          <t>Recibe lo que trae, le indica con precisión cómo enviar el soporte faltante</t>
        </is>
      </c>
      <c r="G82" s="16" t="n">
        <v>2</v>
      </c>
      <c r="H82" s="16" t="n">
        <v>1</v>
      </c>
      <c r="I82" s="16" t="n">
        <v>3</v>
      </c>
      <c r="J82" s="16" t="inlineStr">
        <is>
          <t>SI</t>
        </is>
      </c>
      <c r="K82" s="16" t="inlineStr">
        <is>
          <t>¿Qué hace usted?</t>
        </is>
      </c>
      <c r="L82" s="16" t="inlineStr">
        <is>
          <t>NO</t>
        </is>
      </c>
      <c r="M82" s="16" t="inlineStr">
        <is>
          <t>comun</t>
        </is>
      </c>
    </row>
    <row r="83" ht="15" customHeight="1" s="12">
      <c r="A83" s="16" t="inlineStr">
        <is>
          <t>K082</t>
        </is>
      </c>
      <c r="B83" s="16" t="inlineStr">
        <is>
          <t>Orientación al usuario y al ciudadano</t>
        </is>
      </c>
      <c r="C83" s="16" t="inlineStr">
        <is>
          <t>Un usuario lleva veinte minutos discutiendo en voz alta porque su turno fue reprogramada. El programación de turnos no depende de usted y la sala está llena de usuario esperando. Su compañera le sugiere que lo ignore hasta que se canse y el vigilante pregunta si lo retira del lugar.</t>
        </is>
      </c>
      <c r="D83" s="16" t="inlineStr">
        <is>
          <t>Escucha su reclamo en la ventanilla, le pide calma y le entrega el formato para presentar la queja formal</t>
        </is>
      </c>
      <c r="E83" s="16" t="inlineStr">
        <is>
          <t>Lo atiende en un espacio aparte, verifica su caso en el sistema</t>
        </is>
      </c>
      <c r="F83" s="16" t="inlineStr">
        <is>
          <t>Le explica que la programación de turnos no es su área y le indica en qué oficina puede reclamar por ese asunto</t>
        </is>
      </c>
      <c r="G83" s="16" t="n">
        <v>2</v>
      </c>
      <c r="H83" s="16" t="n">
        <v>3</v>
      </c>
      <c r="I83" s="16" t="n">
        <v>1</v>
      </c>
      <c r="J83" s="16" t="inlineStr">
        <is>
          <t>SI</t>
        </is>
      </c>
      <c r="K83" s="16" t="inlineStr">
        <is>
          <t>¿Qué hace usted?</t>
        </is>
      </c>
      <c r="L83" s="16" t="inlineStr">
        <is>
          <t>NO</t>
        </is>
      </c>
      <c r="M83" s="16" t="inlineStr">
        <is>
          <t>comun</t>
        </is>
      </c>
    </row>
    <row r="84" ht="15" customHeight="1" s="12">
      <c r="A84" s="16" t="inlineStr">
        <is>
          <t>K083</t>
        </is>
      </c>
      <c r="B84" s="16" t="inlineStr">
        <is>
          <t>Orientación a resultados</t>
        </is>
      </c>
      <c r="C84" s="16" t="inlineStr">
        <is>
          <t>El informe mensual vence mañana y falta un dato que depende de otra dependencia que no responde hace tres días. Su jefe está de comisión y no contesta. Entregar incompleto afecta el indicador del área; entregar tarde también, y ambos quedan registrados en el sistema de seguimiento.</t>
        </is>
      </c>
      <c r="D84" s="16" t="inlineStr">
        <is>
          <t>Reitera la solicitud por escrito, informa el riesgo al superior encargado</t>
        </is>
      </c>
      <c r="E84" s="16" t="inlineStr">
        <is>
          <t>Entrega el informe con el dato en blanco y una nota que identifica qué dependencia no lo remitió a tiempo</t>
        </is>
      </c>
      <c r="F84" s="16" t="inlineStr">
        <is>
          <t>Estima el dato con el promedio de los meses anteriores para poder entregar el informe completo a tiempo</t>
        </is>
      </c>
      <c r="G84" s="16" t="n">
        <v>3</v>
      </c>
      <c r="H84" s="16" t="n">
        <v>2</v>
      </c>
      <c r="I84" s="16" t="n">
        <v>1</v>
      </c>
      <c r="J84" s="16" t="inlineStr">
        <is>
          <t>SI</t>
        </is>
      </c>
      <c r="K84" s="16" t="inlineStr">
        <is>
          <t>¿Cuál es la conducta más efectiva?</t>
        </is>
      </c>
      <c r="L84" s="16" t="inlineStr">
        <is>
          <t>NO</t>
        </is>
      </c>
      <c r="M84" s="16" t="inlineStr">
        <is>
          <t>comun</t>
        </is>
      </c>
    </row>
    <row r="85" ht="15" customHeight="1" s="12">
      <c r="A85" s="16" t="inlineStr">
        <is>
          <t>K084</t>
        </is>
      </c>
      <c r="B85" s="16" t="inlineStr">
        <is>
          <t>Orientación a resultados</t>
        </is>
      </c>
      <c r="C85" s="16" t="inlineStr">
        <is>
          <t>Le asignan tres tareas para el mismo viernes: un reporte a un ente de control, una presentación para el comité directivo y la revisión de un procedimiento interno. Ninguna puede aplazarse sin costo, y su jefe le dice que las tres son prioritarias y que se organice como pueda.</t>
        </is>
      </c>
      <c r="D85" s="16" t="inlineStr">
        <is>
          <t>Estima el tiempo de cada una, propone al jefe un orden con fechas</t>
        </is>
      </c>
      <c r="E85" s="16" t="inlineStr">
        <is>
          <t>Empieza por la del ente de control, que tiene consecuencias legales, y avanza con las otras según alcance</t>
        </is>
      </c>
      <c r="F85" s="16" t="inlineStr">
        <is>
          <t>Trabaja en las tres de manera simultánea y entrega el viernes lo que haya logrado adelantar de cada una</t>
        </is>
      </c>
      <c r="G85" s="16" t="n">
        <v>3</v>
      </c>
      <c r="H85" s="16" t="n">
        <v>2</v>
      </c>
      <c r="I85" s="16" t="n">
        <v>1</v>
      </c>
      <c r="J85" s="16" t="inlineStr">
        <is>
          <t>SI</t>
        </is>
      </c>
      <c r="K85" s="16" t="inlineStr">
        <is>
          <t>¿Qué hace usted?</t>
        </is>
      </c>
      <c r="L85" s="16" t="inlineStr">
        <is>
          <t>NO</t>
        </is>
      </c>
      <c r="M85" s="16" t="inlineStr">
        <is>
          <t>comun</t>
        </is>
      </c>
    </row>
    <row r="86" ht="15" customHeight="1" s="12">
      <c r="A86" s="16" t="inlineStr">
        <is>
          <t>K085</t>
        </is>
      </c>
      <c r="B86" s="16" t="inlineStr">
        <is>
          <t>Transparencia</t>
        </is>
      </c>
      <c r="C86" s="16" t="inlineStr">
        <is>
          <t>Un proveedor con el que usted tramita un contrato le envía por la fiesta de fin de año una canasta navideña a su casa, sin remitente visible. Usted la recibe sin saber de quién era y al día siguiente él se lo comenta entre risas en una llamada de trabajo.</t>
        </is>
      </c>
      <c r="D86" s="16" t="inlineStr">
        <is>
          <t>Devuelve la canasta al proveedor, le pide que no se repita y no informa el hecho dentro de la entidad</t>
        </is>
      </c>
      <c r="E86" s="16" t="inlineStr">
        <is>
          <t>Conserva la canasta porque ya fue recibida y decide no volver a tratar temas personales con ese proveedor</t>
        </is>
      </c>
      <c r="F86" s="16" t="inlineStr">
        <is>
          <t>Devuelve la canasta, deja constancia escrita del hecho ante su jefe</t>
        </is>
      </c>
      <c r="G86" s="16" t="n">
        <v>2</v>
      </c>
      <c r="H86" s="16" t="n">
        <v>1</v>
      </c>
      <c r="I86" s="16" t="n">
        <v>3</v>
      </c>
      <c r="J86" s="16" t="inlineStr">
        <is>
          <t>SI</t>
        </is>
      </c>
      <c r="K86" s="16" t="inlineStr">
        <is>
          <t>¿Qué hace usted?</t>
        </is>
      </c>
      <c r="L86" s="16" t="inlineStr">
        <is>
          <t>NO</t>
        </is>
      </c>
      <c r="M86" s="16" t="inlineStr">
        <is>
          <t>comun</t>
        </is>
      </c>
    </row>
    <row r="87" ht="15" customHeight="1" s="12">
      <c r="A87" s="16" t="inlineStr">
        <is>
          <t>K086</t>
        </is>
      </c>
      <c r="B87" s="16" t="inlineStr">
        <is>
          <t>Transparencia</t>
        </is>
      </c>
      <c r="C87" s="16" t="inlineStr">
        <is>
          <t>Su cuñado se presenta a una convocatoria de prestación de servicios en la que usted revisa las hojas de vida. Es el candidato con mejor perfil y la entidad necesita cubrir el cargo esta semana. Nadie en la oficina conoce el parentesco y su jefe le pide agilizar la evaluación.</t>
        </is>
      </c>
      <c r="D87" s="16" t="inlineStr">
        <is>
          <t>Le comenta el parentesco a su jefe de manera verbal y continúa la evaluación aplicando criterios objetivos</t>
        </is>
      </c>
      <c r="E87" s="16" t="inlineStr">
        <is>
          <t>Declara el impedimento por escrito, se aparta de la evaluación</t>
        </is>
      </c>
      <c r="F87" s="16" t="inlineStr">
        <is>
          <t>Evalúa las hojas de vida y deja que sea el jefe quien tome la decisión final sobre la contratación</t>
        </is>
      </c>
      <c r="G87" s="16" t="n">
        <v>2</v>
      </c>
      <c r="H87" s="16" t="n">
        <v>3</v>
      </c>
      <c r="I87" s="16" t="n">
        <v>1</v>
      </c>
      <c r="J87" s="16" t="inlineStr">
        <is>
          <t>SI</t>
        </is>
      </c>
      <c r="K87" s="16" t="inlineStr">
        <is>
          <t>¿Cuál es la conducta más efectiva?</t>
        </is>
      </c>
      <c r="L87" s="16" t="inlineStr">
        <is>
          <t>NO</t>
        </is>
      </c>
      <c r="M87" s="16" t="inlineStr">
        <is>
          <t>comun</t>
        </is>
      </c>
    </row>
    <row r="88" ht="15" customHeight="1" s="12">
      <c r="A88" s="16" t="inlineStr">
        <is>
          <t>K087</t>
        </is>
      </c>
      <c r="B88" s="16" t="inlineStr">
        <is>
          <t>Compromiso con la organización</t>
        </is>
      </c>
      <c r="C88" s="16" t="inlineStr">
        <is>
          <t>Detecta que un informe suyo, ya enviado a la gerencia y citado en una reunión con el ente de control, tiene un error de cálculo que cambia una cifra en un ocho por ciento. Nadie lo ha notado. Corregirlo implica reconocer el error frente a quienes ya usaron el dato.</t>
        </is>
      </c>
      <c r="D88" s="16" t="inlineStr">
        <is>
          <t>Informa el error de inmediato, remite la versión corregida</t>
        </is>
      </c>
      <c r="E88" s="16" t="inlineStr">
        <is>
          <t>Corrige el archivo, lo reenvía con el asunto actualizado y espera a que alguien pregunte por la diferencia</t>
        </is>
      </c>
      <c r="F88" s="16" t="inlineStr">
        <is>
          <t>Deja el dato como está y ajusta los informes siguientes para que la serie quede consistente hacia adelante</t>
        </is>
      </c>
      <c r="G88" s="16" t="n">
        <v>3</v>
      </c>
      <c r="H88" s="16" t="n">
        <v>2</v>
      </c>
      <c r="I88" s="16" t="n">
        <v>1</v>
      </c>
      <c r="J88" s="16" t="inlineStr">
        <is>
          <t>SI</t>
        </is>
      </c>
      <c r="K88" s="16" t="inlineStr">
        <is>
          <t>¿Qué hace usted?</t>
        </is>
      </c>
      <c r="L88" s="16" t="inlineStr">
        <is>
          <t>NO</t>
        </is>
      </c>
      <c r="M88" s="16" t="inlineStr">
        <is>
          <t>comun</t>
        </is>
      </c>
    </row>
    <row r="89" ht="15" customHeight="1" s="12">
      <c r="A89" s="16" t="inlineStr">
        <is>
          <t>K088</t>
        </is>
      </c>
      <c r="B89" s="16" t="inlineStr">
        <is>
          <t>Compromiso con la organización</t>
        </is>
      </c>
      <c r="C89" s="16" t="inlineStr">
        <is>
          <t>En una reunión con usuarios, un compañero critica en voz alta la gestión de la entidad y afirma que los procesos no sirven. Varios asistentes asienten. Usted comparte parte del diagnóstico, pero no la forma ni el lugar, y el compañero es más antiguo que usted en la institución.</t>
        </is>
      </c>
      <c r="D89" s="16" t="inlineStr">
        <is>
          <t>Guarda silencio en la reunión y después lleva el tema al comité interno donde corresponde tratarlo</t>
        </is>
      </c>
      <c r="E89" s="16" t="inlineStr">
        <is>
          <t>Aclara en el momento que esa es una opinión personal suya y continúa con el orden del día previsto</t>
        </is>
      </c>
      <c r="F89" s="16" t="inlineStr">
        <is>
          <t>Reencauza la reunión hacia lo que sí puede resolverse</t>
        </is>
      </c>
      <c r="G89" s="16" t="n">
        <v>2</v>
      </c>
      <c r="H89" s="16" t="n">
        <v>1</v>
      </c>
      <c r="I89" s="16" t="n">
        <v>3</v>
      </c>
      <c r="J89" s="16" t="inlineStr">
        <is>
          <t>SI</t>
        </is>
      </c>
      <c r="K89" s="16" t="inlineStr">
        <is>
          <t>¿Qué hace usted?</t>
        </is>
      </c>
      <c r="L89" s="16" t="inlineStr">
        <is>
          <t>NO</t>
        </is>
      </c>
      <c r="M89" s="16" t="inlineStr">
        <is>
          <t>comun</t>
        </is>
      </c>
    </row>
    <row r="90" ht="15" customHeight="1" s="12">
      <c r="A90" s="16" t="inlineStr">
        <is>
          <t>K089</t>
        </is>
      </c>
      <c r="B90" s="16" t="inlineStr">
        <is>
          <t>Trabajo en equipo</t>
        </is>
      </c>
      <c r="C90" s="16" t="inlineStr">
        <is>
          <t>Un compañero de su equipo está atrasado porque asumió el trabajo de otra persona que salió a incapacidad. La entrega conjunta es en dos días. Si usted lo apoya, descuida una tarea propia que también vence, y el líder del equipo aún no se ha enterado de la situación.</t>
        </is>
      </c>
      <c r="D90" s="16" t="inlineStr">
        <is>
          <t>Le ayuda con lo más urgente en horas adicionales y comenta la situación al líder cuando se entregue todo</t>
        </is>
      </c>
      <c r="E90" s="16" t="inlineStr">
        <is>
          <t>Informa al líder el riesgo real, propone una redistribución con plazos</t>
        </is>
      </c>
      <c r="F90" s="16" t="inlineStr">
        <is>
          <t>Entrega su parte a tiempo y aclara por correo que el retraso del equipo no corresponde a su actividad</t>
        </is>
      </c>
      <c r="G90" s="16" t="n">
        <v>2</v>
      </c>
      <c r="H90" s="16" t="n">
        <v>3</v>
      </c>
      <c r="I90" s="16" t="n">
        <v>1</v>
      </c>
      <c r="J90" s="16" t="inlineStr">
        <is>
          <t>SI</t>
        </is>
      </c>
      <c r="K90" s="16" t="inlineStr">
        <is>
          <t>¿Cuál es la conducta más efectiva?</t>
        </is>
      </c>
      <c r="L90" s="16" t="inlineStr">
        <is>
          <t>NO</t>
        </is>
      </c>
      <c r="M90" s="16" t="inlineStr">
        <is>
          <t>comun</t>
        </is>
      </c>
    </row>
    <row r="91" ht="15" customHeight="1" s="12">
      <c r="A91" s="16" t="inlineStr">
        <is>
          <t>K090</t>
        </is>
      </c>
      <c r="B91" s="16" t="inlineStr">
        <is>
          <t>Trabajo en equipo</t>
        </is>
      </c>
      <c r="C91" s="16" t="inlineStr">
        <is>
          <t>Otra área comete un error que afecta su proceso y usted debe rehacer el trabajo de dos días. El responsable es una persona con la que ya ha tenido roces. Su jefe le pregunta qué pasó delante de todo el equipo en la reunión de seguimiento semanal.</t>
        </is>
      </c>
      <c r="D91" s="16" t="inlineStr">
        <is>
          <t>Describe el hecho con datos, sin señalar personas</t>
        </is>
      </c>
      <c r="E91" s="16" t="inlineStr">
        <is>
          <t>Explica que el error vino de la otra área y aclara que ya lo está corrigiendo por su cuenta</t>
        </is>
      </c>
      <c r="F91" s="16" t="inlineStr">
        <is>
          <t>Responde que hubo un inconveniente menor y habla luego del tema directamente con el responsable</t>
        </is>
      </c>
      <c r="G91" s="16" t="n">
        <v>3</v>
      </c>
      <c r="H91" s="16" t="n">
        <v>2</v>
      </c>
      <c r="I91" s="16" t="n">
        <v>1</v>
      </c>
      <c r="J91" s="16" t="inlineStr">
        <is>
          <t>SI</t>
        </is>
      </c>
      <c r="K91" s="16" t="inlineStr">
        <is>
          <t>¿Qué hace usted?</t>
        </is>
      </c>
      <c r="L91" s="16" t="inlineStr">
        <is>
          <t>NO</t>
        </is>
      </c>
      <c r="M91" s="16" t="inlineStr">
        <is>
          <t>comun</t>
        </is>
      </c>
    </row>
    <row r="92" ht="15" customHeight="1" s="12">
      <c r="A92" s="16" t="inlineStr">
        <is>
          <t>K091</t>
        </is>
      </c>
      <c r="B92" s="16" t="inlineStr">
        <is>
          <t>Adaptación al cambio</t>
        </is>
      </c>
      <c r="C92" s="16" t="inlineStr">
        <is>
          <t>La entidad cambia el aplicativo con el que usted trabaja hace seis años. La nueva versión es más lenta en su tarea principal, aunque mejora el reporte global. Varios compañeros siguen usando el archivo antiguo en paralelo y el jefe no ha dicho nada al respecto.</t>
        </is>
      </c>
      <c r="D92" s="16" t="inlineStr">
        <is>
          <t>Adopta el aplicativo nuevo y resuelve como puede la demora, sin reportar la dificultad que encontró</t>
        </is>
      </c>
      <c r="E92" s="16" t="inlineStr">
        <is>
          <t>Mantiene el archivo antiguo para su tarea y usa el aplicativo solo cuando debe generar el reporte global</t>
        </is>
      </c>
      <c r="F92" s="16" t="inlineStr">
        <is>
          <t>Usa el aplicativo nuevo, documenta con datos dónde se pierde tiempo</t>
        </is>
      </c>
      <c r="G92" s="16" t="n">
        <v>2</v>
      </c>
      <c r="H92" s="16" t="n">
        <v>1</v>
      </c>
      <c r="I92" s="16" t="n">
        <v>3</v>
      </c>
      <c r="J92" s="16" t="inlineStr">
        <is>
          <t>SI</t>
        </is>
      </c>
      <c r="K92" s="16" t="inlineStr">
        <is>
          <t>¿Qué hace usted?</t>
        </is>
      </c>
      <c r="L92" s="16" t="inlineStr">
        <is>
          <t>NO</t>
        </is>
      </c>
      <c r="M92" s="16" t="inlineStr">
        <is>
          <t>comun</t>
        </is>
      </c>
    </row>
    <row r="93" ht="15" customHeight="1" s="12">
      <c r="A93" s="16" t="inlineStr">
        <is>
          <t>K092</t>
        </is>
      </c>
      <c r="B93" s="16" t="inlineStr">
        <is>
          <t>Adaptación al cambio</t>
        </is>
      </c>
      <c r="C93" s="16" t="inlineStr">
        <is>
          <t>Lo trasladan por tres meses a un servicio que no conoce, con procedimientos distintos y un equipo que ya tiene su ritmo. El jefe del servicio está ocupado y le dice que aprenda observando. La primera semana le asignan tareas para las que no tiene claridad.</t>
        </is>
      </c>
      <c r="D93" s="16" t="inlineStr">
        <is>
          <t>Observa una semana, toma notas y empieza a trabajar preguntando cuando encuentra algo que no comprende</t>
        </is>
      </c>
      <c r="E93" s="16" t="inlineStr">
        <is>
          <t>Solicita una inducción breve, identifica los procedimientos críticos</t>
        </is>
      </c>
      <c r="F93" s="16" t="inlineStr">
        <is>
          <t>Ejecuta las tareas asignadas replicando lo que ve hacer a los compañeros más antiguos del servicio</t>
        </is>
      </c>
      <c r="G93" s="16" t="n">
        <v>2</v>
      </c>
      <c r="H93" s="16" t="n">
        <v>3</v>
      </c>
      <c r="I93" s="16" t="n">
        <v>1</v>
      </c>
      <c r="J93" s="16" t="inlineStr">
        <is>
          <t>SI</t>
        </is>
      </c>
      <c r="K93" s="16" t="inlineStr">
        <is>
          <t>¿Cuál es la conducta más efectiva?</t>
        </is>
      </c>
      <c r="L93" s="16" t="inlineStr">
        <is>
          <t>NO</t>
        </is>
      </c>
      <c r="M93" s="16" t="inlineStr">
        <is>
          <t>comun</t>
        </is>
      </c>
    </row>
    <row r="94" ht="15" customHeight="1" s="12">
      <c r="A94" s="16" t="inlineStr">
        <is>
          <t>K093</t>
        </is>
      </c>
      <c r="B94" s="16" t="inlineStr">
        <is>
          <t>Aprendizaje continuo</t>
        </is>
      </c>
      <c r="C94" s="16" t="inlineStr">
        <is>
          <t>Una norma que regula un procedimiento a su cargo cambió hace un mes y usted se entera por un comentario de pasillo. La entidad no ha programado capacitación y su jefe le dice que siga como está hasta que llegue una instrucción oficial de la dirección.</t>
        </is>
      </c>
      <c r="D94" s="16" t="inlineStr">
        <is>
          <t>Pregunta a la oficina jurídica cómo debe proceder y espera su respuesta antes de modificar el procedimiento</t>
        </is>
      </c>
      <c r="E94" s="16" t="inlineStr">
        <is>
          <t>Consulta el texto vigente en la fuente oficial, verifica qué cambia en su proceso</t>
        </is>
      </c>
      <c r="F94" s="16" t="inlineStr">
        <is>
          <t>Continúa con el procedimiento actual mientras la entidad define oficialmente cómo aplicar la nueva norma</t>
        </is>
      </c>
      <c r="G94" s="16" t="n">
        <v>2</v>
      </c>
      <c r="H94" s="16" t="n">
        <v>3</v>
      </c>
      <c r="I94" s="16" t="n">
        <v>1</v>
      </c>
      <c r="J94" s="16" t="inlineStr">
        <is>
          <t>SI</t>
        </is>
      </c>
      <c r="K94" s="16" t="inlineStr">
        <is>
          <t>¿Qué hace usted?</t>
        </is>
      </c>
      <c r="L94" s="16" t="inlineStr">
        <is>
          <t>NO</t>
        </is>
      </c>
      <c r="M94" s="16" t="inlineStr">
        <is>
          <t>comun</t>
        </is>
      </c>
    </row>
    <row r="95" ht="15" customHeight="1" s="12">
      <c r="A95" s="16" t="inlineStr">
        <is>
          <t>K094</t>
        </is>
      </c>
      <c r="B95" s="16" t="inlineStr">
        <is>
          <t>Aprendizaje continuo</t>
        </is>
      </c>
      <c r="C95" s="16" t="inlineStr">
        <is>
          <t>Su jefe le devuelve un documento con la anotación «esto no sirve así» y ninguna explicación adicional. Es el tercer documento que le devuelve en el mes. Usted tiene la impresión de que el problema es de forma, pero no está seguro y el plazo de entrega sigue corriendo.</t>
        </is>
      </c>
      <c r="D95" s="16" t="inlineStr">
        <is>
          <t>Revisa documentos anteriores aprobados, identifica las diferencias y rehace el suyo siguiendo entidad modelo</t>
        </is>
      </c>
      <c r="E95" s="16" t="inlineStr">
        <is>
          <t>Corrige la forma y lo reenvía, esperando que esta vez cumpla con lo que su jefe tiene en mente</t>
        </is>
      </c>
      <c r="F95" s="16" t="inlineStr">
        <is>
          <t>Pide una reunión breve, solicita ejemplos concretos de lo que espera</t>
        </is>
      </c>
      <c r="G95" s="16" t="n">
        <v>2</v>
      </c>
      <c r="H95" s="16" t="n">
        <v>1</v>
      </c>
      <c r="I95" s="16" t="n">
        <v>3</v>
      </c>
      <c r="J95" s="16" t="inlineStr">
        <is>
          <t>SI</t>
        </is>
      </c>
      <c r="K95" s="16" t="inlineStr">
        <is>
          <t>¿Qué hace usted?</t>
        </is>
      </c>
      <c r="L95" s="16" t="inlineStr">
        <is>
          <t>NO</t>
        </is>
      </c>
      <c r="M95" s="16" t="inlineStr">
        <is>
          <t>comun</t>
        </is>
      </c>
    </row>
    <row r="96" ht="15" customHeight="1" s="12">
      <c r="A96" s="16" t="inlineStr">
        <is>
          <t>K095</t>
        </is>
      </c>
      <c r="B96" s="16" t="inlineStr">
        <is>
          <t>Comunicación efectiva</t>
        </is>
      </c>
      <c r="C96" s="16" t="inlineStr">
        <is>
          <t>Debe explicar a el comité directivo, en cinco minutos, por qué un indicador cayó. La explicación técnica es compleja y hay un miembro que suele interrumpir. Si simplifica demasiado, pierde precisión; si entra en detalle, no alcanza el tiempo y pierde la atención.</t>
        </is>
      </c>
      <c r="D96" s="16" t="inlineStr">
        <is>
          <t>Presenta la causa principal en lenguaje claro, ofrece el soporte técnico</t>
        </is>
      </c>
      <c r="E96" s="16" t="inlineStr">
        <is>
          <t>Expone el análisis técnico completo para no perder precisión y responde las preguntas que le formulen</t>
        </is>
      </c>
      <c r="F96" s="16" t="inlineStr">
        <is>
          <t>Presenta solo el dato del indicador y ofrece enviar por correo la explicación detallada de las causas</t>
        </is>
      </c>
      <c r="G96" s="16" t="n">
        <v>3</v>
      </c>
      <c r="H96" s="16" t="n">
        <v>2</v>
      </c>
      <c r="I96" s="16" t="n">
        <v>1</v>
      </c>
      <c r="J96" s="16" t="inlineStr">
        <is>
          <t>SI</t>
        </is>
      </c>
      <c r="K96" s="16" t="inlineStr">
        <is>
          <t>¿Cuál es la conducta más efectiva?</t>
        </is>
      </c>
      <c r="L96" s="16" t="inlineStr">
        <is>
          <t>NO</t>
        </is>
      </c>
      <c r="M96" s="16" t="inlineStr">
        <is>
          <t>comun</t>
        </is>
      </c>
    </row>
    <row r="97" ht="15" customHeight="1" s="12">
      <c r="A97" s="16" t="inlineStr">
        <is>
          <t>K096</t>
        </is>
      </c>
      <c r="B97" s="16" t="inlineStr">
        <is>
          <t>Comunicación efectiva</t>
        </is>
      </c>
      <c r="C97" s="16" t="inlineStr">
        <is>
          <t>Debe informar a un usuario que su trámite se demorará tres semanas más por una falla del sistema de la entidad. El usuario ya reclamó dos veces y hoy vino expresamente a recoger la respuesta. Reconocer la falla puede generar una queja formal contra la dependencia.</t>
        </is>
      </c>
      <c r="D97" s="16" t="inlineStr">
        <is>
          <t>Le explica la causa real, el nuevo plazo y qué hará la entidad entre tanto para no perjudicarlo</t>
        </is>
      </c>
      <c r="E97" s="16" t="inlineStr">
        <is>
          <t>Le informa que hay una demora administrativa y le da una fecha aproximada de respuesta definitiva</t>
        </is>
      </c>
      <c r="F97" s="16" t="inlineStr">
        <is>
          <t>Le pide que regrese en una semana, cuando espera tener información más clara sobre su trámite</t>
        </is>
      </c>
      <c r="G97" s="16" t="n">
        <v>3</v>
      </c>
      <c r="H97" s="16" t="n">
        <v>2</v>
      </c>
      <c r="I97" s="16" t="n">
        <v>1</v>
      </c>
      <c r="J97" s="16" t="inlineStr">
        <is>
          <t>SI</t>
        </is>
      </c>
      <c r="K97" s="16" t="inlineStr">
        <is>
          <t>¿Qué hace usted?</t>
        </is>
      </c>
      <c r="L97" s="16" t="inlineStr">
        <is>
          <t>NO</t>
        </is>
      </c>
      <c r="M97" s="16" t="inlineStr">
        <is>
          <t>comun</t>
        </is>
      </c>
    </row>
    <row r="98" ht="15" customHeight="1" s="12">
      <c r="A98" s="16" t="inlineStr">
        <is>
          <t>K097</t>
        </is>
      </c>
      <c r="B98" s="16" t="inlineStr">
        <is>
          <t>Aporte técnico-profesional</t>
        </is>
      </c>
      <c r="C98" s="16" t="inlineStr">
        <is>
          <t>Su jefe le pide un concepto que respalde una decisión ya tomada. Usted identifica que esa decisión tiene un riesgo jurídico serio. El jefe le aclara que la decisión no va a cambiar y que solo necesita el documento para el expediente antes del viernes.</t>
        </is>
      </c>
      <c r="D98" s="16" t="inlineStr">
        <is>
          <t>Emite el concepto solicitado e incluye al final una advertencia breve sobre el riesgo que identificó</t>
        </is>
      </c>
      <c r="E98" s="16" t="inlineStr">
        <is>
          <t>Emite el concepto con el análisis real, expone el riesgo con fundamento</t>
        </is>
      </c>
      <c r="F98" s="16" t="inlineStr">
        <is>
          <t>Emite el concepto en el sentido pedido y comenta verbalmente el riesgo a su jefe antes de firmarlo</t>
        </is>
      </c>
      <c r="G98" s="16" t="n">
        <v>2</v>
      </c>
      <c r="H98" s="16" t="n">
        <v>3</v>
      </c>
      <c r="I98" s="16" t="n">
        <v>1</v>
      </c>
      <c r="J98" s="16" t="inlineStr">
        <is>
          <t>SI</t>
        </is>
      </c>
      <c r="K98" s="16" t="inlineStr">
        <is>
          <t>¿Qué hace usted?</t>
        </is>
      </c>
      <c r="L98" s="16" t="inlineStr">
        <is>
          <t>NO</t>
        </is>
      </c>
      <c r="M98" s="16" t="inlineStr">
        <is>
          <t>comun</t>
        </is>
      </c>
    </row>
    <row r="99" ht="15" customHeight="1" s="12">
      <c r="A99" s="16" t="inlineStr">
        <is>
          <t>K098</t>
        </is>
      </c>
      <c r="B99" s="16" t="inlineStr">
        <is>
          <t>Gestión de procedimientos</t>
        </is>
      </c>
      <c r="C99" s="16" t="inlineStr">
        <is>
          <t>Un usuario en situación evidente de necesidad le pide saltarse un paso del procedimiento para agilizar su caso. El paso existe por una razón de control. Usted sabe que hay una ruta prevista para casos urgentes, pero es más demorada de tramitar para usted.</t>
        </is>
      </c>
      <c r="D99" s="16" t="inlineStr">
        <is>
          <t>Le explica por qué existe el paso y tramita su caso por la vía ordinaria dándole prioridad en la fila</t>
        </is>
      </c>
      <c r="E99" s="16" t="inlineStr">
        <is>
          <t>Omite el paso por esta única vez, dada la situación del usuario, y documenta después lo que hizo</t>
        </is>
      </c>
      <c r="F99" s="16" t="inlineStr">
        <is>
          <t>Activa la ruta prevista para casos urgentes y le explica al usuario los tiempos reales de esa alternativa</t>
        </is>
      </c>
      <c r="G99" s="16" t="n">
        <v>2</v>
      </c>
      <c r="H99" s="16" t="n">
        <v>1</v>
      </c>
      <c r="I99" s="16" t="n">
        <v>3</v>
      </c>
      <c r="J99" s="16" t="inlineStr">
        <is>
          <t>SI</t>
        </is>
      </c>
      <c r="K99" s="16" t="inlineStr">
        <is>
          <t>¿Cuál es la conducta más efectiva?</t>
        </is>
      </c>
      <c r="L99" s="16" t="inlineStr">
        <is>
          <t>NO</t>
        </is>
      </c>
      <c r="M99" s="16" t="inlineStr">
        <is>
          <t>comun</t>
        </is>
      </c>
    </row>
    <row r="100" ht="15" customHeight="1" s="12">
      <c r="A100" s="16" t="inlineStr">
        <is>
          <t>K099</t>
        </is>
      </c>
      <c r="B100" s="16" t="inlineStr">
        <is>
          <t>Instrumentación de decisiones</t>
        </is>
      </c>
      <c r="C100" s="16" t="inlineStr">
        <is>
          <t>La dirección adopta una decisión con la que usted no está de acuerdo y que debe implementar en su área. Su equipo le pregunta qué opina y varios esperan que usted respalde su inconformidad ante la dirección, donde ya expuso sus reparos y no fueron acogidos.</t>
        </is>
      </c>
      <c r="D100" s="16" t="inlineStr">
        <is>
          <t>Implementa la decisión y evita opinar frente al equipo para no afectar el clima laboral del área</t>
        </is>
      </c>
      <c r="E100" s="16" t="inlineStr">
        <is>
          <t>Entrega el cronograma con los tiempos ajustados para dar margen mientras la dirección reconsidera la medida</t>
        </is>
      </c>
      <c r="F100" s="16" t="inlineStr">
        <is>
          <t>Implementa la decisión, explica al equipo el marco en que se tomó</t>
        </is>
      </c>
      <c r="G100" s="16" t="n">
        <v>2</v>
      </c>
      <c r="H100" s="16" t="n">
        <v>1</v>
      </c>
      <c r="I100" s="16" t="n">
        <v>3</v>
      </c>
      <c r="J100" s="16" t="inlineStr">
        <is>
          <t>SI</t>
        </is>
      </c>
      <c r="K100" s="16" t="inlineStr">
        <is>
          <t>¿Qué hace usted?</t>
        </is>
      </c>
      <c r="L100" s="16" t="inlineStr">
        <is>
          <t>NO</t>
        </is>
      </c>
      <c r="M100" s="16" t="inlineStr">
        <is>
          <t>comun</t>
        </is>
      </c>
    </row>
    <row r="101" ht="15" customHeight="1" s="12">
      <c r="A101" s="16" t="inlineStr">
        <is>
          <t>K100</t>
        </is>
      </c>
      <c r="B101" s="16" t="inlineStr">
        <is>
          <t>Confiabilidad técnica</t>
        </is>
      </c>
      <c r="C101" s="16" t="inlineStr">
        <is>
          <t>Recibe una solicitud que excede su competencia técnica y que, mal resuelta, puede afectar la seguridad de un usuario. El profesional responsable está en un procedimiento y tardará dos horas. El solicitante insiste en que es urgente y que usted ya lo ha visto hacer antes.</t>
        </is>
      </c>
      <c r="D101" s="16" t="inlineStr">
        <is>
          <t>Informa el límite de su competencia, escala el caso al responsable</t>
        </is>
      </c>
      <c r="E101" s="16" t="inlineStr">
        <is>
          <t>Le explica que debe esperar al profesional responsable y deja la solicitud en la primera posición del turno</t>
        </is>
      </c>
      <c r="F101" s="16" t="inlineStr">
        <is>
          <t>Resuelve lo que está a su alcance y deja anotado en el registro que el caso requiere revisión posterior</t>
        </is>
      </c>
      <c r="G101" s="16" t="n">
        <v>3</v>
      </c>
      <c r="H101" s="16" t="n">
        <v>2</v>
      </c>
      <c r="I101" s="16" t="n">
        <v>1</v>
      </c>
      <c r="J101" s="16" t="inlineStr">
        <is>
          <t>SI</t>
        </is>
      </c>
      <c r="K101" s="16" t="inlineStr">
        <is>
          <t>¿Qué hace usted?</t>
        </is>
      </c>
      <c r="L101" s="16" t="inlineStr">
        <is>
          <t>NO</t>
        </is>
      </c>
      <c r="M101" s="16" t="inlineStr">
        <is>
          <t>comun</t>
        </is>
      </c>
    </row>
    <row r="102" ht="15" customHeight="1" s="12">
      <c r="A102" s="16" t="inlineStr">
        <is>
          <t>K101</t>
        </is>
      </c>
      <c r="B102" s="16" t="inlineStr">
        <is>
          <t>Disciplina</t>
        </is>
      </c>
      <c r="C102" s="16" t="inlineStr">
        <is>
          <t>Su jefe le da una instrucción verbal que contradice un procedimiento vigente. Cumplirla agiliza un trámite que tiene presionado a todo el equipo. No cumplirla lo expone a un conflicto con él, que es quien evalúa su desempeño al final del periodo.</t>
        </is>
      </c>
      <c r="D102" s="16" t="inlineStr">
        <is>
          <t>Consulta con la oficina jurídica de la entidad y actúa según lo que ella responda, informando después a su jefe</t>
        </is>
      </c>
      <c r="E102" s="16" t="inlineStr">
        <is>
          <t>Advierte el conflicto con el procedimiento, pide la instrucción por escrito</t>
        </is>
      </c>
      <c r="F102" s="16" t="inlineStr">
        <is>
          <t>Cumple la instrucción porque viene del superior y deja constancia en su correo de que la recibió así</t>
        </is>
      </c>
      <c r="G102" s="16" t="n">
        <v>2</v>
      </c>
      <c r="H102" s="16" t="n">
        <v>3</v>
      </c>
      <c r="I102" s="16" t="n">
        <v>1</v>
      </c>
      <c r="J102" s="16" t="inlineStr">
        <is>
          <t>SI</t>
        </is>
      </c>
      <c r="K102" s="16" t="inlineStr">
        <is>
          <t>¿Cuál es la conducta más efectiva?</t>
        </is>
      </c>
      <c r="L102" s="16" t="inlineStr">
        <is>
          <t>NO</t>
        </is>
      </c>
      <c r="M102" s="16" t="inlineStr">
        <is>
          <t>comun</t>
        </is>
      </c>
    </row>
    <row r="103" ht="15" customHeight="1" s="12">
      <c r="A103" s="16" t="inlineStr">
        <is>
          <t>K102</t>
        </is>
      </c>
      <c r="B103" s="16" t="inlineStr">
        <is>
          <t>Responsabilidad</t>
        </is>
      </c>
      <c r="C103" s="16" t="inlineStr">
        <is>
          <t>Termina su turno y queda pendiente un asunto que solo usted conoce en detalle. Quien recibe el turno es nuevo y ya va con retraso en la entrega. Usted tiene un compromiso personal en treinta minutos y documentar el caso le tomaría al menos veinte.</t>
        </is>
      </c>
      <c r="D103" s="16" t="inlineStr">
        <is>
          <t>Le explica el caso verbalmente con detalle y le pide que lo anote en la minuta antes de continuar</t>
        </is>
      </c>
      <c r="E103" s="16" t="inlineStr">
        <is>
          <t>Deja una nota breve en el puesto de trabajo y resuelve personalmente el asunto al día siguiente en su turno</t>
        </is>
      </c>
      <c r="F103" s="16" t="inlineStr">
        <is>
          <t>Documenta el pendiente con lo esencial, se lo entrega explicado</t>
        </is>
      </c>
      <c r="G103" s="16" t="n">
        <v>2</v>
      </c>
      <c r="H103" s="16" t="n">
        <v>1</v>
      </c>
      <c r="I103" s="16" t="n">
        <v>3</v>
      </c>
      <c r="J103" s="16" t="inlineStr">
        <is>
          <t>SI</t>
        </is>
      </c>
      <c r="K103" s="16" t="inlineStr">
        <is>
          <t>¿Qué hace usted?</t>
        </is>
      </c>
      <c r="L103" s="16" t="inlineStr">
        <is>
          <t>NO</t>
        </is>
      </c>
      <c r="M103" s="16" t="inlineStr">
        <is>
          <t>comun</t>
        </is>
      </c>
    </row>
    <row r="104" ht="15" customHeight="1" s="12">
      <c r="A104" s="16" t="inlineStr">
        <is>
          <t>K103</t>
        </is>
      </c>
      <c r="B104" s="16" t="inlineStr">
        <is>
          <t>Orientación al usuario y al ciudadano</t>
        </is>
      </c>
      <c r="C104" s="16" t="inlineStr">
        <is>
          <t>Una usuaria mayor no entiende las indicaciones del tratamiento y ya se las explicaron dos veces. El consultorio va con cuarenta minutos de retraso y afuera hay ocho usuario citados. Ella asiente con la cabeza, pero por sus preguntas es evidente que no comprendió la frecuencia de las dosis.</t>
        </is>
      </c>
      <c r="D104" s="16" t="inlineStr">
        <is>
          <t>Explica con un ejemplo concreto del día a día, le pide que repita el esquema</t>
        </is>
      </c>
      <c r="E104" s="16" t="inlineStr">
        <is>
          <t>Le entrega las indicaciones escritas y le sugiere que un familiar se las revise cuando llegue a casa</t>
        </is>
      </c>
      <c r="F104" s="16" t="inlineStr">
        <is>
          <t>Repite la explicación de forma más lenta y continúa con el siguiente usuario que está esperando</t>
        </is>
      </c>
      <c r="G104" s="16" t="n">
        <v>3</v>
      </c>
      <c r="H104" s="16" t="n">
        <v>2</v>
      </c>
      <c r="I104" s="16" t="n">
        <v>1</v>
      </c>
      <c r="J104" s="16" t="inlineStr">
        <is>
          <t>SI</t>
        </is>
      </c>
      <c r="K104" s="16" t="inlineStr">
        <is>
          <t>¿Qué hace usted?</t>
        </is>
      </c>
      <c r="L104" s="16" t="inlineStr">
        <is>
          <t>NO</t>
        </is>
      </c>
      <c r="M104" s="16" t="inlineStr">
        <is>
          <t>comun</t>
        </is>
      </c>
    </row>
    <row r="105" ht="15" customHeight="1" s="12">
      <c r="A105" s="16" t="inlineStr">
        <is>
          <t>K104</t>
        </is>
      </c>
      <c r="B105" s="16" t="inlineStr">
        <is>
          <t>Orientación al usuario y al ciudadano</t>
        </is>
      </c>
      <c r="C105" s="16" t="inlineStr">
        <is>
          <t>Un familiar exige información sobre el estado de un usuario adulto que no autorizó entregarla. Insiste en que es el hermano, está alterado y afirma que lleva tres horas sin noticias. Otros acompañantes empiezan a apoyarlo en voz alta y el pasillo se está llenando.</t>
        </is>
      </c>
      <c r="D105" s="16" t="inlineStr">
        <is>
          <t>Le explica que sin autorización del usuario no puede darle datos y le pide esperar el parte médico</t>
        </is>
      </c>
      <c r="E105" s="16" t="inlineStr">
        <is>
          <t>Le explica el límite legal, verifica con el usuario a quién autoriza</t>
        </is>
      </c>
      <c r="F105" s="16" t="inlineStr">
        <is>
          <t>Le confirma en términos generales que el usuario se encuentra estable, para calmarlo y bajar la tensión del pasillo</t>
        </is>
      </c>
      <c r="G105" s="16" t="n">
        <v>2</v>
      </c>
      <c r="H105" s="16" t="n">
        <v>3</v>
      </c>
      <c r="I105" s="16" t="n">
        <v>1</v>
      </c>
      <c r="J105" s="16" t="inlineStr">
        <is>
          <t>SI</t>
        </is>
      </c>
      <c r="K105" s="16" t="inlineStr">
        <is>
          <t>¿Cuál es la conducta más efectiva?</t>
        </is>
      </c>
      <c r="L105" s="16" t="inlineStr">
        <is>
          <t>NO</t>
        </is>
      </c>
      <c r="M105" s="16" t="inlineStr">
        <is>
          <t>comun</t>
        </is>
      </c>
    </row>
    <row r="106" ht="15" customHeight="1" s="12">
      <c r="A106" s="16" t="inlineStr">
        <is>
          <t>K105</t>
        </is>
      </c>
      <c r="B106" s="16" t="inlineStr">
        <is>
          <t>Trabajo en equipo</t>
        </is>
      </c>
      <c r="C106" s="16" t="inlineStr">
        <is>
          <t>En su servicio hay dos compañeros que no se hablan desde un desacuerdo de hace meses. La falta de comunicación entre ellos ya causó una duplicidad de trabajo esta semana. Usted no es el jefe, pero el retraso empieza a afectar al resto del equipo y nadie dice nada.</t>
        </is>
      </c>
      <c r="D106" s="16" t="inlineStr">
        <is>
          <t>Plantea el efecto concreto en el trabajo, propone un acuerdo mínimo de coordinación</t>
        </is>
      </c>
      <c r="E106" s="16" t="inlineStr">
        <is>
          <t>Se ofrece como puente entre los dos para que la información fluya mientras el conflicto se resuelve</t>
        </is>
      </c>
      <c r="F106" s="16" t="inlineStr">
        <is>
          <t>Evita involucrarse y organiza su trabajo de modo que no dependa de la comunicación entre ellos</t>
        </is>
      </c>
      <c r="G106" s="16" t="n">
        <v>3</v>
      </c>
      <c r="H106" s="16" t="n">
        <v>2</v>
      </c>
      <c r="I106" s="16" t="n">
        <v>1</v>
      </c>
      <c r="J106" s="16" t="inlineStr">
        <is>
          <t>SI</t>
        </is>
      </c>
      <c r="K106" s="16" t="inlineStr">
        <is>
          <t>¿Qué hace usted?</t>
        </is>
      </c>
      <c r="L106" s="16" t="inlineStr">
        <is>
          <t>NO</t>
        </is>
      </c>
      <c r="M106" s="16" t="inlineStr">
        <is>
          <t>comun</t>
        </is>
      </c>
    </row>
    <row r="107" ht="15" customHeight="1" s="12">
      <c r="A107" s="16" t="inlineStr">
        <is>
          <t>K106</t>
        </is>
      </c>
      <c r="B107" s="16" t="inlineStr">
        <is>
          <t>Trabajo en equipo</t>
        </is>
      </c>
      <c r="C107" s="16" t="inlineStr">
        <is>
          <t>Su equipo recibe una felicitación de la gerencia por un resultado que en buena parte se debió al trabajo de una compañera que ya se trasladó a otra área. En la reunión, el líder atribuye el logro al equipo actual y nadie la menciona. Ella se enterará de todas formas.</t>
        </is>
      </c>
      <c r="D107" s="16" t="inlineStr">
        <is>
          <t>Le escribe a la compañera para contarle y agradecerle, sin plantear el tema en la reunión</t>
        </is>
      </c>
      <c r="E107" s="16" t="inlineStr">
        <is>
          <t>Considera que el reconocimiento es del equipo y no hace ninguna precisión sobre el asunto</t>
        </is>
      </c>
      <c r="F107" s="16" t="inlineStr">
        <is>
          <t>Reconoce en la reunión el aporte de la compañera</t>
        </is>
      </c>
      <c r="G107" s="16" t="n">
        <v>2</v>
      </c>
      <c r="H107" s="16" t="n">
        <v>1</v>
      </c>
      <c r="I107" s="16" t="n">
        <v>3</v>
      </c>
      <c r="J107" s="16" t="inlineStr">
        <is>
          <t>SI</t>
        </is>
      </c>
      <c r="K107" s="16" t="inlineStr">
        <is>
          <t>¿Qué hace usted?</t>
        </is>
      </c>
      <c r="L107" s="16" t="inlineStr">
        <is>
          <t>NO</t>
        </is>
      </c>
      <c r="M107" s="16" t="inlineStr">
        <is>
          <t>comun</t>
        </is>
      </c>
    </row>
    <row r="108" ht="15" customHeight="1" s="12">
      <c r="A108" s="16" t="inlineStr">
        <is>
          <t>K107</t>
        </is>
      </c>
      <c r="B108" s="16" t="inlineStr">
        <is>
          <t>Transparencia</t>
        </is>
      </c>
      <c r="C108" s="16" t="inlineStr">
        <is>
          <t>Descubre que un compañero usa la impresora y el papel de la oficina para un trabajo de su posgrado. Es poca cantidad, lo hace fuera del horario y es una persona apreciada en el área. Usted es quien reporta mensualmente el consumo de insumos de la dependencia.</t>
        </is>
      </c>
      <c r="D108" s="16" t="inlineStr">
        <is>
          <t>Registra el consumo real en su reporte sin señalar la causa y espera que el hecho se detecte solo</t>
        </is>
      </c>
      <c r="E108" s="16" t="inlineStr">
        <is>
          <t>Le plantea en privado que entidad uso no corresponde y, si continúa, lo informa por el canal interno</t>
        </is>
      </c>
      <c r="F108" s="16" t="inlineStr">
        <is>
          <t>Omite el tema porque la cantidad es menor y el compañero lo hace fuera del horario laboral</t>
        </is>
      </c>
      <c r="G108" s="16" t="n">
        <v>2</v>
      </c>
      <c r="H108" s="16" t="n">
        <v>3</v>
      </c>
      <c r="I108" s="16" t="n">
        <v>1</v>
      </c>
      <c r="J108" s="16" t="inlineStr">
        <is>
          <t>SI</t>
        </is>
      </c>
      <c r="K108" s="16" t="inlineStr">
        <is>
          <t>¿Cuál es la conducta más efectiva?</t>
        </is>
      </c>
      <c r="L108" s="16" t="inlineStr">
        <is>
          <t>NO</t>
        </is>
      </c>
      <c r="M108" s="16" t="inlineStr">
        <is>
          <t>comun</t>
        </is>
      </c>
    </row>
    <row r="109" ht="15" customHeight="1" s="12">
      <c r="A109" s="16" t="inlineStr">
        <is>
          <t>K108</t>
        </is>
      </c>
      <c r="B109" s="16" t="inlineStr">
        <is>
          <t>Transparencia</t>
        </is>
      </c>
      <c r="C109" s="16" t="inlineStr">
        <is>
          <t>Un conocido suyo le pide que le avise cuándo van a publicar una convocatoria de la entidad, para preparar documentos con tiempo. La información aún no es pública, aunque se publicará la próxima semana y cualquiera podrá consultarla en entidad momento.</t>
        </is>
      </c>
      <c r="D109" s="16" t="inlineStr">
        <is>
          <t>Le explica que no puede anticipar información no publicada</t>
        </is>
      </c>
      <c r="E109" s="16" t="inlineStr">
        <is>
          <t>Le sugiere que revise la página de la entidad con frecuencia y le indica dónde se publican las convocatorias</t>
        </is>
      </c>
      <c r="F109" s="16" t="inlineStr">
        <is>
          <t>Le comenta la fecha aproximada porque de todos modos la información será pública en días</t>
        </is>
      </c>
      <c r="G109" s="16" t="n">
        <v>3</v>
      </c>
      <c r="H109" s="16" t="n">
        <v>2</v>
      </c>
      <c r="I109" s="16" t="n">
        <v>1</v>
      </c>
      <c r="J109" s="16" t="inlineStr">
        <is>
          <t>SI</t>
        </is>
      </c>
      <c r="K109" s="16" t="inlineStr">
        <is>
          <t>¿Qué hace usted?</t>
        </is>
      </c>
      <c r="L109" s="16" t="inlineStr">
        <is>
          <t>NO</t>
        </is>
      </c>
      <c r="M109" s="16" t="inlineStr">
        <is>
          <t>comun</t>
        </is>
      </c>
    </row>
    <row r="110" ht="15" customHeight="1" s="12">
      <c r="A110" s="16" t="inlineStr">
        <is>
          <t>K109</t>
        </is>
      </c>
      <c r="B110" s="16" t="inlineStr">
        <is>
          <t>Manejo de la información</t>
        </is>
      </c>
      <c r="C110" s="16" t="inlineStr">
        <is>
          <t>En el grupo de WhatsApp del servicio, un compañero comparte la foto de una pantalla con datos de un usuario para pedir opinión establecimiento. Varios responden con recomendaciones útiles. El grupo tiene veinte personas, algunas de otras áreas, y la práctica es habitual.</t>
        </is>
      </c>
      <c r="D110" s="16" t="inlineStr">
        <is>
          <t>Responde la consulta por mensaje privado y evita comentar el tema del grupo para no incomodar</t>
        </is>
      </c>
      <c r="E110" s="16" t="inlineStr">
        <is>
          <t>Participa en la discusión porque el objetivo es clínico y el grupo es solo de personal de la entidad</t>
        </is>
      </c>
      <c r="F110" s="16" t="inlineStr">
        <is>
          <t>Advierte el riesgo de exponer datos del usuario</t>
        </is>
      </c>
      <c r="G110" s="16" t="n">
        <v>2</v>
      </c>
      <c r="H110" s="16" t="n">
        <v>1</v>
      </c>
      <c r="I110" s="16" t="n">
        <v>3</v>
      </c>
      <c r="J110" s="16" t="inlineStr">
        <is>
          <t>SI</t>
        </is>
      </c>
      <c r="K110" s="16" t="inlineStr">
        <is>
          <t>¿Qué hace usted?</t>
        </is>
      </c>
      <c r="L110" s="16" t="inlineStr">
        <is>
          <t>NO</t>
        </is>
      </c>
      <c r="M110" s="16" t="inlineStr">
        <is>
          <t>comun</t>
        </is>
      </c>
    </row>
    <row r="111" ht="15" customHeight="1" s="12">
      <c r="A111" s="16" t="inlineStr">
        <is>
          <t>K110</t>
        </is>
      </c>
      <c r="B111" s="16" t="inlineStr">
        <is>
          <t>Manejo de la información</t>
        </is>
      </c>
      <c r="C111" s="16" t="inlineStr">
        <is>
          <t>Un periodista local lo llama a su celular para preguntar por un caso del que se habla en la ciudad. Usted conoce los hechos. El periodista le ofrece no citar su nombre y le advierte que si nadie de la entidad habla, publicará la versión de la familia.</t>
        </is>
      </c>
      <c r="D111" s="16" t="inlineStr">
        <is>
          <t>Le da un contexto general sin datos del usuario para que la nota quede mejor balanceada</t>
        </is>
      </c>
      <c r="E111" s="16" t="inlineStr">
        <is>
          <t>Le indica el canal oficial de comunicaciones de la entidad</t>
        </is>
      </c>
      <c r="F111" s="16" t="inlineStr">
        <is>
          <t>Le confirma únicamente los hechos que ya son de conocimiento público en la ciudad y le pide que no lo mencione</t>
        </is>
      </c>
      <c r="G111" s="16" t="n">
        <v>2</v>
      </c>
      <c r="H111" s="16" t="n">
        <v>3</v>
      </c>
      <c r="I111" s="16" t="n">
        <v>1</v>
      </c>
      <c r="J111" s="16" t="inlineStr">
        <is>
          <t>SI</t>
        </is>
      </c>
      <c r="K111" s="16" t="inlineStr">
        <is>
          <t>¿Cuál es la conducta más efectiva?</t>
        </is>
      </c>
      <c r="L111" s="16" t="inlineStr">
        <is>
          <t>NO</t>
        </is>
      </c>
      <c r="M111" s="16" t="inlineStr">
        <is>
          <t>comun</t>
        </is>
      </c>
    </row>
    <row r="112" ht="15" customHeight="1" s="12">
      <c r="A112" s="16" t="inlineStr">
        <is>
          <t>K111</t>
        </is>
      </c>
      <c r="B112" s="16" t="inlineStr">
        <is>
          <t>Adaptación al cambio</t>
        </is>
      </c>
      <c r="C112" s="16" t="inlineStr">
        <is>
          <t>Su área se fusiona con otra y usted pasa a reportar a una jefe más joven, con menos experiencia en el tema pero designada por la dirección. En la primera reunión ella propone cambiar un proceso que usted diseñó y que funciona bien desde hace cuatro años.</t>
        </is>
      </c>
      <c r="D112" s="16" t="inlineStr">
        <is>
          <t>Acoge el cambio propuesto y documenta los efectos para revisarlo si los resultados desmejoran</t>
        </is>
      </c>
      <c r="E112" s="16" t="inlineStr">
        <is>
          <t>Expone con datos cómo funciona hoy el proceso, escucha su propuesta</t>
        </is>
      </c>
      <c r="F112" s="16" t="inlineStr">
        <is>
          <t>Le explica que el proceso ya fue probado durante años y sugiere concentrarse en otras prioridades</t>
        </is>
      </c>
      <c r="G112" s="16" t="n">
        <v>2</v>
      </c>
      <c r="H112" s="16" t="n">
        <v>3</v>
      </c>
      <c r="I112" s="16" t="n">
        <v>1</v>
      </c>
      <c r="J112" s="16" t="inlineStr">
        <is>
          <t>SI</t>
        </is>
      </c>
      <c r="K112" s="16" t="inlineStr">
        <is>
          <t>¿Qué hace usted?</t>
        </is>
      </c>
      <c r="L112" s="16" t="inlineStr">
        <is>
          <t>NO</t>
        </is>
      </c>
      <c r="M112" s="16" t="inlineStr">
        <is>
          <t>comun</t>
        </is>
      </c>
    </row>
    <row r="113" ht="15" customHeight="1" s="12">
      <c r="A113" s="16" t="inlineStr">
        <is>
          <t>K112</t>
        </is>
      </c>
      <c r="B113" s="16" t="inlineStr">
        <is>
          <t>Orientación a resultados</t>
        </is>
      </c>
      <c r="C113" s="16" t="inlineStr">
        <is>
          <t>Su indicador de oportunidad mejora si no registra los casos que llegan después de las cuatro de la tarde, algo que otras dependencias hacen sin que nadie lo cuestione. Su jefe le reclamó el mes pasado por estar tres puntos por debajo de la meta institucional.</t>
        </is>
      </c>
      <c r="D113" s="16" t="inlineStr">
        <is>
          <t>Registra todos los casos y explica en el informe por qué el indicador quedó por debajo de la meta</t>
        </is>
      </c>
      <c r="E113" s="16" t="inlineStr">
        <is>
          <t>Aplica el mismo criterio de registro que usan las otras dependencias para que las cifras sean comparables</t>
        </is>
      </c>
      <c r="F113" s="16" t="inlineStr">
        <is>
          <t>Registra todos los casos, muestra la brecha real</t>
        </is>
      </c>
      <c r="G113" s="16" t="n">
        <v>2</v>
      </c>
      <c r="H113" s="16" t="n">
        <v>1</v>
      </c>
      <c r="I113" s="16" t="n">
        <v>3</v>
      </c>
      <c r="J113" s="16" t="inlineStr">
        <is>
          <t>SI</t>
        </is>
      </c>
      <c r="K113" s="16" t="inlineStr">
        <is>
          <t>¿Qué hace usted?</t>
        </is>
      </c>
      <c r="L113" s="16" t="inlineStr">
        <is>
          <t>NO</t>
        </is>
      </c>
      <c r="M113" s="16" t="inlineStr">
        <is>
          <t>comun</t>
        </is>
      </c>
    </row>
    <row r="114" ht="15" customHeight="1" s="12">
      <c r="A114" s="16" t="inlineStr">
        <is>
          <t>K113</t>
        </is>
      </c>
      <c r="B114" s="16" t="inlineStr">
        <is>
          <t>Compromiso con la organización</t>
        </is>
      </c>
      <c r="C114" s="16" t="inlineStr">
        <is>
          <t>Le ofrecen un cargo mejor pagado en otra entidad y debe responder en una semana. En su área está en curso un proceso crítico que solo usted conoce en detalle y cuyo cierre es en un mes. Aún no ha comentado nada a su jefe y la oferta es una oportunidad real.</t>
        </is>
      </c>
      <c r="D114" s="16" t="inlineStr">
        <is>
          <t>Informa oportunamente su decisión y prepara un empalme documentado del proceso que tiene a cargo</t>
        </is>
      </c>
      <c r="E114" s="16" t="inlineStr">
        <is>
          <t>Espera a tener la decisión tomada y, cuando renuncie, dedica el preaviso a explicar el proceso</t>
        </is>
      </c>
      <c r="F114" s="16" t="inlineStr">
        <is>
          <t>Presenta la renuncia cuando deba hacerlo y deja la información organizada en la carpeta compartida</t>
        </is>
      </c>
      <c r="G114" s="16" t="n">
        <v>3</v>
      </c>
      <c r="H114" s="16" t="n">
        <v>2</v>
      </c>
      <c r="I114" s="16" t="n">
        <v>1</v>
      </c>
      <c r="J114" s="16" t="inlineStr">
        <is>
          <t>SI</t>
        </is>
      </c>
      <c r="K114" s="16" t="inlineStr">
        <is>
          <t>¿Cuál es la conducta más efectiva?</t>
        </is>
      </c>
      <c r="L114" s="16" t="inlineStr">
        <is>
          <t>NO</t>
        </is>
      </c>
      <c r="M114" s="16" t="inlineStr">
        <is>
          <t>comun</t>
        </is>
      </c>
    </row>
    <row r="115" ht="15" customHeight="1" s="12">
      <c r="A115" s="16" t="inlineStr">
        <is>
          <t>K114</t>
        </is>
      </c>
      <c r="B115" s="16" t="inlineStr">
        <is>
          <t>Gestión de procedimientos</t>
        </is>
      </c>
      <c r="C115" s="16" t="inlineStr">
        <is>
          <t>Usted identifica que un formato que la entidad exige duplica información que ya reposa en otro sistema. Eliminarlo ahorraría tiempo, pero fue adoptado por un acto administrativo y varias dependencias lo usan para sus propios controles internos.</t>
        </is>
      </c>
      <c r="D115" s="16" t="inlineStr">
        <is>
          <t>Comenta la observación en el comité de calidad de la entidad y espera a que alguien más impulse la modificación</t>
        </is>
      </c>
      <c r="E115" s="16" t="inlineStr">
        <is>
          <t>Documenta la duplicidad con evidencia y presenta la propuesta de ajuste por el conducto que corresponde</t>
        </is>
      </c>
      <c r="F115" s="16" t="inlineStr">
        <is>
          <t>Deja de diligenciar el formato en su dependencia porque la información ya está en el otro sistema</t>
        </is>
      </c>
      <c r="G115" s="16" t="n">
        <v>2</v>
      </c>
      <c r="H115" s="16" t="n">
        <v>3</v>
      </c>
      <c r="I115" s="16" t="n">
        <v>1</v>
      </c>
      <c r="J115" s="16" t="inlineStr">
        <is>
          <t>SI</t>
        </is>
      </c>
      <c r="K115" s="16" t="inlineStr">
        <is>
          <t>¿Qué hace usted?</t>
        </is>
      </c>
      <c r="L115" s="16" t="inlineStr">
        <is>
          <t>NO</t>
        </is>
      </c>
      <c r="M115" s="16" t="inlineStr">
        <is>
          <t>comun</t>
        </is>
      </c>
    </row>
    <row r="116" ht="15" customHeight="1" s="12">
      <c r="A116" s="16" t="inlineStr">
        <is>
          <t>K115</t>
        </is>
      </c>
      <c r="B116" s="16" t="inlineStr">
        <is>
          <t>Aporte técnico-profesional</t>
        </is>
      </c>
      <c r="C116" s="16" t="inlineStr">
        <is>
          <t>En una reunión, un contratista externo presenta un diagnóstico con una cifra que usted sabe que está mal calculada. Está el director y dos miembros de la junta. Corregirlo en público deja mal parado al contratista, que además es cercano a uno de los asistentes.</t>
        </is>
      </c>
      <c r="D116" s="16" t="inlineStr">
        <is>
          <t>Pide la palabra, plantea la duda sobre el dato con el soporte</t>
        </is>
      </c>
      <c r="E116" s="16" t="inlineStr">
        <is>
          <t>Guarda silencio en la reunión y le envía después al contratista y al director la observación por correo</t>
        </is>
      </c>
      <c r="F116" s="16" t="inlineStr">
        <is>
          <t>Menciona al final que conviene validar las cifras antes de tomar decisiones con entidad diagnóstico</t>
        </is>
      </c>
      <c r="G116" s="16" t="n">
        <v>3</v>
      </c>
      <c r="H116" s="16" t="n">
        <v>2</v>
      </c>
      <c r="I116" s="16" t="n">
        <v>1</v>
      </c>
      <c r="J116" s="16" t="inlineStr">
        <is>
          <t>SI</t>
        </is>
      </c>
      <c r="K116" s="16" t="inlineStr">
        <is>
          <t>¿Qué hace usted?</t>
        </is>
      </c>
      <c r="L116" s="16" t="inlineStr">
        <is>
          <t>NO</t>
        </is>
      </c>
      <c r="M116" s="16" t="inlineStr">
        <is>
          <t>comun</t>
        </is>
      </c>
    </row>
    <row r="117" ht="15" customHeight="1" s="12">
      <c r="A117" s="16" t="inlineStr">
        <is>
          <t>K116</t>
        </is>
      </c>
      <c r="B117" s="16" t="inlineStr">
        <is>
          <t>Instrumentación de decisiones</t>
        </is>
      </c>
      <c r="C117" s="16" t="inlineStr">
        <is>
          <t>Debe implementar en su área una decisión que reduce el personal disponible en el turno de la noche. Su equipo la considera riesgosa y usted comparte parte de esa preocupación. La dirección pide el cronograma de implementación para el viernes.</t>
        </is>
      </c>
      <c r="D117" s="16" t="inlineStr">
        <is>
          <t>Entrega el cronograma y solicita una reunión posterior para exponer las preocupaciones del equipo</t>
        </is>
      </c>
      <c r="E117" s="16" t="inlineStr">
        <is>
          <t>Entrega el cronograma con los tiempos ajustados para dar margen mientras la dirección reconsidera</t>
        </is>
      </c>
      <c r="F117" s="16" t="inlineStr">
        <is>
          <t>Entrega el cronograma y remite en el mismo acto el riesgo identificado con la medida que lo mitiga</t>
        </is>
      </c>
      <c r="G117" s="16" t="n">
        <v>2</v>
      </c>
      <c r="H117" s="16" t="n">
        <v>1</v>
      </c>
      <c r="I117" s="16" t="n">
        <v>3</v>
      </c>
      <c r="J117" s="16" t="inlineStr">
        <is>
          <t>SI</t>
        </is>
      </c>
      <c r="K117" s="16" t="inlineStr">
        <is>
          <t>¿Cuál es la conducta más efectiva?</t>
        </is>
      </c>
      <c r="L117" s="16" t="inlineStr">
        <is>
          <t>NO</t>
        </is>
      </c>
      <c r="M117" s="16" t="inlineStr">
        <is>
          <t>comun</t>
        </is>
      </c>
    </row>
    <row r="118" ht="15" customHeight="1" s="12">
      <c r="A118" s="16" t="inlineStr">
        <is>
          <t>K117</t>
        </is>
      </c>
      <c r="B118" s="16" t="inlineStr">
        <is>
          <t>Confiabilidad técnica</t>
        </is>
      </c>
      <c r="C118" s="16" t="inlineStr">
        <is>
          <t>Un equipo del servicio muestra una lectura que usted considera inconsistente con el estado del usuario. El mantenimiento está vigente y el compañero del turno anterior dice que siempre da esa lectura y que igual sirve. El usuario debe ser valorado en minutos.</t>
        </is>
      </c>
      <c r="D118" s="16" t="inlineStr">
        <is>
          <t>Usa otro equipo disponible para esa valoración y comenta el asunto al terminar el turno</t>
        </is>
      </c>
      <c r="E118" s="16" t="inlineStr">
        <is>
          <t>Registra la lectura obtenida y anota en la historia que el equipo presenta comportamiento irregular</t>
        </is>
      </c>
      <c r="F118" s="16" t="inlineStr">
        <is>
          <t>Verifica con otro equipo, informa la inconsistencia al área responsable</t>
        </is>
      </c>
      <c r="G118" s="16" t="n">
        <v>2</v>
      </c>
      <c r="H118" s="16" t="n">
        <v>1</v>
      </c>
      <c r="I118" s="16" t="n">
        <v>3</v>
      </c>
      <c r="J118" s="16" t="inlineStr">
        <is>
          <t>SI</t>
        </is>
      </c>
      <c r="K118" s="16" t="inlineStr">
        <is>
          <t>¿Qué hace usted?</t>
        </is>
      </c>
      <c r="L118" s="16" t="inlineStr">
        <is>
          <t>NO</t>
        </is>
      </c>
      <c r="M118" s="16" t="inlineStr">
        <is>
          <t>comun</t>
        </is>
      </c>
    </row>
    <row r="119" ht="15" customHeight="1" s="12">
      <c r="A119" s="16" t="inlineStr">
        <is>
          <t>K118</t>
        </is>
      </c>
      <c r="B119" s="16" t="inlineStr">
        <is>
          <t>Disciplina</t>
        </is>
      </c>
      <c r="C119" s="16" t="inlineStr">
        <is>
          <t>Llega quince minutos tarde por un trancón y descubre que nadie lo notó porque el registro de entrada está fallando hace días. Un compañero le comenta que aproveche, que esta semana nadie está controlando la hora y que varios están llegando tarde.</t>
        </is>
      </c>
      <c r="D119" s="16" t="inlineStr">
        <is>
          <t>Registra su hora real de llegada y no comenta nada sobre la falla del sistema de registro</t>
        </is>
      </c>
      <c r="E119" s="16" t="inlineStr">
        <is>
          <t>Registra su hora real de llegada por el medio alterno e informa la falla del sistema al área encargada</t>
        </is>
      </c>
      <c r="F119" s="16" t="inlineStr">
        <is>
          <t>Registra la hora habitual de entrada porque el retraso fue menor y por una causa ajena a su voluntad</t>
        </is>
      </c>
      <c r="G119" s="16" t="n">
        <v>2</v>
      </c>
      <c r="H119" s="16" t="n">
        <v>3</v>
      </c>
      <c r="I119" s="16" t="n">
        <v>1</v>
      </c>
      <c r="J119" s="16" t="inlineStr">
        <is>
          <t>SI</t>
        </is>
      </c>
      <c r="K119" s="16" t="inlineStr">
        <is>
          <t>¿Qué hace usted?</t>
        </is>
      </c>
      <c r="L119" s="16" t="inlineStr">
        <is>
          <t>NO</t>
        </is>
      </c>
      <c r="M119" s="16" t="inlineStr">
        <is>
          <t>comun</t>
        </is>
      </c>
    </row>
    <row r="120" ht="15" customHeight="1" s="12">
      <c r="A120" s="16" t="inlineStr">
        <is>
          <t>K119</t>
        </is>
      </c>
      <c r="B120" s="16" t="inlineStr">
        <is>
          <t>Responsabilidad</t>
        </is>
      </c>
      <c r="C120" s="16" t="inlineStr">
        <is>
          <t>Se equivoca al diligenciar un dato en un reporte externo que ya fue radicado. El error es suyo, no afecta la cifra global y corregirlo implica una solicitud formal de la entidad, con firma del jefe y explicación escrita del motivo.</t>
        </is>
      </c>
      <c r="D120" s="16" t="inlineStr">
        <is>
          <t>Informa el error a su jefe, prepara la solicitud de corrección</t>
        </is>
      </c>
      <c r="E120" s="16" t="inlineStr">
        <is>
          <t>Prepara la corrección para el siguiente reporte y deja anotado el ajuste en el expediente del trámite</t>
        </is>
      </c>
      <c r="F120" s="16" t="inlineStr">
        <is>
          <t>Deja el dato como quedó porque no altera el resultado global ni afecta la decisión del destinatario</t>
        </is>
      </c>
      <c r="G120" s="16" t="n">
        <v>3</v>
      </c>
      <c r="H120" s="16" t="n">
        <v>2</v>
      </c>
      <c r="I120" s="16" t="n">
        <v>1</v>
      </c>
      <c r="J120" s="16" t="inlineStr">
        <is>
          <t>SI</t>
        </is>
      </c>
      <c r="K120" s="16" t="inlineStr">
        <is>
          <t>¿Cuál es la conducta más efectiva?</t>
        </is>
      </c>
      <c r="L120" s="16" t="inlineStr">
        <is>
          <t>NO</t>
        </is>
      </c>
      <c r="M120" s="16" t="inlineStr">
        <is>
          <t>comun</t>
        </is>
      </c>
    </row>
    <row r="121" ht="15" customHeight="1" s="12">
      <c r="A121" s="16" t="inlineStr">
        <is>
          <t>K120</t>
        </is>
      </c>
      <c r="B121" s="16" t="inlineStr">
        <is>
          <t>Aprendizaje continuo</t>
        </is>
      </c>
      <c r="C121" s="16" t="inlineStr">
        <is>
          <t>Le asignan un tema nuevo con el que no ha trabajado. Hay un compañero que lo domina, pero es reservado con lo que sabe y suele responder con evasivas. El plazo es de tres semanas y su jefe asume que usted ya conoce la materia.</t>
        </is>
      </c>
      <c r="D121" s="16" t="inlineStr">
        <is>
          <t>Le pide al jefe que reasigne la tarea a quien ya conoce el tema y le ofrece apoyar en lo que se requiera</t>
        </is>
      </c>
      <c r="E121" s="16" t="inlineStr">
        <is>
          <t>Estudia la base por su cuenta, llega con preguntas concretas al compañero</t>
        </is>
      </c>
      <c r="F121" s="16" t="inlineStr">
        <is>
          <t>Avanza con lo que encuentra por su cuenta y consulta al compañero solo si queda bloqueado al final</t>
        </is>
      </c>
      <c r="G121" s="16" t="n">
        <v>2</v>
      </c>
      <c r="H121" s="16" t="n">
        <v>3</v>
      </c>
      <c r="I121" s="16" t="n">
        <v>1</v>
      </c>
      <c r="J121" s="16" t="inlineStr">
        <is>
          <t>SI</t>
        </is>
      </c>
      <c r="K121" s="16" t="inlineStr">
        <is>
          <t>¿Qué hace usted?</t>
        </is>
      </c>
      <c r="L121" s="16" t="inlineStr">
        <is>
          <t>NO</t>
        </is>
      </c>
      <c r="M121" s="16" t="inlineStr">
        <is>
          <t>comun</t>
        </is>
      </c>
    </row>
    <row r="122" ht="15" customHeight="1" s="12">
      <c r="A122" s="16" t="inlineStr">
        <is>
          <t>K121</t>
        </is>
      </c>
      <c r="B122" s="16" t="inlineStr">
        <is>
          <t>Comunicación efectiva</t>
        </is>
      </c>
      <c r="C122" s="16" t="inlineStr">
        <is>
          <t>Debe enviar un correo a tres dependencias solicitando información para un informe. En intentos anteriores el mismo correo no obtuvo respuesta y usted sospecha que se pierde entre los muchos mensajes que reciben esas oficinas cada día.</t>
        </is>
      </c>
      <c r="D122" s="16" t="inlineStr">
        <is>
          <t>Escribe un correo con la petición concreta, el plazo y el uso del dato</t>
        </is>
      </c>
      <c r="E122" s="16" t="inlineStr">
        <is>
          <t>Reenvía el correo anterior marcándolo como urgente y con copia a los jefes de las tres dependencias</t>
        </is>
      </c>
      <c r="F122" s="16" t="inlineStr">
        <is>
          <t>Envía el correo y, si no responden, deja constancia del intento en el informe que debe presentar</t>
        </is>
      </c>
      <c r="G122" s="16" t="n">
        <v>3</v>
      </c>
      <c r="H122" s="16" t="n">
        <v>2</v>
      </c>
      <c r="I122" s="16" t="n">
        <v>1</v>
      </c>
      <c r="J122" s="16" t="inlineStr">
        <is>
          <t>SI</t>
        </is>
      </c>
      <c r="K122" s="16" t="inlineStr">
        <is>
          <t>¿Qué hace usted?</t>
        </is>
      </c>
      <c r="L122" s="16" t="inlineStr">
        <is>
          <t>NO</t>
        </is>
      </c>
      <c r="M122" s="16" t="inlineStr">
        <is>
          <t>comun</t>
        </is>
      </c>
    </row>
    <row r="123" ht="15" customHeight="1" s="12">
      <c r="A123" s="16" t="inlineStr">
        <is>
          <t>K122</t>
        </is>
      </c>
      <c r="B123" s="16" t="inlineStr">
        <is>
          <t>Orientación al usuario y al ciudadano</t>
        </is>
      </c>
      <c r="C123" s="16" t="inlineStr">
        <is>
          <t>Un usuario con discapacidad auditiva llega solo a solicitar una turno. No hay intérprete en la institución y la comunicación escrita es lenta porque él escribe con dificultad. Detrás hay fila y su turno ya se está demorando el doble de lo habitual.</t>
        </is>
      </c>
      <c r="D123" s="16" t="inlineStr">
        <is>
          <t>Le entrega por escrito las opciones de fecha y le pide que señale la que prefiere para agendarla</t>
        </is>
      </c>
      <c r="E123" s="16" t="inlineStr">
        <is>
          <t>Le sugiere volver acompañado de alguien que pueda apoyarlo con la comunicación en la ventanilla</t>
        </is>
      </c>
      <c r="F123" s="16" t="inlineStr">
        <is>
          <t>Busca un medio de comunicación que ambos entiendan, verifica la comprensión</t>
        </is>
      </c>
      <c r="G123" s="16" t="n">
        <v>2</v>
      </c>
      <c r="H123" s="16" t="n">
        <v>1</v>
      </c>
      <c r="I123" s="16" t="n">
        <v>3</v>
      </c>
      <c r="J123" s="16" t="inlineStr">
        <is>
          <t>SI</t>
        </is>
      </c>
      <c r="K123" s="16" t="inlineStr">
        <is>
          <t>¿Cuál es la conducta más efectiva?</t>
        </is>
      </c>
      <c r="L123" s="16" t="inlineStr">
        <is>
          <t>NO</t>
        </is>
      </c>
      <c r="M123" s="16" t="inlineStr">
        <is>
          <t>comun</t>
        </is>
      </c>
    </row>
    <row r="124" ht="15" customHeight="1" s="12">
      <c r="A124" s="16" t="inlineStr">
        <is>
          <t>K123</t>
        </is>
      </c>
      <c r="B124" s="16" t="inlineStr">
        <is>
          <t>Compromiso con la organización</t>
        </is>
      </c>
      <c r="C124" s="16" t="inlineStr">
        <is>
          <t>Un usuario le ofrece dinero para adelantar su turno en una lista de espera. Es una suma pequeña, el usuario tiene una situación de salud difícil y nadie presenció el ofrecimiento. Usted sabe que hay criterios de priorización establecimiento que podrían aplicarle.</t>
        </is>
      </c>
      <c r="D124" s="16" t="inlineStr">
        <is>
          <t>Rechaza el ofrecimiento, deja constancia del hecho</t>
        </is>
      </c>
      <c r="E124" s="16" t="inlineStr">
        <is>
          <t>Rechaza el ofrecimiento con firmeza y continúa el trámite normal, sin informar el hecho a nadie dentro de la entidad</t>
        </is>
      </c>
      <c r="F124" s="16" t="inlineStr">
        <is>
          <t>Rechaza el dinero y le adelanta el turno por su situación de salud, sin revisar los criterios</t>
        </is>
      </c>
      <c r="G124" s="16" t="n">
        <v>3</v>
      </c>
      <c r="H124" s="16" t="n">
        <v>2</v>
      </c>
      <c r="I124" s="16" t="n">
        <v>1</v>
      </c>
      <c r="J124" s="16" t="inlineStr">
        <is>
          <t>SI</t>
        </is>
      </c>
      <c r="K124" s="16" t="inlineStr">
        <is>
          <t>¿Qué hace usted?</t>
        </is>
      </c>
      <c r="L124" s="16" t="inlineStr">
        <is>
          <t>NO</t>
        </is>
      </c>
      <c r="M124" s="16" t="inlineStr">
        <is>
          <t>comun</t>
        </is>
      </c>
    </row>
    <row r="125" ht="15" customHeight="1" s="12">
      <c r="A125" s="16" t="inlineStr">
        <is>
          <t>K124</t>
        </is>
      </c>
      <c r="B125" s="16" t="inlineStr">
        <is>
          <t>Trabajo en equipo</t>
        </is>
      </c>
      <c r="C125" s="16" t="inlineStr">
        <is>
          <t>Usted propone una mejora en la reunión de equipo y nadie comenta nada. Dos semanas después, un compañero presenta la misma idea al jefe como propia y recibe el reconocimiento. El jefe lo felicita frente a todos y le encarga liderar la implementación.</t>
        </is>
      </c>
      <c r="D125" s="16" t="inlineStr">
        <is>
          <t>Le recuerda al jefe que la propuesta la había planteado usted en la reunión anterior del equipo</t>
        </is>
      </c>
      <c r="E125" s="16" t="inlineStr">
        <is>
          <t>Habla en privado con el compañero, aclara el origen de la idea</t>
        </is>
      </c>
      <c r="F125" s="16" t="inlineStr">
        <is>
          <t>Deja pasar el hecho y en adelante presenta sus ideas directamente al jefe por escrito, con copia al equipo</t>
        </is>
      </c>
      <c r="G125" s="16" t="n">
        <v>2</v>
      </c>
      <c r="H125" s="16" t="n">
        <v>3</v>
      </c>
      <c r="I125" s="16" t="n">
        <v>1</v>
      </c>
      <c r="J125" s="16" t="inlineStr">
        <is>
          <t>SI</t>
        </is>
      </c>
      <c r="K125" s="16" t="inlineStr">
        <is>
          <t>¿Qué hace usted?</t>
        </is>
      </c>
      <c r="L125" s="16" t="inlineStr">
        <is>
          <t>NO</t>
        </is>
      </c>
      <c r="M125" s="16" t="inlineStr">
        <is>
          <t>comun</t>
        </is>
      </c>
    </row>
    <row r="126" ht="15" customHeight="1" s="12">
      <c r="A126" s="16" t="inlineStr">
        <is>
          <t>K125</t>
        </is>
      </c>
      <c r="B126" s="16" t="inlineStr">
        <is>
          <t>Gestión de procedimientos</t>
        </is>
      </c>
      <c r="C126" s="16" t="inlineStr">
        <is>
          <t>El sistema se cae dos horas y usted debe decidir si detiene la atención o la continúa con registro manual. El registro manual implica transcribir después, con riesgo de errores, y no hay instrucción escrita de la entidad sobre qué hacer en estos casos.</t>
        </is>
      </c>
      <c r="D126" s="16" t="inlineStr">
        <is>
          <t>Continúa con registro manual y transcribe todo apenas el sistema se restablezca, sin avisar a nadie</t>
        </is>
      </c>
      <c r="E126" s="16" t="inlineStr">
        <is>
          <t>Suspende la atención mientras el sistema se restablece para evitar errores en los registros</t>
        </is>
      </c>
      <c r="F126" s="16" t="inlineStr">
        <is>
          <t>Continúa con registro manual siguiendo el plan de contingencia</t>
        </is>
      </c>
      <c r="G126" s="16" t="n">
        <v>2</v>
      </c>
      <c r="H126" s="16" t="n">
        <v>1</v>
      </c>
      <c r="I126" s="16" t="n">
        <v>3</v>
      </c>
      <c r="J126" s="16" t="inlineStr">
        <is>
          <t>SI</t>
        </is>
      </c>
      <c r="K126" s="16" t="inlineStr">
        <is>
          <t>¿Cuál es la conducta más efectiva?</t>
        </is>
      </c>
      <c r="L126" s="16" t="inlineStr">
        <is>
          <t>NO</t>
        </is>
      </c>
      <c r="M126" s="16" t="inlineStr">
        <is>
          <t>comun</t>
        </is>
      </c>
    </row>
    <row r="127" ht="15" customHeight="1" s="12">
      <c r="A127" s="16" t="inlineStr">
        <is>
          <t>K126</t>
        </is>
      </c>
      <c r="B127" s="16" t="inlineStr">
        <is>
          <t>Orientación a resultados</t>
        </is>
      </c>
      <c r="C127" s="16" t="inlineStr">
        <is>
          <t>Faltan dos horas para que cierre el plazo de un reporte obligatorio y el aplicativo del ministerio no carga el archivo. Usted ya lo intentó cuatro veces. El soporte técnico atiende por correo y suele responder al día siguiente. Su jefe está en una reunión que termina después del cierre.</t>
        </is>
      </c>
      <c r="D127" s="16" t="inlineStr">
        <is>
          <t>Llamar a la línea del ministerio para confirmar si la falla es del aplicativo o del archivo</t>
        </is>
      </c>
      <c r="E127" s="16" t="inlineStr">
        <is>
          <t>Escribir al soporte técnico y guardar el pantallazo del error como evidencia del intento</t>
        </is>
      </c>
      <c r="F127" s="16" t="inlineStr">
        <is>
          <t>Reintentar la carga cada quince minutos y avisar a su jefe cuando salga de la reunión</t>
        </is>
      </c>
      <c r="G127" s="16" t="n">
        <v>3</v>
      </c>
      <c r="H127" s="16" t="n">
        <v>2</v>
      </c>
      <c r="I127" s="16" t="n">
        <v>1</v>
      </c>
      <c r="J127" s="16" t="inlineStr">
        <is>
          <t>SI</t>
        </is>
      </c>
      <c r="K127" s="16" t="inlineStr">
        <is>
          <t>¿Qué hace usted?</t>
        </is>
      </c>
      <c r="L127" s="16" t="inlineStr">
        <is>
          <t>NO</t>
        </is>
      </c>
      <c r="M127" s="16" t="inlineStr">
        <is>
          <t>comun</t>
        </is>
      </c>
    </row>
    <row r="128" ht="15" customHeight="1" s="12">
      <c r="A128" s="16" t="inlineStr">
        <is>
          <t>K127</t>
        </is>
      </c>
      <c r="B128" s="16" t="inlineStr">
        <is>
          <t>Confiabilidad técnica</t>
        </is>
      </c>
      <c r="C128" s="16" t="inlineStr">
        <is>
          <t>Usted revisa una liquidación de incapacidades y encuentra una diferencia de setecientos mil pesos a favor de un empleado. El cálculo lo hizo una compañera que salió a vacaciones y el pago se ordena mañana. Nadie más ha revisado el documento.</t>
        </is>
      </c>
      <c r="D128" s="16" t="inlineStr">
        <is>
          <t>Corregir la liquidación y dejar la anotación del ajuste en el soporte del pago</t>
        </is>
      </c>
      <c r="E128" s="16" t="inlineStr">
        <is>
          <t>Dejar pasar el pago por ser un valor menor frente al total de la nómina del mes</t>
        </is>
      </c>
      <c r="F128" s="16" t="inlineStr">
        <is>
          <t>Advertir la diferencia a quien ordena el pago antes de que este se ejecute mañana</t>
        </is>
      </c>
      <c r="G128" s="16" t="n">
        <v>1</v>
      </c>
      <c r="H128" s="16" t="n">
        <v>3</v>
      </c>
      <c r="I128" s="16" t="n">
        <v>1</v>
      </c>
      <c r="J128" s="16" t="inlineStr">
        <is>
          <t>SI</t>
        </is>
      </c>
      <c r="K128" s="16" t="inlineStr">
        <is>
          <t>¿Cuál de estas conductas NO adoptaría?</t>
        </is>
      </c>
      <c r="L128" s="16" t="inlineStr">
        <is>
          <t>SI</t>
        </is>
      </c>
      <c r="M128" s="16" t="inlineStr">
        <is>
          <t>comun</t>
        </is>
      </c>
    </row>
    <row r="129" ht="15" customHeight="1" s="12">
      <c r="A129" s="16" t="inlineStr">
        <is>
          <t>K128</t>
        </is>
      </c>
      <c r="B129" s="16" t="inlineStr">
        <is>
          <t>Gestión de procedimientos</t>
        </is>
      </c>
      <c r="C129" s="16" t="inlineStr">
        <is>
          <t>Un usuario llega a las 16:55 y el trámite que necesita cierra a las 17:00. Le faltan cinco minutos de atención y usted alcanza a resolverlo, pero eso significa salir veinte minutos tarde porque debe cerrar caja. El usuario vive en zona rural y el transporte sale a las 18:00.</t>
        </is>
      </c>
      <c r="D129" s="16" t="inlineStr">
        <is>
          <t>Explicarle el horario y asignarle turno preferente para el primer bloque del día siguiente</t>
        </is>
      </c>
      <c r="E129" s="16" t="inlineStr">
        <is>
          <t>Consultar con su jefe si puede quedarse a atenderlo fuera del horario establecido</t>
        </is>
      </c>
      <c r="F129" s="16" t="inlineStr">
        <is>
          <t>Atender el trámite en el tiempo que queda y organizar después el cierre de caja</t>
        </is>
      </c>
      <c r="G129" s="16" t="n">
        <v>2</v>
      </c>
      <c r="H129" s="16" t="n">
        <v>1</v>
      </c>
      <c r="I129" s="16" t="n">
        <v>3</v>
      </c>
      <c r="J129" s="16" t="inlineStr">
        <is>
          <t>SI</t>
        </is>
      </c>
      <c r="K129" s="16" t="inlineStr">
        <is>
          <t>¿Cuál sería su primera acción?</t>
        </is>
      </c>
      <c r="L129" s="16" t="inlineStr">
        <is>
          <t>NO</t>
        </is>
      </c>
      <c r="M129" s="16" t="inlineStr">
        <is>
          <t>comun</t>
        </is>
      </c>
    </row>
    <row r="130" ht="15" customHeight="1" s="12">
      <c r="A130" s="16" t="inlineStr">
        <is>
          <t>K129</t>
        </is>
      </c>
      <c r="B130" s="16" t="inlineStr">
        <is>
          <t>Trabajo en equipo</t>
        </is>
      </c>
      <c r="C130" s="16" t="inlineStr">
        <is>
          <t>En la entrega de turno, la auxiliar que sale omite mencionar que un usuario presentó un episodio de desorientación en la madrugada. Usted lo descubre dos horas después revisando la expediente. Es la tercera vez este mes que la entrega llega incompleta.</t>
        </is>
      </c>
      <c r="D130" s="16" t="inlineStr">
        <is>
          <t>Hablar con ella al terminar el turno y proponer una lista corta de puntos obligatorios</t>
        </is>
      </c>
      <c r="E130" s="16" t="inlineStr">
        <is>
          <t>Registrar el hallazgo en la historia y comentarlo en la reunión mensual del servicio</t>
        </is>
      </c>
      <c r="F130" s="16" t="inlineStr">
        <is>
          <t>Informar el hecho a la coordinadora para que ella corrija a la persona responsable</t>
        </is>
      </c>
      <c r="G130" s="16" t="n">
        <v>3</v>
      </c>
      <c r="H130" s="16" t="n">
        <v>2</v>
      </c>
      <c r="I130" s="16" t="n">
        <v>1</v>
      </c>
      <c r="J130" s="16" t="inlineStr">
        <is>
          <t>SI</t>
        </is>
      </c>
      <c r="K130" s="16" t="inlineStr">
        <is>
          <t>¿Cuál es la conducta más efectiva?</t>
        </is>
      </c>
      <c r="L130" s="16" t="inlineStr">
        <is>
          <t>NO</t>
        </is>
      </c>
      <c r="M130" s="16" t="inlineStr">
        <is>
          <t>comun</t>
        </is>
      </c>
    </row>
    <row r="131" ht="15" customHeight="1" s="12">
      <c r="A131" s="16" t="inlineStr">
        <is>
          <t>K130</t>
        </is>
      </c>
      <c r="B131" s="16" t="inlineStr">
        <is>
          <t>Transparencia</t>
        </is>
      </c>
      <c r="C131" s="16" t="inlineStr">
        <is>
          <t>Un compañero le pide que marque su llegada en el reloj biométrico porque viene retrasado por una turno de atención que no alcanzó a reportar. Dice que siempre repone el tiempo y que lo haría por usted sin dudarlo. Nadie está mirando en entidad momento.</t>
        </is>
      </c>
      <c r="D131" s="16" t="inlineStr">
        <is>
          <t>Negarse y sugerirle que reporte la turno de atención por el canal que existe para eso</t>
        </is>
      </c>
      <c r="E131" s="16" t="inlineStr">
        <is>
          <t>Negarse y explicarle que el registro es personal y que marcar por otro es una falta</t>
        </is>
      </c>
      <c r="F131" s="16" t="inlineStr">
        <is>
          <t>Marcar por él esta vez, dado que la causa del retraso es justificada</t>
        </is>
      </c>
      <c r="G131" s="16" t="n">
        <v>1</v>
      </c>
      <c r="H131" s="16" t="n">
        <v>1</v>
      </c>
      <c r="I131" s="16" t="n">
        <v>3</v>
      </c>
      <c r="J131" s="16" t="inlineStr">
        <is>
          <t>SI</t>
        </is>
      </c>
      <c r="K131" s="16" t="inlineStr">
        <is>
          <t>¿Cuál de estas conductas NO adoptaría?</t>
        </is>
      </c>
      <c r="L131" s="16" t="inlineStr">
        <is>
          <t>SI</t>
        </is>
      </c>
      <c r="M131" s="16" t="inlineStr">
        <is>
          <t>comun</t>
        </is>
      </c>
    </row>
    <row r="132" ht="15" customHeight="1" s="12">
      <c r="A132" s="16" t="inlineStr">
        <is>
          <t>K131</t>
        </is>
      </c>
      <c r="B132" s="16" t="inlineStr">
        <is>
          <t>Orientación al usuario y al ciudadano</t>
        </is>
      </c>
      <c r="C132" s="16" t="inlineStr">
        <is>
          <t>Una usuaria de setenta años se equivocó de fila, esperó cuarenta minutos y ahora debe empezar de nuevo en otra ventanilla donde hay doce personas. Está cansada y molesta. El error fue de ella, aunque la señalización del pasillo es confusa y ya varios se han equivocado hoy.</t>
        </is>
      </c>
      <c r="D132" s="16" t="inlineStr">
        <is>
          <t>Acompañarla a la fila correcta y avisar al compañero de esa ventanilla sobre su caso</t>
        </is>
      </c>
      <c r="E132" s="16" t="inlineStr">
        <is>
          <t>Gestionar su atención en el turno siguiente, explicándole por qué se produjo la confusión</t>
        </is>
      </c>
      <c r="F132" s="16" t="inlineStr">
        <is>
          <t>Explicarle el procedimiento y reportar el problema de señalización al área encargada</t>
        </is>
      </c>
      <c r="G132" s="16" t="n">
        <v>2</v>
      </c>
      <c r="H132" s="16" t="n">
        <v>3</v>
      </c>
      <c r="I132" s="16" t="n">
        <v>1</v>
      </c>
      <c r="J132" s="16" t="inlineStr">
        <is>
          <t>SI</t>
        </is>
      </c>
      <c r="K132" s="16" t="inlineStr">
        <is>
          <t>¿Qué hace usted?</t>
        </is>
      </c>
      <c r="L132" s="16" t="inlineStr">
        <is>
          <t>NO</t>
        </is>
      </c>
      <c r="M132" s="16" t="inlineStr">
        <is>
          <t>comun</t>
        </is>
      </c>
    </row>
    <row r="133" ht="15" customHeight="1" s="12">
      <c r="A133" s="16" t="inlineStr">
        <is>
          <t>K132</t>
        </is>
      </c>
      <c r="B133" s="16" t="inlineStr">
        <is>
          <t>Instrumentación de decisiones</t>
        </is>
      </c>
      <c r="C133" s="16" t="inlineStr">
        <is>
          <t>La dirección adopta un formato único para todas las áreas. En la suya, entidad formato omite un dato clínico que el equipo usa a diario para priorizar usuario. El plazo de implementación es el lunes y la dirección ya rechazó dos solicitudes de excepción de otras áreas.</t>
        </is>
      </c>
      <c r="D133" s="16" t="inlineStr">
        <is>
          <t>Implementar el formato y llevar el dato faltante en un registro paralelo transitorio</t>
        </is>
      </c>
      <c r="E133" s="16" t="inlineStr">
        <is>
          <t>Implementar el formato y presentar el ajuste con evidencia del uso clínico del dato</t>
        </is>
      </c>
      <c r="F133" s="16" t="inlineStr">
        <is>
          <t>Implementar el formato tal como está y esperar la evaluación que haga la dirección</t>
        </is>
      </c>
      <c r="G133" s="16" t="n">
        <v>2</v>
      </c>
      <c r="H133" s="16" t="n">
        <v>3</v>
      </c>
      <c r="I133" s="16" t="n">
        <v>1</v>
      </c>
      <c r="J133" s="16" t="inlineStr">
        <is>
          <t>SI</t>
        </is>
      </c>
      <c r="K133" s="16" t="inlineStr">
        <is>
          <t>¿Cuál es la conducta más efectiva?</t>
        </is>
      </c>
      <c r="L133" s="16" t="inlineStr">
        <is>
          <t>NO</t>
        </is>
      </c>
      <c r="M133" s="16" t="inlineStr">
        <is>
          <t>comun</t>
        </is>
      </c>
    </row>
    <row r="134" ht="15" customHeight="1" s="12">
      <c r="A134" s="16" t="inlineStr">
        <is>
          <t>K133</t>
        </is>
      </c>
      <c r="B134" s="16" t="inlineStr">
        <is>
          <t>Aporte técnico-profesional</t>
        </is>
      </c>
      <c r="C134" s="16" t="inlineStr">
        <is>
          <t>Le piden revisar un estudio previo elaborado por otra dependencia. Encuentra que la cantidad solicitada de un insumo duplica el consumo histórico. El plazo para publicar el proceso vence hoy y la dependencia insiste en que el cálculo está bien porque «este año habrá más demanda».</t>
        </is>
      </c>
      <c r="D134" s="16" t="inlineStr">
        <is>
          <t>Avalar el estudio y dejar anotado que la cantidad se basa en una proyección de la dependencia</t>
        </is>
      </c>
      <c r="E134" s="16" t="inlineStr">
        <is>
          <t>Devolver el estudio pidiendo el soporte de la proyección y fijar un plazo para recibirlo</t>
        </is>
      </c>
      <c r="F134" s="16" t="inlineStr">
        <is>
          <t>Reunirse con la dependencia para revisar juntos el cálculo antes de que venza el plazo</t>
        </is>
      </c>
      <c r="G134" s="16" t="n">
        <v>3</v>
      </c>
      <c r="H134" s="16" t="n">
        <v>1</v>
      </c>
      <c r="I134" s="16" t="n">
        <v>1</v>
      </c>
      <c r="J134" s="16" t="inlineStr">
        <is>
          <t>SI</t>
        </is>
      </c>
      <c r="K134" s="16" t="inlineStr">
        <is>
          <t>¿Cuál de estas conductas NO adoptaría?</t>
        </is>
      </c>
      <c r="L134" s="16" t="inlineStr">
        <is>
          <t>SI</t>
        </is>
      </c>
      <c r="M134" s="16" t="inlineStr">
        <is>
          <t>comun</t>
        </is>
      </c>
    </row>
    <row r="135" ht="15" customHeight="1" s="12">
      <c r="A135" s="16" t="inlineStr">
        <is>
          <t>K134</t>
        </is>
      </c>
      <c r="B135" s="16" t="inlineStr">
        <is>
          <t>Adaptación al cambio</t>
        </is>
      </c>
      <c r="C135" s="16" t="inlineStr">
        <is>
          <t>Le informan por correo, un viernes a las 17:30, que desde el lunes su área asume un proceso nuevo que hoy maneja otra dependencia. No hay manual, no hubo empalme y la persona que lo llevaba se retiró la semana pasada. El proceso atiende usuarios todos los días.</t>
        </is>
      </c>
      <c r="D135" s="16" t="inlineStr">
        <is>
          <t>Solicitar por escrito el empalme formal y el manual antes de asumir el proceso nuevo</t>
        </is>
      </c>
      <c r="E135" s="16" t="inlineStr">
        <is>
          <t>Informar a su jefe que sin manual ni empalme el área no puede asumir la tarea el lunes</t>
        </is>
      </c>
      <c r="F135" s="16" t="inlineStr">
        <is>
          <t>Identificar qué casos entran el lunes y con quién resolverlos mientras se organiza el resto</t>
        </is>
      </c>
      <c r="G135" s="16" t="n">
        <v>2</v>
      </c>
      <c r="H135" s="16" t="n">
        <v>1</v>
      </c>
      <c r="I135" s="16" t="n">
        <v>3</v>
      </c>
      <c r="J135" s="16" t="inlineStr">
        <is>
          <t>SI</t>
        </is>
      </c>
      <c r="K135" s="16" t="inlineStr">
        <is>
          <t>¿Cuál es la conducta más efectiva?</t>
        </is>
      </c>
      <c r="L135" s="16" t="inlineStr">
        <is>
          <t>NO</t>
        </is>
      </c>
      <c r="M135" s="16" t="inlineStr">
        <is>
          <t>comun</t>
        </is>
      </c>
    </row>
    <row r="136" ht="15" customHeight="1" s="12">
      <c r="A136" s="16" t="inlineStr">
        <is>
          <t>K135</t>
        </is>
      </c>
      <c r="B136" s="16" t="inlineStr">
        <is>
          <t>Responsabilidad</t>
        </is>
      </c>
      <c r="C136" s="16" t="inlineStr">
        <is>
          <t>Usted cometió un error en un trámite de un usuario hace dos semanas y eso le costó a él un viaje adicional de dos horas. Hoy vuelve y lo reconoce a usted. Nadie en la oficina sabe del error y el usuario no ha puesto queja, solo comenta lo que le pasó mientras espera.</t>
        </is>
      </c>
      <c r="D136" s="16" t="inlineStr">
        <is>
          <t>Resolverle el trámite con prioridad y ofrecerle disculpas generales por la demora sufrida</t>
        </is>
      </c>
      <c r="E136" s="16" t="inlineStr">
        <is>
          <t>Reconocer el error ante el usuario, ofrecer disculpas</t>
        </is>
      </c>
      <c r="F136" s="16" t="inlineStr">
        <is>
          <t>Explicarle que el trámite tiene pasos que a veces generan devoluciones como la suya</t>
        </is>
      </c>
      <c r="G136" s="16" t="n">
        <v>2</v>
      </c>
      <c r="H136" s="16" t="n">
        <v>3</v>
      </c>
      <c r="I136" s="16" t="n">
        <v>1</v>
      </c>
      <c r="J136" s="16" t="inlineStr">
        <is>
          <t>SI</t>
        </is>
      </c>
      <c r="K136" s="16" t="inlineStr">
        <is>
          <t>¿Qué hace usted?</t>
        </is>
      </c>
      <c r="L136" s="16" t="inlineStr">
        <is>
          <t>NO</t>
        </is>
      </c>
      <c r="M136" s="16" t="inlineStr">
        <is>
          <t>comun</t>
        </is>
      </c>
    </row>
    <row r="137" ht="15" customHeight="1" s="12">
      <c r="A137" s="16" t="inlineStr">
        <is>
          <t>K136</t>
        </is>
      </c>
      <c r="B137" s="16" t="inlineStr">
        <is>
          <t>Manejo de la información</t>
        </is>
      </c>
      <c r="C137" s="16" t="inlineStr">
        <is>
          <t>Un exfuncionario, que fue jefe suyo y con quien tiene buena relación, le pide por teléfono un dato del sistema para un trabajo académico que está terminando. Es información agregada, sin nombres de usuario, y él la manejaba cuando trabajaba allí.</t>
        </is>
      </c>
      <c r="D137" s="16" t="inlineStr">
        <is>
          <t>Enviarle el dato agregado, dado que no identifica usuario</t>
        </is>
      </c>
      <c r="E137" s="16" t="inlineStr">
        <is>
          <t>Indicarle que presente la solicitud a la entidad y tramitarla por el canal correspondiente</t>
        </is>
      </c>
      <c r="F137" s="16" t="inlineStr">
        <is>
          <t>Consultar con su jefe si entidad dato puede entregarse y responderle según lo que le indiquen</t>
        </is>
      </c>
      <c r="G137" s="16" t="n">
        <v>3</v>
      </c>
      <c r="H137" s="16" t="n">
        <v>1</v>
      </c>
      <c r="I137" s="16" t="n">
        <v>1</v>
      </c>
      <c r="J137" s="16" t="inlineStr">
        <is>
          <t>SI</t>
        </is>
      </c>
      <c r="K137" s="16" t="inlineStr">
        <is>
          <t>¿Cuál de estas conductas NO adoptaría?</t>
        </is>
      </c>
      <c r="L137" s="16" t="inlineStr">
        <is>
          <t>SI</t>
        </is>
      </c>
      <c r="M137" s="16" t="inlineStr">
        <is>
          <t>comun</t>
        </is>
      </c>
    </row>
    <row r="138" ht="15" customHeight="1" s="12">
      <c r="A138" s="16" t="inlineStr">
        <is>
          <t>K137</t>
        </is>
      </c>
      <c r="B138" s="16" t="inlineStr">
        <is>
          <t>Comunicación efectiva</t>
        </is>
      </c>
      <c r="C138" s="16" t="inlineStr">
        <is>
          <t>Debe coordinar con tres áreas una jornada de atención el sábado. Envió dos correos y solo respondió una. Faltan cuatro días, la jornada ya se anunció a la comunidad y usted no tiene autoridad jerárquica sobre las otras dos áreas.</t>
        </is>
      </c>
      <c r="D138" s="16" t="inlineStr">
        <is>
          <t>Reenviar el correo con copia a los jefes y fijar un plazo de respuesta de dos días</t>
        </is>
      </c>
      <c r="E138" s="16" t="inlineStr">
        <is>
          <t>Informar a su jefe que las áreas no responden para que él eleve la solicitud</t>
        </is>
      </c>
      <c r="F138" s="16" t="inlineStr">
        <is>
          <t>Llamar a los responsables de las dos áreas y cerrar en esa llamada los compromisos</t>
        </is>
      </c>
      <c r="G138" s="16" t="n">
        <v>2</v>
      </c>
      <c r="H138" s="16" t="n">
        <v>1</v>
      </c>
      <c r="I138" s="16" t="n">
        <v>3</v>
      </c>
      <c r="J138" s="16" t="inlineStr">
        <is>
          <t>SI</t>
        </is>
      </c>
      <c r="K138" s="16" t="inlineStr">
        <is>
          <t>¿Cuál sería su primera acción?</t>
        </is>
      </c>
      <c r="L138" s="16" t="inlineStr">
        <is>
          <t>NO</t>
        </is>
      </c>
      <c r="M138" s="16" t="inlineStr">
        <is>
          <t>comun</t>
        </is>
      </c>
    </row>
    <row r="139" ht="15" customHeight="1" s="12">
      <c r="A139" s="16" t="inlineStr">
        <is>
          <t>K138</t>
        </is>
      </c>
      <c r="B139" s="16" t="inlineStr">
        <is>
          <t>Compromiso con la organización</t>
        </is>
      </c>
      <c r="C139" s="16" t="inlineStr">
        <is>
          <t>En un congreso, un colega de otra entidad afirma que la entidad demora los registros por negligencia. Hay periodistas en la sala. Usted conoce las cifras reales y sabe que la demora tiene otra causa.</t>
        </is>
      </c>
      <c r="D139" s="16" t="inlineStr">
        <is>
          <t>Escucha y luego informa el comentario a comunicaciones</t>
        </is>
      </c>
      <c r="E139" s="16" t="inlineStr">
        <is>
          <t>Deja pasar el comentario para no protagonizar un debate</t>
        </is>
      </c>
      <c r="F139" s="16" t="inlineStr">
        <is>
          <t>Aclara el punto con las cifras oficiales que conoce</t>
        </is>
      </c>
      <c r="G139" s="16" t="n">
        <v>2</v>
      </c>
      <c r="H139" s="16" t="n">
        <v>1</v>
      </c>
      <c r="I139" s="16" t="n">
        <v>3</v>
      </c>
      <c r="J139" s="16" t="inlineStr">
        <is>
          <t>SI</t>
        </is>
      </c>
      <c r="K139" s="16" t="inlineStr">
        <is>
          <t>¿Cuál es la conducta más efectiva?</t>
        </is>
      </c>
      <c r="L139" s="16" t="inlineStr">
        <is>
          <t>NO</t>
        </is>
      </c>
      <c r="M139" s="16" t="inlineStr">
        <is>
          <t>comun</t>
        </is>
      </c>
    </row>
    <row r="140" ht="15" customHeight="1" s="12">
      <c r="J140" s="16" t="n"/>
      <c r="M140" s="16" t="n"/>
    </row>
    <row r="141" ht="15" customHeight="1" s="12">
      <c r="J141" s="16" t="n"/>
      <c r="M141" s="16" t="n"/>
    </row>
    <row r="142" ht="15" customHeight="1" s="12">
      <c r="J142" s="16" t="n"/>
      <c r="M142" s="16" t="n"/>
    </row>
    <row r="143" ht="15" customHeight="1" s="12">
      <c r="J143" s="16" t="n"/>
      <c r="M143" s="16" t="n"/>
    </row>
    <row r="144" ht="15" customHeight="1" s="12">
      <c r="J144" s="16" t="n"/>
      <c r="M144" s="16" t="n"/>
    </row>
    <row r="145" ht="15" customHeight="1" s="12">
      <c r="J145" s="16" t="n"/>
      <c r="M145" s="16" t="n"/>
    </row>
    <row r="146" ht="15" customHeight="1" s="12">
      <c r="J146" s="16" t="n"/>
      <c r="M146" s="16" t="n"/>
    </row>
    <row r="147" ht="15" customHeight="1" s="12">
      <c r="J147" s="16" t="n"/>
      <c r="M147" s="16" t="n"/>
    </row>
    <row r="148" ht="15" customHeight="1" s="12">
      <c r="J148" s="16" t="n"/>
      <c r="M148" s="16" t="n"/>
    </row>
    <row r="149" ht="15" customHeight="1" s="12">
      <c r="J149" s="16" t="n"/>
      <c r="M149" s="16" t="n"/>
    </row>
    <row r="150" ht="15" customHeight="1" s="12">
      <c r="J150" s="16" t="n"/>
      <c r="M150" s="16" t="n"/>
    </row>
    <row r="151" ht="15" customHeight="1" s="12">
      <c r="J151" s="16" t="n"/>
      <c r="M151" s="16" t="n"/>
    </row>
    <row r="152" ht="15" customHeight="1" s="12">
      <c r="J152" s="16" t="n"/>
      <c r="M152" s="16" t="n"/>
    </row>
    <row r="153" ht="15" customHeight="1" s="12">
      <c r="J153" s="16" t="n"/>
      <c r="M153" s="16" t="n"/>
    </row>
    <row r="154" ht="15" customHeight="1" s="12">
      <c r="J154" s="16" t="n"/>
      <c r="M154" s="16" t="n"/>
    </row>
    <row r="155" ht="15" customHeight="1" s="12">
      <c r="J155" s="16" t="n"/>
      <c r="M155" s="16" t="n"/>
    </row>
    <row r="156" ht="15" customHeight="1" s="12">
      <c r="J156" s="16" t="n"/>
      <c r="M156" s="16" t="n"/>
    </row>
    <row r="157" ht="15" customHeight="1" s="12">
      <c r="J157" s="16" t="n"/>
      <c r="M157" s="16" t="n"/>
    </row>
    <row r="158" ht="15" customHeight="1" s="12">
      <c r="J158" s="16" t="n"/>
      <c r="M158" s="16" t="n"/>
    </row>
    <row r="159" ht="15" customHeight="1" s="12">
      <c r="J159" s="16" t="n"/>
      <c r="M159" s="16" t="n"/>
    </row>
    <row r="160" ht="15" customHeight="1" s="12">
      <c r="J160" s="16" t="n"/>
      <c r="M160" s="16" t="n"/>
    </row>
    <row r="161" ht="15" customHeight="1" s="12">
      <c r="J161" s="16" t="n"/>
      <c r="M161" s="16" t="n"/>
    </row>
    <row r="162" ht="15" customHeight="1" s="12">
      <c r="J162" s="16" t="n"/>
      <c r="M162" s="16" t="n"/>
    </row>
    <row r="163" ht="15" customHeight="1" s="12">
      <c r="J163" s="16" t="n"/>
      <c r="M163" s="16" t="n"/>
    </row>
    <row r="164" ht="15" customHeight="1" s="12">
      <c r="J164" s="16" t="n"/>
      <c r="M164" s="16" t="n"/>
    </row>
    <row r="165" ht="15" customHeight="1" s="12">
      <c r="J165" s="16" t="n"/>
      <c r="M165" s="16" t="n"/>
    </row>
    <row r="166" ht="15" customHeight="1" s="12">
      <c r="J166" s="16" t="n"/>
      <c r="M166" s="16" t="n"/>
    </row>
    <row r="167" ht="15" customHeight="1" s="12">
      <c r="J167" s="16" t="n"/>
      <c r="M167" s="16" t="n"/>
    </row>
    <row r="168" ht="15" customHeight="1" s="12">
      <c r="J168" s="16" t="n"/>
      <c r="M168" s="16" t="n"/>
    </row>
    <row r="169" ht="15" customHeight="1" s="12">
      <c r="J169" s="16" t="n"/>
      <c r="M169" s="16" t="n"/>
    </row>
    <row r="170" ht="15" customHeight="1" s="12">
      <c r="J170" s="16" t="n"/>
      <c r="M170" s="16" t="n"/>
    </row>
    <row r="171" ht="15" customHeight="1" s="12">
      <c r="J171" s="16" t="n"/>
      <c r="M171" s="16" t="n"/>
    </row>
    <row r="172" ht="15" customHeight="1" s="12">
      <c r="J172" s="16" t="n"/>
      <c r="M172" s="16" t="n"/>
    </row>
    <row r="173" ht="15" customHeight="1" s="12">
      <c r="J173" s="16" t="n"/>
      <c r="M173" s="16" t="n"/>
    </row>
    <row r="174" ht="15" customHeight="1" s="12">
      <c r="J174" s="16" t="n"/>
      <c r="M174" s="16" t="n"/>
    </row>
    <row r="175" ht="15" customHeight="1" s="12">
      <c r="J175" s="16" t="n"/>
      <c r="M175" s="16" t="n"/>
    </row>
    <row r="176" ht="15" customHeight="1" s="12">
      <c r="J176" s="16" t="n"/>
      <c r="M176" s="16" t="n"/>
    </row>
    <row r="177" ht="15" customHeight="1" s="12">
      <c r="J177" s="16" t="n"/>
      <c r="M177" s="16" t="n"/>
    </row>
    <row r="178" ht="15" customHeight="1" s="12">
      <c r="J178" s="16" t="n"/>
      <c r="M178" s="16" t="n"/>
    </row>
    <row r="179" ht="15" customHeight="1" s="12">
      <c r="J179" s="16" t="n"/>
      <c r="M179" s="16" t="n"/>
    </row>
    <row r="180" ht="15" customHeight="1" s="12">
      <c r="J180" s="16" t="n"/>
      <c r="M180" s="16" t="n"/>
    </row>
    <row r="181" ht="15" customHeight="1" s="12">
      <c r="J181" s="16" t="n"/>
      <c r="M181" s="16" t="n"/>
    </row>
    <row r="182" ht="15" customHeight="1" s="12">
      <c r="J182" s="16" t="n"/>
      <c r="M182" s="16" t="n"/>
    </row>
    <row r="183" ht="15" customHeight="1" s="12">
      <c r="J183" s="16" t="n"/>
      <c r="M183" s="16" t="n"/>
    </row>
    <row r="184" ht="15" customHeight="1" s="12">
      <c r="J184" s="16" t="n"/>
      <c r="M184" s="16" t="n"/>
    </row>
    <row r="185" ht="15" customHeight="1" s="12">
      <c r="J185" s="16" t="n"/>
      <c r="M185" s="16" t="n"/>
    </row>
    <row r="186" ht="15" customHeight="1" s="12">
      <c r="J186" s="16" t="n"/>
      <c r="M186" s="16" t="n"/>
    </row>
    <row r="187" ht="15" customHeight="1" s="12">
      <c r="J187" s="16" t="n"/>
      <c r="M187" s="16" t="n"/>
    </row>
    <row r="188" ht="15" customHeight="1" s="12">
      <c r="J188" s="16" t="n"/>
      <c r="M188" s="16" t="n"/>
    </row>
    <row r="189" ht="15" customHeight="1" s="12">
      <c r="J189" s="16" t="n"/>
      <c r="M189" s="16" t="n"/>
    </row>
    <row r="190" ht="15" customHeight="1" s="12">
      <c r="J190" s="16" t="n"/>
      <c r="M190" s="16" t="n"/>
    </row>
    <row r="191" ht="15" customHeight="1" s="12">
      <c r="J191" s="16" t="n"/>
      <c r="M191" s="16" t="n"/>
    </row>
    <row r="192" ht="15" customHeight="1" s="12">
      <c r="J192" s="16" t="n"/>
      <c r="M192" s="16" t="n"/>
    </row>
    <row r="193" ht="15" customHeight="1" s="12">
      <c r="J193" s="16" t="n"/>
      <c r="M193" s="16" t="n"/>
    </row>
    <row r="194" ht="15" customHeight="1" s="12">
      <c r="J194" s="16" t="n"/>
      <c r="M194" s="16" t="n"/>
    </row>
    <row r="195" ht="15" customHeight="1" s="12">
      <c r="J195" s="16" t="n"/>
      <c r="M195" s="16" t="n"/>
    </row>
    <row r="196" ht="15" customHeight="1" s="12">
      <c r="J196" s="16" t="n"/>
      <c r="M196" s="16" t="n"/>
    </row>
    <row r="197" ht="15" customHeight="1" s="12">
      <c r="J197" s="16" t="n"/>
      <c r="M197" s="16" t="n"/>
    </row>
    <row r="198" ht="15" customHeight="1" s="12">
      <c r="J198" s="16" t="n"/>
      <c r="M198" s="16" t="n"/>
    </row>
    <row r="199" ht="15" customHeight="1" s="12">
      <c r="J199" s="16" t="n"/>
      <c r="M199" s="16" t="n"/>
    </row>
    <row r="200" ht="15" customHeight="1" s="12">
      <c r="J200" s="16" t="n"/>
      <c r="M200" s="16" t="n"/>
    </row>
    <row r="201" ht="15" customHeight="1" s="12">
      <c r="J201" s="16" t="n"/>
      <c r="M201" s="16" t="n"/>
    </row>
    <row r="202" ht="15" customHeight="1" s="12">
      <c r="J202" s="16" t="n"/>
      <c r="M202" s="16" t="n"/>
    </row>
    <row r="203" ht="15" customHeight="1" s="12">
      <c r="J203" s="16" t="n"/>
      <c r="M203" s="16" t="n"/>
    </row>
    <row r="204" ht="15" customHeight="1" s="12">
      <c r="J204" s="16" t="n"/>
      <c r="M204" s="16" t="n"/>
    </row>
    <row r="205" ht="15" customHeight="1" s="12">
      <c r="J205" s="16" t="n"/>
      <c r="M205" s="16" t="n"/>
    </row>
    <row r="206" ht="15" customHeight="1" s="12">
      <c r="J206" s="16" t="n"/>
      <c r="M206" s="16" t="n"/>
    </row>
    <row r="207" ht="15" customHeight="1" s="12">
      <c r="J207" s="16" t="n"/>
      <c r="M207" s="16" t="n"/>
    </row>
    <row r="208" ht="15" customHeight="1" s="12">
      <c r="J208" s="16" t="n"/>
      <c r="M208" s="16" t="n"/>
    </row>
    <row r="209" ht="15" customHeight="1" s="12">
      <c r="J209" s="16" t="n"/>
      <c r="M209" s="16" t="n"/>
    </row>
    <row r="210" ht="15" customHeight="1" s="12">
      <c r="J210" s="16" t="n"/>
      <c r="M210" s="16" t="n"/>
    </row>
    <row r="211" ht="15" customHeight="1" s="12">
      <c r="J211" s="16" t="n"/>
      <c r="M211" s="16" t="n"/>
    </row>
    <row r="212" ht="15" customHeight="1" s="12">
      <c r="J212" s="16" t="n"/>
      <c r="M212" s="16" t="n"/>
    </row>
    <row r="213" ht="15" customHeight="1" s="12">
      <c r="J213" s="16" t="n"/>
      <c r="M213" s="16" t="n"/>
    </row>
    <row r="214" ht="15" customHeight="1" s="12">
      <c r="J214" s="16" t="n"/>
      <c r="M214" s="16" t="n"/>
    </row>
    <row r="215" ht="15" customHeight="1" s="12">
      <c r="J215" s="16" t="n"/>
      <c r="M215" s="16" t="n"/>
    </row>
    <row r="216" ht="15" customHeight="1" s="12">
      <c r="J216" s="16" t="n"/>
      <c r="M216" s="16" t="n"/>
    </row>
    <row r="217" ht="15" customHeight="1" s="12">
      <c r="J217" s="16" t="n"/>
      <c r="M217" s="16" t="n"/>
    </row>
    <row r="218" ht="15" customHeight="1" s="12">
      <c r="J218" s="16" t="n"/>
      <c r="M218" s="16" t="n"/>
    </row>
    <row r="219" ht="15" customHeight="1" s="12">
      <c r="J219" s="16" t="n"/>
      <c r="M219" s="16" t="n"/>
    </row>
    <row r="220" ht="15" customHeight="1" s="12">
      <c r="J220" s="16" t="n"/>
      <c r="M220" s="16" t="n"/>
    </row>
    <row r="221" ht="15" customHeight="1" s="12">
      <c r="J221" s="16" t="n"/>
      <c r="M221" s="16" t="n"/>
    </row>
    <row r="222" ht="15" customHeight="1" s="12">
      <c r="J222" s="16" t="n"/>
      <c r="M222" s="16" t="n"/>
    </row>
    <row r="223" ht="15" customHeight="1" s="12">
      <c r="J223" s="16" t="n"/>
      <c r="M223" s="16" t="n"/>
    </row>
    <row r="224" ht="15" customHeight="1" s="12">
      <c r="J224" s="16" t="n"/>
      <c r="M224" s="16" t="n"/>
    </row>
    <row r="225" ht="15" customHeight="1" s="12">
      <c r="J225" s="16" t="n"/>
      <c r="M225" s="16" t="n"/>
    </row>
    <row r="226" ht="15" customHeight="1" s="12">
      <c r="J226" s="16" t="n"/>
      <c r="M226" s="16" t="n"/>
    </row>
    <row r="227" ht="15" customHeight="1" s="12">
      <c r="J227" s="16" t="n"/>
      <c r="M227" s="16" t="n"/>
    </row>
    <row r="228" ht="15" customHeight="1" s="12">
      <c r="J228" s="16" t="n"/>
      <c r="M228" s="16" t="n"/>
    </row>
    <row r="229" ht="15" customHeight="1" s="12">
      <c r="J229" s="16" t="n"/>
      <c r="M229" s="16" t="n"/>
    </row>
    <row r="230" ht="15" customHeight="1" s="12">
      <c r="J230" s="16" t="n"/>
      <c r="M230" s="16" t="n"/>
    </row>
    <row r="231" ht="15" customHeight="1" s="12">
      <c r="J231" s="16" t="n"/>
      <c r="M231" s="16" t="n"/>
    </row>
    <row r="232" ht="15" customHeight="1" s="12">
      <c r="J232" s="16" t="n"/>
      <c r="M232" s="16" t="n"/>
    </row>
    <row r="233" ht="15" customHeight="1" s="12">
      <c r="J233" s="16" t="n"/>
      <c r="M233" s="16" t="n"/>
    </row>
    <row r="234" ht="15" customHeight="1" s="12">
      <c r="J234" s="16" t="n"/>
      <c r="M234" s="16" t="n"/>
    </row>
    <row r="235" ht="15" customHeight="1" s="12">
      <c r="J235" s="16" t="n"/>
      <c r="M235" s="16" t="n"/>
    </row>
    <row r="236" ht="15" customHeight="1" s="12">
      <c r="J236" s="16" t="n"/>
      <c r="M236" s="16" t="n"/>
    </row>
    <row r="237" ht="15" customHeight="1" s="12">
      <c r="J237" s="16" t="n"/>
      <c r="M237" s="16" t="n"/>
    </row>
    <row r="238" ht="15" customHeight="1" s="12">
      <c r="J238" s="16" t="n"/>
      <c r="M238" s="16" t="n"/>
    </row>
    <row r="239" ht="15" customHeight="1" s="12">
      <c r="J239" s="16" t="n"/>
      <c r="M239" s="16" t="n"/>
    </row>
    <row r="240" ht="15" customHeight="1" s="12">
      <c r="J240" s="16" t="n"/>
      <c r="M240" s="16" t="n"/>
    </row>
    <row r="241" ht="15" customHeight="1" s="12">
      <c r="J241" s="16" t="n"/>
      <c r="M241" s="16" t="n"/>
    </row>
    <row r="242" ht="15" customHeight="1" s="12">
      <c r="J242" s="16" t="n"/>
      <c r="M242" s="16" t="n"/>
    </row>
    <row r="243" ht="15" customHeight="1" s="12">
      <c r="J243" s="16" t="n"/>
      <c r="M243" s="16" t="n"/>
    </row>
    <row r="244" ht="15" customHeight="1" s="12">
      <c r="J244" s="16" t="n"/>
      <c r="M244" s="16" t="n"/>
    </row>
    <row r="245" ht="15" customHeight="1" s="12">
      <c r="J245" s="16" t="n"/>
      <c r="M245" s="16" t="n"/>
    </row>
    <row r="246" ht="15" customHeight="1" s="12">
      <c r="J246" s="16" t="n"/>
      <c r="M246" s="16" t="n"/>
    </row>
    <row r="247" ht="15" customHeight="1" s="12">
      <c r="J247" s="16" t="n"/>
      <c r="M247" s="16" t="n"/>
    </row>
    <row r="248" ht="15" customHeight="1" s="12">
      <c r="J248" s="16" t="n"/>
      <c r="M248" s="16" t="n"/>
    </row>
    <row r="249" ht="15" customHeight="1" s="12">
      <c r="J249" s="16" t="n"/>
      <c r="M249" s="16" t="n"/>
    </row>
    <row r="250" ht="15" customHeight="1" s="12">
      <c r="J250" s="16" t="n"/>
      <c r="M250" s="16" t="n"/>
    </row>
    <row r="251" ht="15" customHeight="1" s="12">
      <c r="J251" s="16" t="n"/>
      <c r="M251" s="16" t="n"/>
    </row>
    <row r="252" ht="15" customHeight="1" s="12">
      <c r="J252" s="16" t="n"/>
      <c r="M252" s="16" t="n"/>
    </row>
    <row r="253" ht="15" customHeight="1" s="12">
      <c r="J253" s="16" t="n"/>
      <c r="M253" s="16" t="n"/>
    </row>
    <row r="254" ht="15" customHeight="1" s="12">
      <c r="J254" s="16" t="n"/>
      <c r="M254" s="16" t="n"/>
    </row>
    <row r="255" ht="15" customHeight="1" s="12">
      <c r="J255" s="16" t="n"/>
      <c r="M255" s="16" t="n"/>
    </row>
    <row r="256" ht="15" customHeight="1" s="12">
      <c r="J256" s="16" t="n"/>
      <c r="M256" s="16" t="n"/>
    </row>
    <row r="257" ht="15" customHeight="1" s="12">
      <c r="J257" s="16" t="n"/>
      <c r="M257" s="16" t="n"/>
    </row>
    <row r="258" ht="15" customHeight="1" s="12">
      <c r="J258" s="16" t="n"/>
      <c r="M258" s="16" t="n"/>
    </row>
    <row r="259" ht="15" customHeight="1" s="12">
      <c r="J259" s="16" t="n"/>
      <c r="M259" s="16" t="n"/>
    </row>
    <row r="260" ht="15" customHeight="1" s="12">
      <c r="J260" s="16" t="n"/>
      <c r="M260" s="16" t="n"/>
    </row>
    <row r="261" ht="15" customHeight="1" s="12">
      <c r="J261" s="16" t="n"/>
      <c r="M261" s="16" t="n"/>
    </row>
    <row r="262" ht="15" customHeight="1" s="12">
      <c r="J262" s="16" t="n"/>
      <c r="M262" s="16" t="n"/>
    </row>
    <row r="263" ht="15" customHeight="1" s="12">
      <c r="J263" s="16" t="n"/>
      <c r="M263" s="16" t="n"/>
    </row>
    <row r="264" ht="15" customHeight="1" s="12">
      <c r="J264" s="16" t="n"/>
      <c r="M264" s="16" t="n"/>
    </row>
    <row r="265" ht="15" customHeight="1" s="12">
      <c r="J265" s="16" t="n"/>
      <c r="M265" s="16" t="n"/>
    </row>
    <row r="266" ht="15" customHeight="1" s="12">
      <c r="J266" s="16" t="n"/>
      <c r="M266" s="16" t="n"/>
    </row>
    <row r="267" ht="15" customHeight="1" s="12">
      <c r="J267" s="16" t="n"/>
      <c r="M267" s="16" t="n"/>
    </row>
    <row r="268" ht="15" customHeight="1" s="12">
      <c r="J268" s="16" t="n"/>
      <c r="M268" s="16" t="n"/>
    </row>
    <row r="269" ht="15" customHeight="1" s="12">
      <c r="J269" s="16" t="n"/>
      <c r="M269" s="16" t="n"/>
    </row>
    <row r="270" ht="15" customHeight="1" s="12">
      <c r="J270" s="16" t="n"/>
      <c r="M270" s="16" t="n"/>
    </row>
    <row r="271" ht="15" customHeight="1" s="12">
      <c r="J271" s="16" t="n"/>
      <c r="M271" s="16" t="n"/>
    </row>
    <row r="272" ht="15" customHeight="1" s="12">
      <c r="J272" s="16" t="n"/>
      <c r="M272" s="16" t="n"/>
    </row>
    <row r="273" ht="15" customHeight="1" s="12">
      <c r="J273" s="16" t="n"/>
      <c r="M273" s="16" t="n"/>
    </row>
    <row r="274" ht="15" customHeight="1" s="12">
      <c r="J274" s="16" t="n"/>
      <c r="M274" s="16" t="n"/>
    </row>
    <row r="275" ht="15" customHeight="1" s="12">
      <c r="J275" s="16" t="n"/>
      <c r="M275" s="16" t="n"/>
    </row>
    <row r="276" ht="15" customHeight="1" s="12">
      <c r="J276" s="16" t="n"/>
      <c r="M276" s="16" t="n"/>
    </row>
    <row r="277" ht="15" customHeight="1" s="12">
      <c r="J277" s="16" t="n"/>
      <c r="M277" s="16" t="n"/>
    </row>
    <row r="278" ht="15" customHeight="1" s="12">
      <c r="J278" s="16" t="n"/>
      <c r="M278" s="16" t="n"/>
    </row>
    <row r="279" ht="15" customHeight="1" s="12">
      <c r="J279" s="16" t="n"/>
      <c r="M279" s="16" t="n"/>
    </row>
    <row r="280" ht="15" customHeight="1" s="12">
      <c r="J280" s="16" t="n"/>
      <c r="M280" s="16" t="n"/>
    </row>
    <row r="281" ht="15" customHeight="1" s="12">
      <c r="J281" s="16" t="n"/>
      <c r="M281" s="16" t="n"/>
    </row>
    <row r="282" ht="15" customHeight="1" s="12">
      <c r="J282" s="16" t="n"/>
      <c r="M282" s="16" t="n"/>
    </row>
    <row r="283" ht="15" customHeight="1" s="12">
      <c r="J283" s="16" t="n"/>
      <c r="M283" s="16" t="n"/>
    </row>
    <row r="284" ht="15" customHeight="1" s="12">
      <c r="J284" s="16" t="n"/>
      <c r="M284" s="16" t="n"/>
    </row>
    <row r="285" ht="15" customHeight="1" s="12">
      <c r="J285" s="16" t="n"/>
      <c r="M285" s="16" t="n"/>
    </row>
    <row r="286" ht="15" customHeight="1" s="12">
      <c r="J286" s="16" t="n"/>
      <c r="M286" s="16" t="n"/>
    </row>
    <row r="287" ht="15" customHeight="1" s="12">
      <c r="J287" s="16" t="n"/>
      <c r="M287" s="16" t="n"/>
    </row>
    <row r="288" ht="15" customHeight="1" s="12">
      <c r="J288" s="16" t="n"/>
      <c r="M288" s="16" t="n"/>
    </row>
    <row r="289" ht="15" customHeight="1" s="12">
      <c r="J289" s="16" t="n"/>
      <c r="M289" s="16" t="n"/>
    </row>
    <row r="290" ht="15" customHeight="1" s="12">
      <c r="J290" s="16" t="n"/>
      <c r="M290" s="16" t="n"/>
    </row>
    <row r="291" ht="15" customHeight="1" s="12">
      <c r="J291" s="16" t="n"/>
      <c r="M291" s="16" t="n"/>
    </row>
    <row r="292" ht="15" customHeight="1" s="12">
      <c r="J292" s="16" t="n"/>
      <c r="M292" s="16" t="n"/>
    </row>
    <row r="293" ht="15" customHeight="1" s="12">
      <c r="J293" s="16" t="n"/>
      <c r="M293" s="16" t="n"/>
    </row>
    <row r="294" ht="15" customHeight="1" s="12">
      <c r="J294" s="16" t="n"/>
      <c r="M294" s="16" t="n"/>
    </row>
    <row r="295" ht="15" customHeight="1" s="12">
      <c r="J295" s="16" t="n"/>
      <c r="M295" s="16" t="n"/>
    </row>
    <row r="296" ht="15" customHeight="1" s="12">
      <c r="J296" s="16" t="n"/>
      <c r="M296" s="16" t="n"/>
    </row>
    <row r="297" ht="15" customHeight="1" s="12">
      <c r="J297" s="16" t="n"/>
      <c r="M297" s="16" t="n"/>
    </row>
    <row r="298" ht="15" customHeight="1" s="12">
      <c r="J298" s="16" t="n"/>
      <c r="M298" s="16" t="n"/>
    </row>
    <row r="299" ht="15" customHeight="1" s="12">
      <c r="J299" s="16" t="n"/>
      <c r="M299" s="16" t="n"/>
    </row>
    <row r="300" ht="15" customHeight="1" s="12">
      <c r="J300" s="16" t="n"/>
      <c r="M300" s="16" t="n"/>
    </row>
    <row r="301" ht="15" customHeight="1" s="12">
      <c r="J301" s="16" t="n"/>
      <c r="M301" s="16" t="n"/>
    </row>
    <row r="302" ht="15" customHeight="1" s="12">
      <c r="J302" s="16" t="n"/>
      <c r="M302" s="16" t="n"/>
    </row>
    <row r="303" ht="15" customHeight="1" s="12">
      <c r="J303" s="16" t="n"/>
      <c r="M303" s="16" t="n"/>
    </row>
    <row r="304" ht="15" customHeight="1" s="12">
      <c r="J304" s="16" t="n"/>
      <c r="M304" s="16" t="n"/>
    </row>
    <row r="305" ht="15" customHeight="1" s="12">
      <c r="J305" s="16" t="n"/>
      <c r="M305" s="16" t="n"/>
    </row>
    <row r="306" ht="15" customHeight="1" s="12">
      <c r="J306" s="16" t="n"/>
      <c r="M306" s="16" t="n"/>
    </row>
    <row r="307" ht="15" customHeight="1" s="12">
      <c r="J307" s="16" t="n"/>
      <c r="M307" s="16" t="n"/>
    </row>
    <row r="308" ht="15" customHeight="1" s="12">
      <c r="J308" s="16" t="n"/>
      <c r="M308" s="16" t="n"/>
    </row>
    <row r="309" ht="15" customHeight="1" s="12">
      <c r="J309" s="16" t="n"/>
      <c r="M309" s="16" t="n"/>
    </row>
    <row r="310" ht="15" customHeight="1" s="12">
      <c r="J310" s="16" t="n"/>
      <c r="M310" s="16" t="n"/>
    </row>
    <row r="311" ht="15" customHeight="1" s="12">
      <c r="J311" s="16" t="n"/>
      <c r="M311" s="16" t="n"/>
    </row>
    <row r="312" ht="15" customHeight="1" s="12">
      <c r="J312" s="16" t="n"/>
      <c r="M312" s="16" t="n"/>
    </row>
    <row r="313" ht="15" customHeight="1" s="12">
      <c r="J313" s="16" t="n"/>
      <c r="M313" s="16" t="n"/>
    </row>
    <row r="314" ht="15" customHeight="1" s="12">
      <c r="J314" s="16" t="n"/>
      <c r="M314" s="16" t="n"/>
    </row>
    <row r="315" ht="15" customHeight="1" s="12">
      <c r="J315" s="16" t="n"/>
      <c r="M315" s="16" t="n"/>
    </row>
    <row r="316" ht="15" customHeight="1" s="12">
      <c r="J316" s="16" t="n"/>
      <c r="M316" s="16" t="n"/>
    </row>
    <row r="317" ht="15" customHeight="1" s="12">
      <c r="J317" s="16" t="n"/>
      <c r="M317" s="16" t="n"/>
    </row>
    <row r="318" ht="15" customHeight="1" s="12">
      <c r="J318" s="16" t="n"/>
      <c r="M318" s="16" t="n"/>
    </row>
    <row r="319" ht="15" customHeight="1" s="12">
      <c r="J319" s="16" t="n"/>
      <c r="M319" s="16" t="n"/>
    </row>
    <row r="320" ht="15" customHeight="1" s="12">
      <c r="J320" s="16" t="n"/>
      <c r="M320" s="16" t="n"/>
    </row>
    <row r="321" ht="15" customHeight="1" s="12">
      <c r="J321" s="16" t="n"/>
      <c r="M321" s="16" t="n"/>
    </row>
    <row r="322" ht="15" customHeight="1" s="12">
      <c r="J322" s="16" t="n"/>
      <c r="M322" s="16" t="n"/>
    </row>
    <row r="323" ht="15" customHeight="1" s="12">
      <c r="J323" s="16" t="n"/>
      <c r="M323" s="16" t="n"/>
    </row>
    <row r="324" ht="15" customHeight="1" s="12">
      <c r="J324" s="16" t="n"/>
      <c r="M324" s="16" t="n"/>
    </row>
    <row r="325" ht="15" customHeight="1" s="12">
      <c r="J325" s="16" t="n"/>
      <c r="M325" s="16" t="n"/>
    </row>
    <row r="326" ht="15" customHeight="1" s="12">
      <c r="J326" s="16" t="n"/>
      <c r="M326" s="16" t="n"/>
    </row>
    <row r="327" ht="15" customHeight="1" s="12">
      <c r="J327" s="16" t="n"/>
      <c r="M327" s="16" t="n"/>
    </row>
    <row r="328" ht="15" customHeight="1" s="12">
      <c r="J328" s="16" t="n"/>
      <c r="M328" s="16" t="n"/>
    </row>
    <row r="329" ht="15" customHeight="1" s="12">
      <c r="J329" s="16" t="n"/>
      <c r="M329" s="16" t="n"/>
    </row>
    <row r="330" ht="15" customHeight="1" s="12">
      <c r="J330" s="16" t="n"/>
      <c r="M330" s="16" t="n"/>
    </row>
    <row r="331" ht="15" customHeight="1" s="12">
      <c r="J331" s="16" t="n"/>
      <c r="M331" s="16" t="n"/>
    </row>
    <row r="332" ht="15" customHeight="1" s="12">
      <c r="J332" s="16" t="n"/>
      <c r="M332" s="16" t="n"/>
    </row>
    <row r="333" ht="15" customHeight="1" s="12">
      <c r="J333" s="16" t="n"/>
      <c r="M333" s="16" t="n"/>
    </row>
    <row r="334" ht="15" customHeight="1" s="12">
      <c r="J334" s="16" t="n"/>
      <c r="M334" s="16" t="n"/>
    </row>
    <row r="335" ht="15" customHeight="1" s="12">
      <c r="J335" s="16" t="n"/>
      <c r="M335" s="16" t="n"/>
    </row>
    <row r="336" ht="15" customHeight="1" s="12">
      <c r="J336" s="16" t="n"/>
      <c r="M336" s="16" t="n"/>
    </row>
    <row r="337" ht="15" customHeight="1" s="12">
      <c r="J337" s="16" t="n"/>
      <c r="M337" s="16" t="n"/>
    </row>
    <row r="338" ht="15" customHeight="1" s="12">
      <c r="J338" s="16" t="n"/>
      <c r="M338" s="16" t="n"/>
    </row>
    <row r="339" ht="15" customHeight="1" s="12">
      <c r="J339" s="16" t="n"/>
      <c r="M339" s="16" t="n"/>
    </row>
    <row r="340" ht="15" customHeight="1" s="12">
      <c r="J340" s="16" t="n"/>
      <c r="M340" s="16" t="n"/>
    </row>
    <row r="341" ht="15" customHeight="1" s="12">
      <c r="J341" s="16" t="n"/>
      <c r="M341" s="16" t="n"/>
    </row>
    <row r="342" ht="15" customHeight="1" s="12">
      <c r="J342" s="16" t="n"/>
      <c r="M342" s="16" t="n"/>
    </row>
    <row r="343" ht="15" customHeight="1" s="12">
      <c r="J343" s="16" t="n"/>
      <c r="M343" s="16" t="n"/>
    </row>
    <row r="344" ht="15" customHeight="1" s="12">
      <c r="J344" s="16" t="n"/>
      <c r="M344" s="16" t="n"/>
    </row>
    <row r="345" ht="15" customHeight="1" s="12">
      <c r="J345" s="16" t="n"/>
      <c r="M345" s="16" t="n"/>
    </row>
    <row r="346" ht="15" customHeight="1" s="12">
      <c r="J346" s="16" t="n"/>
      <c r="M346" s="16" t="n"/>
    </row>
    <row r="347" ht="15" customHeight="1" s="12">
      <c r="J347" s="16" t="n"/>
      <c r="M347" s="16" t="n"/>
    </row>
    <row r="348" ht="15" customHeight="1" s="12">
      <c r="J348" s="16" t="n"/>
      <c r="M348" s="16" t="n"/>
    </row>
    <row r="349" ht="15" customHeight="1" s="12">
      <c r="J349" s="16" t="n"/>
      <c r="M349" s="16" t="n"/>
    </row>
    <row r="350" ht="15" customHeight="1" s="12">
      <c r="J350" s="16" t="n"/>
      <c r="M350" s="16" t="n"/>
    </row>
    <row r="351" ht="15" customHeight="1" s="12">
      <c r="J351" s="16" t="n"/>
      <c r="M351" s="16" t="n"/>
    </row>
    <row r="352" ht="15" customHeight="1" s="12">
      <c r="J352" s="16" t="n"/>
      <c r="M352" s="16" t="n"/>
    </row>
    <row r="353" ht="15" customHeight="1" s="12">
      <c r="J353" s="16" t="n"/>
      <c r="M353" s="16" t="n"/>
    </row>
    <row r="354" ht="15" customHeight="1" s="12">
      <c r="J354" s="16" t="n"/>
      <c r="M354" s="16" t="n"/>
    </row>
    <row r="355" ht="15" customHeight="1" s="12">
      <c r="J355" s="16" t="n"/>
      <c r="M355" s="16" t="n"/>
    </row>
    <row r="356" ht="15" customHeight="1" s="12">
      <c r="J356" s="16" t="n"/>
      <c r="M356" s="16" t="n"/>
    </row>
    <row r="357" ht="15" customHeight="1" s="12">
      <c r="J357" s="16" t="n"/>
      <c r="M357" s="16" t="n"/>
    </row>
    <row r="358" ht="15" customHeight="1" s="12">
      <c r="J358" s="16" t="n"/>
      <c r="M358" s="16" t="n"/>
    </row>
    <row r="359" ht="15" customHeight="1" s="12">
      <c r="J359" s="16" t="n"/>
      <c r="M359" s="16" t="n"/>
    </row>
    <row r="360" ht="15" customHeight="1" s="12">
      <c r="J360" s="16" t="n"/>
      <c r="M360" s="16" t="n"/>
    </row>
    <row r="361" ht="15" customHeight="1" s="12">
      <c r="J361" s="16" t="n"/>
      <c r="M361" s="16" t="n"/>
    </row>
    <row r="362" ht="15" customHeight="1" s="12">
      <c r="J362" s="16" t="n"/>
      <c r="M362" s="16" t="n"/>
    </row>
    <row r="363" ht="15" customHeight="1" s="12">
      <c r="J363" s="16" t="n"/>
      <c r="M363" s="16" t="n"/>
    </row>
    <row r="364" ht="15" customHeight="1" s="12">
      <c r="J364" s="16" t="n"/>
      <c r="M364" s="16" t="n"/>
    </row>
    <row r="365" ht="15" customHeight="1" s="12">
      <c r="J365" s="16" t="n"/>
      <c r="M365" s="16" t="n"/>
    </row>
    <row r="366" ht="15" customHeight="1" s="12">
      <c r="J366" s="16" t="n"/>
      <c r="M366" s="16" t="n"/>
    </row>
    <row r="367" ht="15" customHeight="1" s="12">
      <c r="J367" s="16" t="n"/>
      <c r="M367" s="16" t="n"/>
    </row>
    <row r="368" ht="15" customHeight="1" s="12">
      <c r="J368" s="16" t="n"/>
      <c r="M368" s="16" t="n"/>
    </row>
    <row r="369" ht="15" customHeight="1" s="12">
      <c r="J369" s="16" t="n"/>
      <c r="M369" s="16" t="n"/>
    </row>
    <row r="370" ht="15" customHeight="1" s="12">
      <c r="J370" s="16" t="n"/>
      <c r="M370" s="16" t="n"/>
    </row>
    <row r="371" ht="15" customHeight="1" s="12">
      <c r="J371" s="16" t="n"/>
      <c r="M371" s="16" t="n"/>
    </row>
    <row r="372" ht="15" customHeight="1" s="12">
      <c r="J372" s="16" t="n"/>
      <c r="M372" s="16" t="n"/>
    </row>
    <row r="373" ht="15" customHeight="1" s="12">
      <c r="J373" s="16" t="n"/>
      <c r="M373" s="16" t="n"/>
    </row>
    <row r="374" ht="15" customHeight="1" s="12">
      <c r="J374" s="16" t="n"/>
      <c r="M374" s="16" t="n"/>
    </row>
    <row r="375" ht="15" customHeight="1" s="12">
      <c r="J375" s="16" t="n"/>
      <c r="M375" s="16" t="n"/>
    </row>
    <row r="376" ht="15" customHeight="1" s="12">
      <c r="J376" s="16" t="n"/>
      <c r="M376" s="16" t="n"/>
    </row>
    <row r="377" ht="15" customHeight="1" s="12">
      <c r="J377" s="16" t="n"/>
      <c r="M377" s="16" t="n"/>
    </row>
    <row r="378" ht="15" customHeight="1" s="12">
      <c r="J378" s="16" t="n"/>
      <c r="M378" s="16" t="n"/>
    </row>
    <row r="379" ht="15" customHeight="1" s="12">
      <c r="J379" s="16" t="n"/>
      <c r="M379" s="16" t="n"/>
    </row>
    <row r="380" ht="15" customHeight="1" s="12">
      <c r="J380" s="16" t="n"/>
      <c r="M380" s="16" t="n"/>
    </row>
    <row r="381" ht="15" customHeight="1" s="12">
      <c r="J381" s="16" t="n"/>
      <c r="M381" s="16" t="n"/>
    </row>
    <row r="382" ht="15" customHeight="1" s="12">
      <c r="J382" s="16" t="n"/>
      <c r="M382" s="16" t="n"/>
    </row>
    <row r="383" ht="15" customHeight="1" s="12">
      <c r="J383" s="16" t="n"/>
      <c r="M383" s="16" t="n"/>
    </row>
    <row r="384" ht="15" customHeight="1" s="12">
      <c r="J384" s="16" t="n"/>
      <c r="M384" s="16" t="n"/>
    </row>
    <row r="385" ht="15" customHeight="1" s="12">
      <c r="J385" s="16" t="n"/>
      <c r="M385" s="16" t="n"/>
    </row>
    <row r="386" ht="15" customHeight="1" s="12">
      <c r="J386" s="16" t="n"/>
      <c r="M386" s="16" t="n"/>
    </row>
    <row r="387" ht="15" customHeight="1" s="12">
      <c r="J387" s="16" t="n"/>
      <c r="M387" s="16" t="n"/>
    </row>
    <row r="388" ht="15" customHeight="1" s="12">
      <c r="J388" s="16" t="n"/>
      <c r="M388" s="16" t="n"/>
    </row>
    <row r="389" ht="15" customHeight="1" s="12">
      <c r="J389" s="16" t="n"/>
      <c r="M389" s="16" t="n"/>
    </row>
    <row r="390" ht="15" customHeight="1" s="12">
      <c r="J390" s="16" t="n"/>
      <c r="M390" s="16" t="n"/>
    </row>
    <row r="391" ht="15" customHeight="1" s="12">
      <c r="J391" s="16" t="n"/>
      <c r="M391" s="16" t="n"/>
    </row>
    <row r="392" ht="15" customHeight="1" s="12">
      <c r="J392" s="16" t="n"/>
      <c r="M392" s="16" t="n"/>
    </row>
    <row r="393" ht="15" customHeight="1" s="12">
      <c r="J393" s="16" t="n"/>
      <c r="M393" s="16" t="n"/>
    </row>
    <row r="394" ht="15" customHeight="1" s="12">
      <c r="J394" s="16" t="n"/>
      <c r="M394" s="16" t="n"/>
    </row>
    <row r="395" ht="15" customHeight="1" s="12">
      <c r="J395" s="16" t="n"/>
      <c r="M395" s="16" t="n"/>
    </row>
    <row r="396" ht="15" customHeight="1" s="12">
      <c r="J396" s="16" t="n"/>
      <c r="M396" s="16" t="n"/>
    </row>
    <row r="397" ht="15" customHeight="1" s="12">
      <c r="J397" s="16" t="n"/>
      <c r="M397" s="16" t="n"/>
    </row>
    <row r="398" ht="15" customHeight="1" s="12">
      <c r="J398" s="16" t="n"/>
      <c r="M398" s="16" t="n"/>
    </row>
    <row r="399" ht="15" customHeight="1" s="12">
      <c r="J399" s="16" t="n"/>
      <c r="M399" s="16" t="n"/>
    </row>
    <row r="400" ht="15" customHeight="1" s="12">
      <c r="J400" s="16" t="n"/>
      <c r="M400" s="16" t="n"/>
    </row>
    <row r="401" ht="15" customHeight="1" s="12">
      <c r="J401" s="16" t="n"/>
      <c r="M401" s="16" t="n"/>
    </row>
    <row r="402" ht="15" customHeight="1" s="12">
      <c r="J402" s="16" t="n"/>
      <c r="M402" s="16" t="n"/>
    </row>
    <row r="403" ht="15" customHeight="1" s="12">
      <c r="J403" s="16" t="n"/>
      <c r="M403" s="16" t="n"/>
    </row>
    <row r="404" ht="15" customHeight="1" s="12">
      <c r="J404" s="16" t="n"/>
      <c r="M404" s="16" t="n"/>
    </row>
    <row r="405" ht="15" customHeight="1" s="12">
      <c r="J405" s="16" t="n"/>
      <c r="M405" s="16" t="n"/>
    </row>
    <row r="406" ht="15" customHeight="1" s="12">
      <c r="J406" s="16" t="n"/>
      <c r="M406" s="16" t="n"/>
    </row>
    <row r="407" ht="15" customHeight="1" s="12">
      <c r="J407" s="16" t="n"/>
      <c r="M407" s="16" t="n"/>
    </row>
    <row r="408" ht="15" customHeight="1" s="12">
      <c r="J408" s="16" t="n"/>
      <c r="M408" s="16" t="n"/>
    </row>
    <row r="409" ht="15" customHeight="1" s="12">
      <c r="J409" s="16" t="n"/>
      <c r="M409" s="16" t="n"/>
    </row>
    <row r="410" ht="15" customHeight="1" s="12">
      <c r="J410" s="16" t="n"/>
      <c r="M410" s="16" t="n"/>
    </row>
    <row r="411" ht="15" customHeight="1" s="12">
      <c r="J411" s="16" t="n"/>
      <c r="M411" s="16" t="n"/>
    </row>
    <row r="412" ht="15" customHeight="1" s="12">
      <c r="J412" s="16" t="n"/>
      <c r="M412" s="16" t="n"/>
    </row>
    <row r="413" ht="15" customHeight="1" s="12">
      <c r="J413" s="16" t="n"/>
      <c r="M413" s="16" t="n"/>
    </row>
    <row r="414" ht="15" customHeight="1" s="12">
      <c r="J414" s="16" t="n"/>
      <c r="M414" s="16" t="n"/>
    </row>
    <row r="415" ht="15" customHeight="1" s="12">
      <c r="J415" s="16" t="n"/>
      <c r="M415" s="16" t="n"/>
    </row>
    <row r="416" ht="15" customHeight="1" s="12">
      <c r="J416" s="16" t="n"/>
      <c r="M416" s="16" t="n"/>
    </row>
    <row r="417" ht="15" customHeight="1" s="12">
      <c r="J417" s="16" t="n"/>
      <c r="M417" s="16" t="n"/>
    </row>
    <row r="418" ht="15" customHeight="1" s="12">
      <c r="J418" s="16" t="n"/>
      <c r="M418" s="16" t="n"/>
    </row>
    <row r="419" ht="15" customHeight="1" s="12">
      <c r="J419" s="16" t="n"/>
      <c r="M419" s="16" t="n"/>
    </row>
    <row r="420" ht="15" customHeight="1" s="12">
      <c r="J420" s="16" t="n"/>
      <c r="M420" s="16" t="n"/>
    </row>
    <row r="421" ht="15" customHeight="1" s="12">
      <c r="J421" s="16" t="n"/>
      <c r="M421" s="16" t="n"/>
    </row>
    <row r="422" ht="15" customHeight="1" s="12">
      <c r="J422" s="16" t="n"/>
      <c r="M422" s="16" t="n"/>
    </row>
    <row r="423" ht="15" customHeight="1" s="12">
      <c r="J423" s="16" t="n"/>
      <c r="M423" s="16" t="n"/>
    </row>
    <row r="424" ht="15" customHeight="1" s="12">
      <c r="J424" s="16" t="n"/>
      <c r="M424" s="16" t="n"/>
    </row>
    <row r="425" ht="15" customHeight="1" s="12">
      <c r="J425" s="16" t="n"/>
      <c r="M425" s="16" t="n"/>
    </row>
    <row r="426" ht="15" customHeight="1" s="12">
      <c r="J426" s="16" t="n"/>
      <c r="M426" s="16" t="n"/>
    </row>
    <row r="427" ht="15" customHeight="1" s="12">
      <c r="J427" s="16" t="n"/>
      <c r="M427" s="16" t="n"/>
    </row>
    <row r="428" ht="15" customHeight="1" s="12">
      <c r="J428" s="16" t="n"/>
      <c r="M428" s="16" t="n"/>
    </row>
    <row r="429" ht="15" customHeight="1" s="12">
      <c r="J429" s="16" t="n"/>
      <c r="M429" s="16" t="n"/>
    </row>
    <row r="430" ht="15" customHeight="1" s="12">
      <c r="J430" s="16" t="n"/>
      <c r="M430" s="16" t="n"/>
    </row>
    <row r="431" ht="15" customHeight="1" s="12">
      <c r="J431" s="16" t="n"/>
      <c r="M431" s="16" t="n"/>
    </row>
    <row r="432" ht="15" customHeight="1" s="12">
      <c r="J432" s="16" t="n"/>
      <c r="M432" s="16" t="n"/>
    </row>
    <row r="433" ht="15" customHeight="1" s="12">
      <c r="J433" s="16" t="n"/>
      <c r="M433" s="16" t="n"/>
    </row>
    <row r="434" ht="15" customHeight="1" s="12">
      <c r="J434" s="16" t="n"/>
      <c r="M434" s="16" t="n"/>
    </row>
    <row r="435" ht="15" customHeight="1" s="12">
      <c r="J435" s="16" t="n"/>
      <c r="M435" s="16" t="n"/>
    </row>
    <row r="436" ht="15" customHeight="1" s="12">
      <c r="J436" s="16" t="n"/>
      <c r="M436" s="16" t="n"/>
    </row>
    <row r="437" ht="15" customHeight="1" s="12">
      <c r="J437" s="16" t="n"/>
      <c r="M437" s="16" t="n"/>
    </row>
    <row r="438" ht="15" customHeight="1" s="12">
      <c r="J438" s="16" t="n"/>
      <c r="M438" s="16" t="n"/>
    </row>
    <row r="439" ht="15" customHeight="1" s="12">
      <c r="J439" s="16" t="n"/>
      <c r="M439" s="16" t="n"/>
    </row>
    <row r="440" ht="15" customHeight="1" s="12">
      <c r="J440" s="16" t="n"/>
      <c r="M440" s="16" t="n"/>
    </row>
    <row r="441" ht="15" customHeight="1" s="12">
      <c r="J441" s="16" t="n"/>
      <c r="M441" s="16" t="n"/>
    </row>
    <row r="442" ht="15" customHeight="1" s="12">
      <c r="J442" s="16" t="n"/>
      <c r="M442" s="16" t="n"/>
    </row>
    <row r="443" ht="15" customHeight="1" s="12">
      <c r="J443" s="16" t="n"/>
      <c r="M443" s="16" t="n"/>
    </row>
    <row r="444" ht="15" customHeight="1" s="12">
      <c r="J444" s="16" t="n"/>
      <c r="M444" s="16" t="n"/>
    </row>
    <row r="445" ht="15" customHeight="1" s="12">
      <c r="J445" s="16" t="n"/>
      <c r="M445" s="16" t="n"/>
    </row>
    <row r="446" ht="15" customHeight="1" s="12">
      <c r="J446" s="16" t="n"/>
      <c r="M446" s="16" t="n"/>
    </row>
    <row r="447" ht="15" customHeight="1" s="12">
      <c r="J447" s="16" t="n"/>
      <c r="M447" s="16" t="n"/>
    </row>
    <row r="448" ht="15" customHeight="1" s="12">
      <c r="J448" s="16" t="n"/>
      <c r="M448" s="16" t="n"/>
    </row>
    <row r="449" ht="15" customHeight="1" s="12">
      <c r="J449" s="16" t="n"/>
      <c r="M449" s="16" t="n"/>
    </row>
    <row r="450" ht="15" customHeight="1" s="12">
      <c r="J450" s="16" t="n"/>
      <c r="M450" s="16" t="n"/>
    </row>
    <row r="451" ht="15" customHeight="1" s="12">
      <c r="J451" s="16" t="n"/>
      <c r="M451" s="16" t="n"/>
    </row>
    <row r="452" ht="15" customHeight="1" s="12">
      <c r="J452" s="16" t="n"/>
      <c r="M452" s="16" t="n"/>
    </row>
    <row r="453" ht="15" customHeight="1" s="12">
      <c r="J453" s="16" t="n"/>
      <c r="M453" s="16" t="n"/>
    </row>
    <row r="454" ht="15" customHeight="1" s="12">
      <c r="J454" s="16" t="n"/>
      <c r="M454" s="16" t="n"/>
    </row>
    <row r="455" ht="15" customHeight="1" s="12">
      <c r="J455" s="16" t="n"/>
      <c r="M455" s="16" t="n"/>
    </row>
    <row r="456" ht="15" customHeight="1" s="12">
      <c r="J456" s="16" t="n"/>
      <c r="M456" s="16" t="n"/>
    </row>
    <row r="457" ht="15" customHeight="1" s="12">
      <c r="J457" s="16" t="n"/>
      <c r="M457" s="16" t="n"/>
    </row>
    <row r="458" ht="15" customHeight="1" s="12">
      <c r="J458" s="16" t="n"/>
      <c r="M458" s="16" t="n"/>
    </row>
    <row r="459" ht="15" customHeight="1" s="12">
      <c r="J459" s="16" t="n"/>
      <c r="M459" s="16" t="n"/>
    </row>
    <row r="460" ht="15" customHeight="1" s="12">
      <c r="J460" s="16" t="n"/>
      <c r="M460" s="16" t="n"/>
    </row>
    <row r="461" ht="15" customHeight="1" s="12">
      <c r="J461" s="16" t="n"/>
      <c r="M461" s="16" t="n"/>
    </row>
    <row r="462" ht="15" customHeight="1" s="12">
      <c r="J462" s="16" t="n"/>
      <c r="M462" s="16" t="n"/>
    </row>
    <row r="463" ht="15" customHeight="1" s="12">
      <c r="J463" s="16" t="n"/>
      <c r="M463" s="16" t="n"/>
    </row>
    <row r="464" ht="15" customHeight="1" s="12">
      <c r="J464" s="16" t="n"/>
      <c r="M464" s="16" t="n"/>
    </row>
    <row r="465" ht="15" customHeight="1" s="12">
      <c r="J465" s="16" t="n"/>
      <c r="M465" s="16" t="n"/>
    </row>
    <row r="466" ht="15" customHeight="1" s="12">
      <c r="J466" s="16" t="n"/>
      <c r="M466" s="16" t="n"/>
    </row>
    <row r="467" ht="15" customHeight="1" s="12">
      <c r="J467" s="16" t="n"/>
      <c r="M467" s="16" t="n"/>
    </row>
    <row r="468" ht="15" customHeight="1" s="12">
      <c r="J468" s="16" t="n"/>
      <c r="M468" s="16" t="n"/>
    </row>
    <row r="469" ht="15" customHeight="1" s="12">
      <c r="J469" s="16" t="n"/>
      <c r="M469" s="16" t="n"/>
    </row>
    <row r="470" ht="15" customHeight="1" s="12">
      <c r="J470" s="16" t="n"/>
      <c r="M470" s="16" t="n"/>
    </row>
    <row r="471" ht="15" customHeight="1" s="12">
      <c r="J471" s="16" t="n"/>
      <c r="M471" s="16" t="n"/>
    </row>
    <row r="472" ht="15" customHeight="1" s="12">
      <c r="J472" s="16" t="n"/>
      <c r="M472" s="16" t="n"/>
    </row>
    <row r="473" ht="15" customHeight="1" s="12">
      <c r="J473" s="16" t="n"/>
      <c r="M473" s="16" t="n"/>
    </row>
    <row r="474" ht="15" customHeight="1" s="12">
      <c r="J474" s="16" t="n"/>
      <c r="M474" s="16" t="n"/>
    </row>
    <row r="475" ht="15" customHeight="1" s="12">
      <c r="J475" s="16" t="n"/>
      <c r="M475" s="16" t="n"/>
    </row>
    <row r="476" ht="15" customHeight="1" s="12">
      <c r="J476" s="16" t="n"/>
      <c r="M476" s="16" t="n"/>
    </row>
    <row r="477" ht="15" customHeight="1" s="12">
      <c r="J477" s="16" t="n"/>
      <c r="M477" s="16" t="n"/>
    </row>
    <row r="478" ht="15" customHeight="1" s="12">
      <c r="J478" s="16" t="n"/>
      <c r="M478" s="16" t="n"/>
    </row>
    <row r="479" ht="15" customHeight="1" s="12">
      <c r="J479" s="16" t="n"/>
      <c r="M479" s="16" t="n"/>
    </row>
    <row r="480" ht="15" customHeight="1" s="12">
      <c r="J480" s="16" t="n"/>
      <c r="M480" s="16" t="n"/>
    </row>
    <row r="481" ht="15" customHeight="1" s="12">
      <c r="J481" s="16" t="n"/>
      <c r="M481" s="16" t="n"/>
    </row>
    <row r="482" ht="15" customHeight="1" s="12">
      <c r="J482" s="16" t="n"/>
      <c r="M482" s="16" t="n"/>
    </row>
    <row r="483" ht="15" customHeight="1" s="12">
      <c r="J483" s="16" t="n"/>
      <c r="M483" s="16" t="n"/>
    </row>
    <row r="484" ht="15" customHeight="1" s="12">
      <c r="J484" s="16" t="n"/>
      <c r="M484" s="16" t="n"/>
    </row>
    <row r="485" ht="15" customHeight="1" s="12">
      <c r="J485" s="16" t="n"/>
      <c r="M485" s="16" t="n"/>
    </row>
    <row r="486" ht="15" customHeight="1" s="12">
      <c r="J486" s="16" t="n"/>
      <c r="M486" s="16" t="n"/>
    </row>
    <row r="487" ht="15" customHeight="1" s="12">
      <c r="J487" s="16" t="n"/>
      <c r="M487" s="16" t="n"/>
    </row>
    <row r="488" ht="15" customHeight="1" s="12">
      <c r="J488" s="16" t="n"/>
      <c r="M488" s="16" t="n"/>
    </row>
    <row r="489" ht="15" customHeight="1" s="12">
      <c r="J489" s="16" t="n"/>
      <c r="M489" s="16" t="n"/>
    </row>
    <row r="490" ht="15" customHeight="1" s="12">
      <c r="J490" s="16" t="n"/>
      <c r="M490" s="16" t="n"/>
    </row>
    <row r="491" ht="15" customHeight="1" s="12">
      <c r="J491" s="16" t="n"/>
      <c r="M491" s="16" t="n"/>
    </row>
    <row r="492" ht="15" customHeight="1" s="12">
      <c r="J492" s="16" t="n"/>
      <c r="M492" s="16" t="n"/>
    </row>
    <row r="493" ht="15" customHeight="1" s="12">
      <c r="J493" s="16" t="n"/>
      <c r="M493" s="16" t="n"/>
    </row>
    <row r="494" ht="15" customHeight="1" s="12">
      <c r="J494" s="16" t="n"/>
      <c r="M494" s="16" t="n"/>
    </row>
    <row r="495" ht="15" customHeight="1" s="12">
      <c r="J495" s="16" t="n"/>
      <c r="M495" s="16" t="n"/>
    </row>
    <row r="496" ht="15" customHeight="1" s="12">
      <c r="J496" s="16" t="n"/>
      <c r="M496" s="16" t="n"/>
    </row>
    <row r="497" ht="15" customHeight="1" s="12">
      <c r="J497" s="16" t="n"/>
      <c r="M497" s="16" t="n"/>
    </row>
    <row r="498" ht="15" customHeight="1" s="12">
      <c r="J498" s="16" t="n"/>
      <c r="M498" s="16" t="n"/>
    </row>
    <row r="499" ht="15" customHeight="1" s="12">
      <c r="J499" s="16" t="n"/>
      <c r="M499" s="16" t="n"/>
    </row>
    <row r="500" ht="15" customHeight="1" s="12">
      <c r="J500" s="16" t="n"/>
      <c r="M500" s="16" t="n"/>
    </row>
    <row r="501" ht="15" customHeight="1" s="12">
      <c r="J501" s="16" t="n"/>
    </row>
    <row r="502" ht="15" customHeight="1" s="12">
      <c r="J502" s="16" t="n"/>
    </row>
    <row r="503" ht="15" customHeight="1" s="12">
      <c r="J503" s="16" t="n"/>
    </row>
    <row r="504" ht="15" customHeight="1" s="12">
      <c r="J504" s="16" t="n"/>
    </row>
    <row r="505" ht="15" customHeight="1" s="12">
      <c r="J505" s="16" t="n"/>
    </row>
    <row r="506" ht="15" customHeight="1" s="12">
      <c r="J506" s="16" t="n"/>
    </row>
    <row r="507" ht="15" customHeight="1" s="12">
      <c r="J507" s="16" t="n"/>
    </row>
    <row r="508" ht="15" customHeight="1" s="12">
      <c r="J508" s="16" t="n"/>
    </row>
    <row r="509" ht="15" customHeight="1" s="12">
      <c r="J509" s="16" t="n"/>
    </row>
    <row r="510" ht="15" customHeight="1" s="12">
      <c r="J510" s="16" t="n"/>
    </row>
    <row r="511" ht="15" customHeight="1" s="12">
      <c r="J511" s="16" t="n"/>
    </row>
    <row r="512" ht="15" customHeight="1" s="12">
      <c r="J512" s="16" t="n"/>
    </row>
    <row r="513" ht="15" customHeight="1" s="12">
      <c r="J513" s="16" t="n"/>
    </row>
    <row r="514" ht="15" customHeight="1" s="12">
      <c r="J514" s="16" t="n"/>
    </row>
    <row r="515" ht="15" customHeight="1" s="12">
      <c r="J515" s="16" t="n"/>
    </row>
    <row r="516" ht="15" customHeight="1" s="12">
      <c r="J516" s="16" t="n"/>
    </row>
    <row r="517" ht="15" customHeight="1" s="12">
      <c r="J517" s="16" t="n"/>
    </row>
    <row r="518" ht="15" customHeight="1" s="12">
      <c r="J518" s="16" t="n"/>
    </row>
    <row r="519" ht="15" customHeight="1" s="12">
      <c r="J519" s="16" t="n"/>
    </row>
    <row r="520" ht="15" customHeight="1" s="12">
      <c r="J520" s="16" t="n"/>
    </row>
    <row r="521" ht="15" customHeight="1" s="12">
      <c r="J521" s="16" t="n"/>
    </row>
    <row r="522" ht="15" customHeight="1" s="12">
      <c r="J522" s="16" t="n"/>
    </row>
    <row r="523" ht="15" customHeight="1" s="12">
      <c r="J523" s="16" t="n"/>
    </row>
    <row r="524" ht="15" customHeight="1" s="12">
      <c r="J524" s="16" t="n"/>
    </row>
    <row r="525" ht="15" customHeight="1" s="12">
      <c r="J525" s="16" t="n"/>
    </row>
    <row r="526" ht="15" customHeight="1" s="12">
      <c r="J526" s="16" t="n"/>
    </row>
    <row r="527" ht="15" customHeight="1" s="12">
      <c r="J527" s="16" t="n"/>
    </row>
    <row r="528" ht="15" customHeight="1" s="12">
      <c r="J528" s="16" t="n"/>
    </row>
    <row r="529" ht="15" customHeight="1" s="12">
      <c r="J529" s="16" t="n"/>
    </row>
    <row r="530" ht="15" customHeight="1" s="12">
      <c r="J530" s="16" t="n"/>
    </row>
    <row r="531" ht="15" customHeight="1" s="12">
      <c r="J531" s="16" t="n"/>
    </row>
    <row r="532" ht="15" customHeight="1" s="12">
      <c r="J532" s="16" t="n"/>
    </row>
    <row r="533" ht="15" customHeight="1" s="12">
      <c r="J533" s="16" t="n"/>
    </row>
    <row r="534" ht="15" customHeight="1" s="12">
      <c r="J534" s="16" t="n"/>
    </row>
    <row r="535" ht="15" customHeight="1" s="12">
      <c r="J535" s="16" t="n"/>
    </row>
    <row r="536" ht="15" customHeight="1" s="12">
      <c r="J536" s="16" t="n"/>
    </row>
    <row r="537" ht="15" customHeight="1" s="12">
      <c r="J537" s="16" t="n"/>
    </row>
    <row r="538" ht="15" customHeight="1" s="12">
      <c r="J538" s="16" t="n"/>
    </row>
    <row r="539" ht="15" customHeight="1" s="12">
      <c r="J539" s="16" t="n"/>
    </row>
    <row r="540" ht="15" customHeight="1" s="12">
      <c r="J540" s="16" t="n"/>
    </row>
    <row r="541" ht="15" customHeight="1" s="12">
      <c r="J541" s="16" t="n"/>
    </row>
    <row r="542" ht="15" customHeight="1" s="12">
      <c r="J542" s="16" t="n"/>
    </row>
    <row r="543" ht="15" customHeight="1" s="12">
      <c r="J543" s="16" t="n"/>
    </row>
    <row r="544" ht="15" customHeight="1" s="12">
      <c r="J544" s="16" t="n"/>
    </row>
    <row r="545" ht="15" customHeight="1" s="12">
      <c r="J545" s="16" t="n"/>
    </row>
    <row r="546" ht="15" customHeight="1" s="12">
      <c r="J546" s="16" t="n"/>
    </row>
    <row r="547" ht="15" customHeight="1" s="12">
      <c r="J547" s="16" t="n"/>
    </row>
    <row r="548" ht="15" customHeight="1" s="12">
      <c r="J548" s="16" t="n"/>
    </row>
    <row r="549" ht="15" customHeight="1" s="12">
      <c r="J549" s="16" t="n"/>
    </row>
    <row r="550" ht="15" customHeight="1" s="12">
      <c r="J550" s="16" t="n"/>
    </row>
    <row r="551" ht="15" customHeight="1" s="12">
      <c r="J551" s="16" t="n"/>
    </row>
    <row r="552" ht="15" customHeight="1" s="12">
      <c r="J552" s="16" t="n"/>
    </row>
    <row r="553" ht="15" customHeight="1" s="12">
      <c r="J553" s="16" t="n"/>
    </row>
    <row r="554" ht="15" customHeight="1" s="12">
      <c r="J554" s="16" t="n"/>
    </row>
    <row r="555" ht="15" customHeight="1" s="12">
      <c r="J555" s="16" t="n"/>
    </row>
    <row r="556" ht="15" customHeight="1" s="12">
      <c r="J556" s="16" t="n"/>
    </row>
    <row r="557" ht="15" customHeight="1" s="12">
      <c r="J557" s="16" t="n"/>
    </row>
    <row r="558" ht="15" customHeight="1" s="12">
      <c r="J558" s="16" t="n"/>
    </row>
    <row r="559" ht="15" customHeight="1" s="12">
      <c r="J559" s="16" t="n"/>
    </row>
    <row r="560" ht="15" customHeight="1" s="12">
      <c r="J560" s="16" t="n"/>
    </row>
    <row r="561" ht="15" customHeight="1" s="12">
      <c r="J561" s="16" t="n"/>
    </row>
    <row r="562" ht="15" customHeight="1" s="12">
      <c r="J562" s="16" t="n"/>
    </row>
    <row r="563" ht="15" customHeight="1" s="12">
      <c r="J563" s="16" t="n"/>
    </row>
    <row r="564" ht="15" customHeight="1" s="12">
      <c r="J564" s="16" t="n"/>
    </row>
    <row r="565" ht="15" customHeight="1" s="12">
      <c r="J565" s="16" t="n"/>
    </row>
    <row r="566" ht="15" customHeight="1" s="12">
      <c r="J566" s="16" t="n"/>
    </row>
    <row r="567" ht="15" customHeight="1" s="12">
      <c r="J567" s="16" t="n"/>
    </row>
    <row r="568" ht="15" customHeight="1" s="12">
      <c r="J568" s="16" t="n"/>
    </row>
    <row r="569" ht="15" customHeight="1" s="12">
      <c r="J569" s="16" t="n"/>
    </row>
    <row r="570" ht="15" customHeight="1" s="12">
      <c r="J570" s="16" t="n"/>
    </row>
    <row r="571" ht="15" customHeight="1" s="12">
      <c r="J571" s="16" t="n"/>
    </row>
    <row r="572" ht="15" customHeight="1" s="12">
      <c r="J572" s="16" t="n"/>
    </row>
    <row r="573" ht="15" customHeight="1" s="12">
      <c r="J573" s="16" t="n"/>
    </row>
    <row r="574" ht="15" customHeight="1" s="12">
      <c r="J574" s="16" t="n"/>
    </row>
    <row r="575" ht="15" customHeight="1" s="12">
      <c r="J575" s="16" t="n"/>
    </row>
    <row r="576" ht="15" customHeight="1" s="12">
      <c r="J576" s="16" t="n"/>
    </row>
    <row r="577" ht="15" customHeight="1" s="12">
      <c r="J577" s="16" t="n"/>
    </row>
    <row r="578" ht="15" customHeight="1" s="12">
      <c r="J578" s="16" t="n"/>
    </row>
    <row r="579" ht="15" customHeight="1" s="12">
      <c r="J579" s="16" t="n"/>
    </row>
    <row r="580" ht="15" customHeight="1" s="12">
      <c r="J580" s="16" t="n"/>
    </row>
    <row r="581" ht="15" customHeight="1" s="12">
      <c r="J581" s="16" t="n"/>
    </row>
    <row r="582" ht="15" customHeight="1" s="12">
      <c r="J582" s="16" t="n"/>
    </row>
    <row r="583" ht="15" customHeight="1" s="12">
      <c r="J583" s="16" t="n"/>
    </row>
    <row r="584" ht="15" customHeight="1" s="12">
      <c r="J584" s="16" t="n"/>
    </row>
    <row r="585" ht="15" customHeight="1" s="12">
      <c r="J585" s="16" t="n"/>
    </row>
    <row r="586" ht="15" customHeight="1" s="12">
      <c r="J586" s="16" t="n"/>
    </row>
    <row r="587" ht="15" customHeight="1" s="12">
      <c r="J587" s="16" t="n"/>
    </row>
    <row r="588" ht="15" customHeight="1" s="12">
      <c r="J588" s="16" t="n"/>
    </row>
    <row r="589" ht="15" customHeight="1" s="12">
      <c r="J589" s="16" t="n"/>
    </row>
    <row r="590" ht="15" customHeight="1" s="12">
      <c r="J590" s="16" t="n"/>
    </row>
    <row r="591" ht="15" customHeight="1" s="12">
      <c r="J591" s="16" t="n"/>
    </row>
    <row r="592" ht="15" customHeight="1" s="12">
      <c r="J592" s="16" t="n"/>
    </row>
    <row r="593" ht="15" customHeight="1" s="12">
      <c r="J593" s="16" t="n"/>
    </row>
    <row r="594" ht="15" customHeight="1" s="12">
      <c r="J594" s="16" t="n"/>
    </row>
    <row r="595" ht="15" customHeight="1" s="12">
      <c r="J595" s="16" t="n"/>
    </row>
    <row r="596" ht="15" customHeight="1" s="12">
      <c r="J596" s="16" t="n"/>
    </row>
    <row r="597" ht="15" customHeight="1" s="12">
      <c r="J597" s="16" t="n"/>
    </row>
    <row r="598" ht="15" customHeight="1" s="12">
      <c r="J598" s="16" t="n"/>
    </row>
    <row r="599" ht="15" customHeight="1" s="12">
      <c r="J599" s="16" t="n"/>
    </row>
    <row r="600" ht="15" customHeight="1" s="12">
      <c r="J600" s="16" t="n"/>
    </row>
    <row r="601" ht="15" customHeight="1" s="12">
      <c r="J601" s="16" t="n"/>
    </row>
    <row r="602" ht="15" customHeight="1" s="12">
      <c r="J602" s="16" t="n"/>
    </row>
    <row r="603" ht="15" customHeight="1" s="12">
      <c r="J603" s="16" t="n"/>
    </row>
    <row r="604" ht="15" customHeight="1" s="12">
      <c r="J604" s="16" t="n"/>
    </row>
    <row r="605" ht="15" customHeight="1" s="12">
      <c r="J605" s="16" t="n"/>
    </row>
    <row r="606" ht="15" customHeight="1" s="12">
      <c r="J606" s="16" t="n"/>
    </row>
    <row r="607" ht="15" customHeight="1" s="12">
      <c r="J607" s="16" t="n"/>
    </row>
    <row r="608" ht="15" customHeight="1" s="12">
      <c r="J608" s="16" t="n"/>
    </row>
    <row r="609" ht="15" customHeight="1" s="12">
      <c r="J609" s="16" t="n"/>
    </row>
    <row r="610" ht="15" customHeight="1" s="12">
      <c r="J610" s="16" t="n"/>
    </row>
    <row r="611" ht="15" customHeight="1" s="12">
      <c r="J611" s="16" t="n"/>
    </row>
    <row r="612" ht="15" customHeight="1" s="12">
      <c r="J612" s="16" t="n"/>
    </row>
    <row r="613" ht="15" customHeight="1" s="12">
      <c r="J613" s="16" t="n"/>
    </row>
    <row r="614" ht="15" customHeight="1" s="12">
      <c r="J614" s="16" t="n"/>
    </row>
    <row r="615" ht="15" customHeight="1" s="12">
      <c r="J615" s="16" t="n"/>
    </row>
    <row r="616" ht="15" customHeight="1" s="12">
      <c r="J616" s="16" t="n"/>
    </row>
    <row r="617" ht="15" customHeight="1" s="12">
      <c r="J617" s="16" t="n"/>
    </row>
    <row r="618" ht="15" customHeight="1" s="12">
      <c r="J618" s="16" t="n"/>
    </row>
    <row r="619" ht="15" customHeight="1" s="12">
      <c r="J619" s="16" t="n"/>
    </row>
    <row r="620" ht="15" customHeight="1" s="12">
      <c r="J620" s="16" t="n"/>
    </row>
    <row r="621" ht="15" customHeight="1" s="12">
      <c r="J621" s="16" t="n"/>
    </row>
    <row r="622" ht="15" customHeight="1" s="12">
      <c r="J622" s="16" t="n"/>
    </row>
    <row r="623" ht="15" customHeight="1" s="12">
      <c r="J623" s="16" t="n"/>
    </row>
    <row r="624" ht="15" customHeight="1" s="12">
      <c r="J624" s="16" t="n"/>
    </row>
    <row r="625" ht="15" customHeight="1" s="12">
      <c r="J625" s="16" t="n"/>
    </row>
    <row r="626" ht="15" customHeight="1" s="12">
      <c r="J626" s="16" t="n"/>
    </row>
    <row r="627" ht="15" customHeight="1" s="12">
      <c r="J627" s="16" t="n"/>
    </row>
    <row r="628" ht="15" customHeight="1" s="12">
      <c r="J628" s="16" t="n"/>
    </row>
    <row r="629" ht="15" customHeight="1" s="12">
      <c r="J629" s="16" t="n"/>
    </row>
    <row r="630" ht="15" customHeight="1" s="12">
      <c r="J630" s="16" t="n"/>
    </row>
    <row r="631" ht="15" customHeight="1" s="12">
      <c r="J631" s="16" t="n"/>
    </row>
    <row r="632" ht="15" customHeight="1" s="12">
      <c r="J632" s="16" t="n"/>
    </row>
    <row r="633" ht="15" customHeight="1" s="12">
      <c r="J633" s="16" t="n"/>
    </row>
    <row r="634" ht="15" customHeight="1" s="12">
      <c r="J634" s="16" t="n"/>
    </row>
    <row r="635" ht="15" customHeight="1" s="12">
      <c r="J635" s="16" t="n"/>
    </row>
    <row r="636" ht="15" customHeight="1" s="12">
      <c r="J636" s="16" t="n"/>
    </row>
    <row r="637" ht="15" customHeight="1" s="12">
      <c r="J637" s="16" t="n"/>
    </row>
    <row r="638" ht="15" customHeight="1" s="12">
      <c r="J638" s="16" t="n"/>
    </row>
    <row r="639" ht="15" customHeight="1" s="12">
      <c r="J639" s="16" t="n"/>
    </row>
    <row r="640" ht="15" customHeight="1" s="12">
      <c r="J640" s="16" t="n"/>
    </row>
    <row r="641" ht="15" customHeight="1" s="12">
      <c r="J641" s="16" t="n"/>
    </row>
    <row r="642" ht="15" customHeight="1" s="12">
      <c r="J642" s="16" t="n"/>
    </row>
    <row r="643" ht="15" customHeight="1" s="12">
      <c r="J643" s="16" t="n"/>
    </row>
    <row r="644" ht="15" customHeight="1" s="12">
      <c r="J644" s="16" t="n"/>
    </row>
    <row r="645" ht="15" customHeight="1" s="12">
      <c r="J645" s="16" t="n"/>
    </row>
    <row r="646" ht="15" customHeight="1" s="12">
      <c r="J646" s="16" t="n"/>
    </row>
    <row r="647" ht="15" customHeight="1" s="12">
      <c r="J647" s="16" t="n"/>
    </row>
    <row r="648" ht="15" customHeight="1" s="12">
      <c r="J648" s="16" t="n"/>
    </row>
    <row r="649" ht="15" customHeight="1" s="12">
      <c r="J649" s="16" t="n"/>
    </row>
    <row r="650" ht="15" customHeight="1" s="12">
      <c r="J650" s="16" t="n"/>
    </row>
    <row r="651" ht="15" customHeight="1" s="12">
      <c r="J651" s="16" t="n"/>
    </row>
    <row r="652" ht="15" customHeight="1" s="12">
      <c r="J652" s="16" t="n"/>
    </row>
    <row r="653" ht="15" customHeight="1" s="12">
      <c r="J653" s="16" t="n"/>
    </row>
    <row r="654" ht="15" customHeight="1" s="12">
      <c r="J654" s="16" t="n"/>
    </row>
    <row r="655" ht="15" customHeight="1" s="12">
      <c r="J655" s="16" t="n"/>
    </row>
    <row r="656" ht="15" customHeight="1" s="12">
      <c r="J656" s="16" t="n"/>
    </row>
    <row r="657" ht="15" customHeight="1" s="12">
      <c r="J657" s="16" t="n"/>
    </row>
    <row r="658" ht="15" customHeight="1" s="12">
      <c r="J658" s="16" t="n"/>
    </row>
    <row r="659" ht="15" customHeight="1" s="12">
      <c r="J659" s="16" t="n"/>
    </row>
    <row r="660" ht="15" customHeight="1" s="12">
      <c r="J660" s="16" t="n"/>
    </row>
    <row r="661" ht="15" customHeight="1" s="12">
      <c r="J661" s="16" t="n"/>
    </row>
    <row r="662" ht="15" customHeight="1" s="12">
      <c r="J662" s="16" t="n"/>
    </row>
    <row r="663" ht="15" customHeight="1" s="12">
      <c r="J663" s="16" t="n"/>
    </row>
    <row r="664" ht="15" customHeight="1" s="12">
      <c r="J664" s="16" t="n"/>
    </row>
    <row r="665" ht="15" customHeight="1" s="12">
      <c r="J665" s="16" t="n"/>
    </row>
    <row r="666" ht="15" customHeight="1" s="12">
      <c r="J666" s="16" t="n"/>
    </row>
    <row r="667" ht="15" customHeight="1" s="12">
      <c r="J667" s="16" t="n"/>
    </row>
    <row r="668" ht="15" customHeight="1" s="12">
      <c r="J668" s="16" t="n"/>
    </row>
    <row r="669" ht="15" customHeight="1" s="12">
      <c r="J669" s="16" t="n"/>
    </row>
    <row r="670" ht="15" customHeight="1" s="12">
      <c r="J670" s="16" t="n"/>
    </row>
    <row r="671" ht="15" customHeight="1" s="12">
      <c r="J671" s="16" t="n"/>
    </row>
    <row r="672" ht="15" customHeight="1" s="12">
      <c r="J672" s="16" t="n"/>
    </row>
    <row r="673" ht="15" customHeight="1" s="12">
      <c r="J673" s="16" t="n"/>
    </row>
    <row r="674" ht="15" customHeight="1" s="12">
      <c r="J674" s="16" t="n"/>
    </row>
    <row r="675" ht="15" customHeight="1" s="12">
      <c r="J675" s="16" t="n"/>
    </row>
    <row r="676" ht="15" customHeight="1" s="12">
      <c r="J676" s="16" t="n"/>
    </row>
    <row r="677" ht="15" customHeight="1" s="12">
      <c r="J677" s="16" t="n"/>
    </row>
    <row r="678" ht="15" customHeight="1" s="12">
      <c r="J678" s="16" t="n"/>
    </row>
    <row r="679" ht="15" customHeight="1" s="12">
      <c r="J679" s="16" t="n"/>
    </row>
    <row r="680" ht="15" customHeight="1" s="12">
      <c r="J680" s="16" t="n"/>
    </row>
    <row r="681" ht="15" customHeight="1" s="12">
      <c r="J681" s="16" t="n"/>
    </row>
    <row r="682" ht="15" customHeight="1" s="12">
      <c r="J682" s="16" t="n"/>
    </row>
    <row r="683" ht="15" customHeight="1" s="12">
      <c r="J683" s="16" t="n"/>
    </row>
    <row r="684" ht="15" customHeight="1" s="12">
      <c r="J684" s="16" t="n"/>
    </row>
    <row r="685" ht="15" customHeight="1" s="12">
      <c r="J685" s="16" t="n"/>
    </row>
    <row r="686" ht="15" customHeight="1" s="12">
      <c r="J686" s="16" t="n"/>
    </row>
    <row r="687" ht="15" customHeight="1" s="12">
      <c r="J687" s="16" t="n"/>
    </row>
    <row r="688" ht="15" customHeight="1" s="12">
      <c r="J688" s="16" t="n"/>
    </row>
    <row r="689" ht="15" customHeight="1" s="12">
      <c r="J689" s="16" t="n"/>
    </row>
    <row r="690" ht="15" customHeight="1" s="12">
      <c r="J690" s="16" t="n"/>
    </row>
    <row r="691" ht="15" customHeight="1" s="12">
      <c r="J691" s="16" t="n"/>
    </row>
    <row r="692" ht="15" customHeight="1" s="12">
      <c r="J692" s="16" t="n"/>
    </row>
    <row r="693" ht="15" customHeight="1" s="12">
      <c r="J693" s="16" t="n"/>
    </row>
    <row r="694" ht="15" customHeight="1" s="12">
      <c r="J694" s="16" t="n"/>
    </row>
    <row r="695" ht="15" customHeight="1" s="12">
      <c r="J695" s="16" t="n"/>
    </row>
    <row r="696" ht="15" customHeight="1" s="12">
      <c r="J696" s="16" t="n"/>
    </row>
    <row r="697" ht="15" customHeight="1" s="12">
      <c r="J697" s="16" t="n"/>
    </row>
    <row r="698" ht="15" customHeight="1" s="12">
      <c r="J698" s="16" t="n"/>
    </row>
    <row r="699" ht="15" customHeight="1" s="12">
      <c r="J699" s="16" t="n"/>
    </row>
    <row r="700" ht="15" customHeight="1" s="12">
      <c r="J700" s="16" t="n"/>
    </row>
    <row r="701" ht="15" customHeight="1" s="12">
      <c r="J701" s="16" t="n"/>
    </row>
    <row r="702" ht="15" customHeight="1" s="12">
      <c r="J702" s="16" t="n"/>
    </row>
    <row r="703" ht="15" customHeight="1" s="12">
      <c r="J703" s="16" t="n"/>
    </row>
    <row r="704" ht="15" customHeight="1" s="12">
      <c r="J704" s="16" t="n"/>
    </row>
    <row r="705" ht="15" customHeight="1" s="12">
      <c r="J705" s="16" t="n"/>
    </row>
    <row r="706" ht="15" customHeight="1" s="12">
      <c r="J706" s="16" t="n"/>
    </row>
    <row r="707" ht="15" customHeight="1" s="12">
      <c r="J707" s="16" t="n"/>
    </row>
    <row r="708" ht="15" customHeight="1" s="12">
      <c r="J708" s="16" t="n"/>
    </row>
    <row r="709" ht="15" customHeight="1" s="12">
      <c r="J709" s="16" t="n"/>
    </row>
    <row r="710" ht="15" customHeight="1" s="12">
      <c r="J710" s="16" t="n"/>
    </row>
    <row r="711" ht="15" customHeight="1" s="12">
      <c r="J711" s="16" t="n"/>
    </row>
    <row r="712" ht="15" customHeight="1" s="12">
      <c r="J712" s="16" t="n"/>
    </row>
    <row r="713" ht="15" customHeight="1" s="12">
      <c r="J713" s="16" t="n"/>
    </row>
    <row r="714" ht="15" customHeight="1" s="12">
      <c r="J714" s="16" t="n"/>
    </row>
    <row r="715" ht="15" customHeight="1" s="12">
      <c r="J715" s="16" t="n"/>
    </row>
    <row r="716" ht="15" customHeight="1" s="12">
      <c r="J716" s="16" t="n"/>
    </row>
    <row r="717" ht="15" customHeight="1" s="12">
      <c r="J717" s="16" t="n"/>
    </row>
    <row r="718" ht="15" customHeight="1" s="12">
      <c r="J718" s="16" t="n"/>
    </row>
    <row r="719" ht="15" customHeight="1" s="12">
      <c r="J719" s="16" t="n"/>
    </row>
    <row r="720" ht="15" customHeight="1" s="12">
      <c r="J720" s="16" t="n"/>
    </row>
    <row r="721" ht="15" customHeight="1" s="12">
      <c r="J721" s="16" t="n"/>
    </row>
    <row r="722" ht="15" customHeight="1" s="12">
      <c r="J722" s="16" t="n"/>
    </row>
    <row r="723" ht="15" customHeight="1" s="12">
      <c r="J723" s="16" t="n"/>
    </row>
    <row r="724" ht="15" customHeight="1" s="12">
      <c r="J724" s="16" t="n"/>
    </row>
    <row r="725" ht="15" customHeight="1" s="12">
      <c r="J725" s="16" t="n"/>
    </row>
    <row r="726" ht="15" customHeight="1" s="12">
      <c r="J726" s="16" t="n"/>
    </row>
    <row r="727" ht="15" customHeight="1" s="12">
      <c r="J727" s="16" t="n"/>
    </row>
    <row r="728" ht="15" customHeight="1" s="12">
      <c r="J728" s="16" t="n"/>
    </row>
    <row r="729" ht="15" customHeight="1" s="12">
      <c r="J729" s="16" t="n"/>
    </row>
    <row r="730" ht="15" customHeight="1" s="12">
      <c r="J730" s="16" t="n"/>
    </row>
    <row r="731" ht="15" customHeight="1" s="12">
      <c r="J731" s="16" t="n"/>
    </row>
    <row r="732" ht="15" customHeight="1" s="12">
      <c r="J732" s="16" t="n"/>
    </row>
    <row r="733" ht="15" customHeight="1" s="12">
      <c r="J733" s="16" t="n"/>
    </row>
    <row r="734" ht="15" customHeight="1" s="12">
      <c r="J734" s="16" t="n"/>
    </row>
    <row r="735" ht="15" customHeight="1" s="12">
      <c r="J735" s="16" t="n"/>
    </row>
    <row r="736" ht="15" customHeight="1" s="12">
      <c r="J736" s="16" t="n"/>
    </row>
    <row r="737" ht="15" customHeight="1" s="12">
      <c r="J737" s="16" t="n"/>
    </row>
    <row r="738" ht="15" customHeight="1" s="12">
      <c r="J738" s="16" t="n"/>
    </row>
    <row r="739" ht="15" customHeight="1" s="12">
      <c r="J739" s="16" t="n"/>
    </row>
    <row r="740" ht="15" customHeight="1" s="12">
      <c r="J740" s="16" t="n"/>
    </row>
    <row r="741" ht="15" customHeight="1" s="12">
      <c r="J741" s="16" t="n"/>
    </row>
    <row r="742" ht="15" customHeight="1" s="12">
      <c r="J742" s="16" t="n"/>
    </row>
    <row r="743" ht="15" customHeight="1" s="12">
      <c r="J743" s="16" t="n"/>
    </row>
    <row r="744" ht="15" customHeight="1" s="12">
      <c r="J744" s="16" t="n"/>
    </row>
    <row r="745" ht="15" customHeight="1" s="12">
      <c r="J745" s="16" t="n"/>
    </row>
    <row r="746" ht="15" customHeight="1" s="12">
      <c r="J746" s="16" t="n"/>
    </row>
    <row r="747" ht="15" customHeight="1" s="12">
      <c r="J747" s="16" t="n"/>
    </row>
    <row r="748" ht="15" customHeight="1" s="12">
      <c r="J748" s="16" t="n"/>
    </row>
    <row r="749" ht="15" customHeight="1" s="12">
      <c r="J749" s="16" t="n"/>
    </row>
    <row r="750" ht="15" customHeight="1" s="12">
      <c r="J750" s="16" t="n"/>
    </row>
    <row r="751" ht="15" customHeight="1" s="12">
      <c r="J751" s="16" t="n"/>
    </row>
    <row r="752" ht="15" customHeight="1" s="12">
      <c r="J752" s="16" t="n"/>
    </row>
    <row r="753" ht="15" customHeight="1" s="12">
      <c r="J753" s="16" t="n"/>
    </row>
    <row r="754" ht="15" customHeight="1" s="12">
      <c r="J754" s="16" t="n"/>
    </row>
    <row r="755" ht="15" customHeight="1" s="12">
      <c r="J755" s="16" t="n"/>
    </row>
    <row r="756" ht="15" customHeight="1" s="12">
      <c r="J756" s="16" t="n"/>
    </row>
    <row r="757" ht="15" customHeight="1" s="12">
      <c r="J757" s="16" t="n"/>
    </row>
    <row r="758" ht="15" customHeight="1" s="12">
      <c r="J758" s="16" t="n"/>
    </row>
    <row r="759" ht="15" customHeight="1" s="12">
      <c r="J759" s="16" t="n"/>
    </row>
    <row r="760" ht="15" customHeight="1" s="12">
      <c r="J760" s="16" t="n"/>
    </row>
    <row r="761" ht="15" customHeight="1" s="12">
      <c r="J761" s="16" t="n"/>
    </row>
    <row r="762" ht="15" customHeight="1" s="12">
      <c r="J762" s="16" t="n"/>
    </row>
    <row r="763" ht="15" customHeight="1" s="12">
      <c r="J763" s="16" t="n"/>
    </row>
    <row r="764" ht="15" customHeight="1" s="12">
      <c r="J764" s="16" t="n"/>
    </row>
    <row r="765" ht="15" customHeight="1" s="12">
      <c r="J765" s="16" t="n"/>
    </row>
    <row r="766" ht="15" customHeight="1" s="12">
      <c r="J766" s="16" t="n"/>
    </row>
    <row r="767" ht="15" customHeight="1" s="12">
      <c r="J767" s="16" t="n"/>
    </row>
    <row r="768" ht="15" customHeight="1" s="12">
      <c r="J768" s="16" t="n"/>
    </row>
    <row r="769" ht="15" customHeight="1" s="12">
      <c r="J769" s="16" t="n"/>
    </row>
    <row r="770" ht="15" customHeight="1" s="12">
      <c r="J770" s="16" t="n"/>
    </row>
    <row r="771" ht="15" customHeight="1" s="12">
      <c r="J771" s="16" t="n"/>
    </row>
    <row r="772" ht="15" customHeight="1" s="12">
      <c r="J772" s="16" t="n"/>
    </row>
    <row r="773" ht="15" customHeight="1" s="12">
      <c r="J773" s="16" t="n"/>
    </row>
    <row r="774" ht="15" customHeight="1" s="12">
      <c r="J774" s="16" t="n"/>
    </row>
    <row r="775" ht="15" customHeight="1" s="12">
      <c r="J775" s="16" t="n"/>
    </row>
    <row r="776" ht="15" customHeight="1" s="12">
      <c r="J776" s="16" t="n"/>
    </row>
    <row r="777" ht="15" customHeight="1" s="12">
      <c r="J777" s="16" t="n"/>
    </row>
    <row r="778" ht="15" customHeight="1" s="12">
      <c r="J778" s="16" t="n"/>
    </row>
    <row r="779" ht="15" customHeight="1" s="12">
      <c r="J779" s="16" t="n"/>
    </row>
    <row r="780" ht="15" customHeight="1" s="12">
      <c r="J780" s="16" t="n"/>
    </row>
    <row r="781" ht="15" customHeight="1" s="12">
      <c r="J781" s="16" t="n"/>
    </row>
    <row r="782" ht="15" customHeight="1" s="12">
      <c r="J782" s="16" t="n"/>
    </row>
    <row r="783" ht="15" customHeight="1" s="12">
      <c r="J783" s="16" t="n"/>
    </row>
    <row r="784" ht="15" customHeight="1" s="12">
      <c r="J784" s="16" t="n"/>
    </row>
    <row r="785" ht="15" customHeight="1" s="12">
      <c r="J785" s="16" t="n"/>
    </row>
    <row r="786" ht="15" customHeight="1" s="12">
      <c r="J786" s="16" t="n"/>
    </row>
    <row r="787" ht="15" customHeight="1" s="12">
      <c r="J787" s="16" t="n"/>
    </row>
    <row r="788" ht="15" customHeight="1" s="12">
      <c r="J788" s="16" t="n"/>
    </row>
    <row r="789" ht="15" customHeight="1" s="12">
      <c r="J789" s="16" t="n"/>
    </row>
    <row r="790" ht="15" customHeight="1" s="12">
      <c r="J790" s="16" t="n"/>
    </row>
    <row r="791" ht="15" customHeight="1" s="12">
      <c r="J791" s="16" t="n"/>
    </row>
    <row r="792" ht="15" customHeight="1" s="12">
      <c r="J792" s="16" t="n"/>
    </row>
    <row r="793" ht="15" customHeight="1" s="12">
      <c r="J793" s="16" t="n"/>
    </row>
    <row r="794" ht="15" customHeight="1" s="12">
      <c r="J794" s="16" t="n"/>
    </row>
    <row r="795" ht="15" customHeight="1" s="12">
      <c r="J795" s="16" t="n"/>
    </row>
    <row r="796" ht="15" customHeight="1" s="12">
      <c r="J796" s="16" t="n"/>
    </row>
    <row r="797" ht="15" customHeight="1" s="12">
      <c r="J797" s="16" t="n"/>
    </row>
    <row r="798" ht="15" customHeight="1" s="12">
      <c r="J798" s="16" t="n"/>
    </row>
    <row r="799" ht="15" customHeight="1" s="12">
      <c r="J799" s="16" t="n"/>
    </row>
    <row r="800" ht="15" customHeight="1" s="12">
      <c r="J800" s="16" t="n"/>
    </row>
    <row r="801" ht="15" customHeight="1" s="12">
      <c r="J801" s="16" t="n"/>
    </row>
    <row r="802" ht="15" customHeight="1" s="12">
      <c r="J802" s="16" t="n"/>
    </row>
    <row r="803" ht="15" customHeight="1" s="12">
      <c r="J803" s="16" t="n"/>
    </row>
    <row r="804" ht="15" customHeight="1" s="12">
      <c r="J804" s="16" t="n"/>
    </row>
    <row r="805" ht="15" customHeight="1" s="12">
      <c r="J805" s="16" t="n"/>
    </row>
    <row r="806" ht="15" customHeight="1" s="12">
      <c r="J806" s="16" t="n"/>
    </row>
    <row r="807" ht="15" customHeight="1" s="12">
      <c r="J807" s="16" t="n"/>
    </row>
    <row r="808" ht="15" customHeight="1" s="12">
      <c r="J808" s="16" t="n"/>
    </row>
    <row r="809" ht="15" customHeight="1" s="12">
      <c r="J809" s="16" t="n"/>
    </row>
    <row r="810" ht="15" customHeight="1" s="12">
      <c r="J810" s="16" t="n"/>
    </row>
    <row r="811" ht="15" customHeight="1" s="12">
      <c r="J811" s="16" t="n"/>
    </row>
    <row r="812" ht="15" customHeight="1" s="12">
      <c r="J812" s="16" t="n"/>
    </row>
    <row r="813" ht="15" customHeight="1" s="12">
      <c r="J813" s="16" t="n"/>
    </row>
    <row r="814" ht="15" customHeight="1" s="12">
      <c r="J814" s="16" t="n"/>
    </row>
    <row r="815" ht="15" customHeight="1" s="12">
      <c r="J815" s="16" t="n"/>
    </row>
    <row r="816" ht="15" customHeight="1" s="12">
      <c r="J816" s="16" t="n"/>
    </row>
    <row r="817" ht="15" customHeight="1" s="12">
      <c r="J817" s="16" t="n"/>
    </row>
    <row r="818" ht="15" customHeight="1" s="12">
      <c r="J818" s="16" t="n"/>
    </row>
    <row r="819" ht="15" customHeight="1" s="12">
      <c r="J819" s="16" t="n"/>
    </row>
    <row r="820" ht="15" customHeight="1" s="12">
      <c r="J820" s="16" t="n"/>
    </row>
    <row r="821" ht="15" customHeight="1" s="12">
      <c r="J821" s="16" t="n"/>
    </row>
    <row r="822" ht="15" customHeight="1" s="12">
      <c r="J822" s="16" t="n"/>
    </row>
    <row r="823" ht="15" customHeight="1" s="12">
      <c r="J823" s="16" t="n"/>
    </row>
    <row r="824" ht="15" customHeight="1" s="12">
      <c r="J824" s="16" t="n"/>
    </row>
    <row r="825" ht="15" customHeight="1" s="12">
      <c r="J825" s="16" t="n"/>
    </row>
    <row r="826" ht="15" customHeight="1" s="12">
      <c r="J826" s="16" t="n"/>
    </row>
    <row r="827" ht="15" customHeight="1" s="12">
      <c r="J827" s="16" t="n"/>
    </row>
    <row r="828" ht="15" customHeight="1" s="12">
      <c r="J828" s="16" t="n"/>
    </row>
    <row r="829" ht="15" customHeight="1" s="12">
      <c r="J829" s="16" t="n"/>
    </row>
    <row r="830" ht="15" customHeight="1" s="12">
      <c r="J830" s="16" t="n"/>
    </row>
    <row r="831" ht="15" customHeight="1" s="12">
      <c r="J831" s="16" t="n"/>
    </row>
    <row r="832" ht="15" customHeight="1" s="12">
      <c r="J832" s="16" t="n"/>
    </row>
    <row r="833" ht="15" customHeight="1" s="12">
      <c r="J833" s="16" t="n"/>
    </row>
    <row r="834" ht="15" customHeight="1" s="12">
      <c r="J834" s="16" t="n"/>
    </row>
    <row r="835" ht="15" customHeight="1" s="12">
      <c r="J835" s="16" t="n"/>
    </row>
    <row r="836" ht="15" customHeight="1" s="12">
      <c r="J836" s="16" t="n"/>
    </row>
    <row r="837" ht="15" customHeight="1" s="12">
      <c r="J837" s="16" t="n"/>
    </row>
    <row r="838" ht="15" customHeight="1" s="12">
      <c r="J838" s="16" t="n"/>
    </row>
    <row r="839" ht="15" customHeight="1" s="12">
      <c r="J839" s="16" t="n"/>
    </row>
    <row r="840" ht="15" customHeight="1" s="12">
      <c r="J840" s="16" t="n"/>
    </row>
    <row r="841" ht="15" customHeight="1" s="12">
      <c r="J841" s="16" t="n"/>
    </row>
    <row r="842" ht="15" customHeight="1" s="12">
      <c r="J842" s="16" t="n"/>
    </row>
    <row r="843" ht="15" customHeight="1" s="12">
      <c r="J843" s="16" t="n"/>
    </row>
    <row r="844" ht="15" customHeight="1" s="12">
      <c r="J844" s="16" t="n"/>
    </row>
    <row r="845" ht="15" customHeight="1" s="12">
      <c r="J845" s="16" t="n"/>
    </row>
    <row r="846" ht="15" customHeight="1" s="12">
      <c r="J846" s="16" t="n"/>
    </row>
    <row r="847" ht="15" customHeight="1" s="12">
      <c r="J847" s="16" t="n"/>
    </row>
    <row r="848" ht="15" customHeight="1" s="12">
      <c r="J848" s="16" t="n"/>
    </row>
    <row r="849" ht="15" customHeight="1" s="12">
      <c r="J849" s="16" t="n"/>
    </row>
    <row r="850" ht="15" customHeight="1" s="12">
      <c r="J850" s="16" t="n"/>
    </row>
    <row r="851" ht="15" customHeight="1" s="12">
      <c r="J851" s="16" t="n"/>
    </row>
    <row r="852" ht="15" customHeight="1" s="12">
      <c r="J852" s="16" t="n"/>
    </row>
    <row r="853" ht="15" customHeight="1" s="12">
      <c r="J853" s="16" t="n"/>
    </row>
    <row r="854" ht="15" customHeight="1" s="12">
      <c r="J854" s="16" t="n"/>
    </row>
    <row r="855" ht="15" customHeight="1" s="12">
      <c r="J855" s="16" t="n"/>
    </row>
    <row r="856" ht="15" customHeight="1" s="12">
      <c r="J856" s="16" t="n"/>
    </row>
    <row r="857" ht="15" customHeight="1" s="12">
      <c r="J857" s="16" t="n"/>
    </row>
    <row r="858" ht="15" customHeight="1" s="12">
      <c r="J858" s="16" t="n"/>
    </row>
    <row r="859" ht="15" customHeight="1" s="12">
      <c r="J859" s="16" t="n"/>
    </row>
    <row r="860" ht="15" customHeight="1" s="12">
      <c r="J860" s="16" t="n"/>
    </row>
    <row r="861" ht="15" customHeight="1" s="12">
      <c r="J861" s="16" t="n"/>
    </row>
    <row r="862" ht="15" customHeight="1" s="12">
      <c r="J862" s="16" t="n"/>
    </row>
    <row r="863" ht="15" customHeight="1" s="12">
      <c r="J863" s="16" t="n"/>
    </row>
    <row r="864" ht="15" customHeight="1" s="12">
      <c r="J864" s="16" t="n"/>
    </row>
    <row r="865" ht="15" customHeight="1" s="12">
      <c r="J865" s="16" t="n"/>
    </row>
    <row r="866" ht="15" customHeight="1" s="12">
      <c r="J866" s="16" t="n"/>
    </row>
    <row r="867" ht="15" customHeight="1" s="12">
      <c r="J867" s="16" t="n"/>
    </row>
    <row r="868" ht="15" customHeight="1" s="12">
      <c r="J868" s="16" t="n"/>
    </row>
    <row r="869" ht="15" customHeight="1" s="12">
      <c r="J869" s="16" t="n"/>
    </row>
    <row r="870" ht="15" customHeight="1" s="12">
      <c r="J870" s="16" t="n"/>
    </row>
    <row r="871" ht="15" customHeight="1" s="12">
      <c r="J871" s="16" t="n"/>
    </row>
    <row r="872" ht="15" customHeight="1" s="12">
      <c r="J872" s="16" t="n"/>
    </row>
    <row r="873" ht="15" customHeight="1" s="12">
      <c r="J873" s="16" t="n"/>
    </row>
    <row r="874" ht="15" customHeight="1" s="12">
      <c r="J874" s="16" t="n"/>
    </row>
    <row r="875" ht="15" customHeight="1" s="12">
      <c r="J875" s="16" t="n"/>
    </row>
    <row r="876" ht="15" customHeight="1" s="12">
      <c r="J876" s="16" t="n"/>
    </row>
    <row r="877" ht="15" customHeight="1" s="12">
      <c r="J877" s="16" t="n"/>
    </row>
    <row r="878" ht="15" customHeight="1" s="12">
      <c r="J878" s="16" t="n"/>
    </row>
    <row r="879" ht="15" customHeight="1" s="12">
      <c r="J879" s="16" t="n"/>
    </row>
    <row r="880" ht="15" customHeight="1" s="12">
      <c r="J880" s="16" t="n"/>
    </row>
    <row r="881" ht="15" customHeight="1" s="12">
      <c r="J881" s="16" t="n"/>
    </row>
    <row r="882" ht="15" customHeight="1" s="12">
      <c r="J882" s="16" t="n"/>
    </row>
    <row r="883" ht="15" customHeight="1" s="12">
      <c r="J883" s="16" t="n"/>
    </row>
    <row r="884" ht="15" customHeight="1" s="12">
      <c r="J884" s="16" t="n"/>
    </row>
    <row r="885" ht="15" customHeight="1" s="12">
      <c r="J885" s="16" t="n"/>
    </row>
    <row r="886" ht="15" customHeight="1" s="12">
      <c r="J886" s="16" t="n"/>
    </row>
    <row r="887" ht="15" customHeight="1" s="12">
      <c r="J887" s="16" t="n"/>
    </row>
    <row r="888" ht="15" customHeight="1" s="12">
      <c r="J888" s="16" t="n"/>
    </row>
    <row r="889" ht="15" customHeight="1" s="12">
      <c r="J889" s="16" t="n"/>
    </row>
    <row r="890" ht="15" customHeight="1" s="12">
      <c r="J890" s="16" t="n"/>
    </row>
    <row r="891" ht="15" customHeight="1" s="12">
      <c r="J891" s="16" t="n"/>
    </row>
    <row r="892" ht="15" customHeight="1" s="12">
      <c r="J892" s="16" t="n"/>
    </row>
    <row r="893" ht="15" customHeight="1" s="12">
      <c r="J893" s="16" t="n"/>
    </row>
    <row r="894" ht="15" customHeight="1" s="12">
      <c r="J894" s="16" t="n"/>
    </row>
    <row r="895" ht="15" customHeight="1" s="12">
      <c r="J895" s="16" t="n"/>
    </row>
    <row r="896" ht="15" customHeight="1" s="12">
      <c r="J896" s="16" t="n"/>
    </row>
    <row r="897" ht="15" customHeight="1" s="12">
      <c r="J897" s="16" t="n"/>
    </row>
    <row r="898" ht="15" customHeight="1" s="12">
      <c r="J898" s="16" t="n"/>
    </row>
    <row r="899" ht="15" customHeight="1" s="12">
      <c r="J899" s="16" t="n"/>
    </row>
    <row r="900" ht="15" customHeight="1" s="12">
      <c r="J900" s="16" t="n"/>
    </row>
    <row r="901" ht="15" customHeight="1" s="12">
      <c r="J901" s="16" t="n"/>
    </row>
    <row r="902" ht="15" customHeight="1" s="12">
      <c r="J902" s="16" t="n"/>
    </row>
    <row r="903" ht="15" customHeight="1" s="12">
      <c r="J903" s="16" t="n"/>
    </row>
    <row r="904" ht="15" customHeight="1" s="12">
      <c r="J904" s="16" t="n"/>
    </row>
    <row r="905" ht="15" customHeight="1" s="12">
      <c r="J905" s="16" t="n"/>
    </row>
    <row r="906" ht="15" customHeight="1" s="12">
      <c r="J906" s="16" t="n"/>
    </row>
    <row r="907" ht="15" customHeight="1" s="12">
      <c r="J907" s="16" t="n"/>
    </row>
    <row r="908" ht="15" customHeight="1" s="12">
      <c r="J908" s="16" t="n"/>
    </row>
    <row r="909" ht="15" customHeight="1" s="12">
      <c r="J909" s="16" t="n"/>
    </row>
    <row r="910" ht="15" customHeight="1" s="12">
      <c r="J910" s="16" t="n"/>
    </row>
    <row r="911" ht="15" customHeight="1" s="12">
      <c r="J911" s="16" t="n"/>
    </row>
    <row r="912" ht="15" customHeight="1" s="12">
      <c r="J912" s="16" t="n"/>
    </row>
    <row r="913" ht="15" customHeight="1" s="12">
      <c r="J913" s="16" t="n"/>
    </row>
    <row r="914" ht="15" customHeight="1" s="12">
      <c r="J914" s="16" t="n"/>
    </row>
    <row r="915" ht="15" customHeight="1" s="12">
      <c r="J915" s="16" t="n"/>
    </row>
    <row r="916" ht="15" customHeight="1" s="12">
      <c r="J916" s="16" t="n"/>
    </row>
    <row r="917" ht="15" customHeight="1" s="12">
      <c r="J917" s="16" t="n"/>
    </row>
    <row r="918" ht="15" customHeight="1" s="12">
      <c r="J918" s="16" t="n"/>
    </row>
    <row r="919" ht="15" customHeight="1" s="12">
      <c r="J919" s="16" t="n"/>
    </row>
    <row r="920" ht="15" customHeight="1" s="12">
      <c r="J920" s="16" t="n"/>
    </row>
    <row r="921" ht="15" customHeight="1" s="12">
      <c r="J921" s="16" t="n"/>
    </row>
    <row r="922" ht="15" customHeight="1" s="12">
      <c r="J922" s="16" t="n"/>
    </row>
    <row r="923" ht="15" customHeight="1" s="12">
      <c r="J923" s="16" t="n"/>
    </row>
    <row r="924" ht="15" customHeight="1" s="12">
      <c r="J924" s="16" t="n"/>
    </row>
    <row r="925" ht="15" customHeight="1" s="12">
      <c r="J925" s="16" t="n"/>
    </row>
    <row r="926" ht="15" customHeight="1" s="12">
      <c r="J926" s="16" t="n"/>
    </row>
    <row r="927" ht="15" customHeight="1" s="12">
      <c r="J927" s="16" t="n"/>
    </row>
    <row r="928" ht="15" customHeight="1" s="12">
      <c r="J928" s="16" t="n"/>
    </row>
    <row r="929" ht="15" customHeight="1" s="12">
      <c r="J929" s="16" t="n"/>
    </row>
    <row r="930" ht="15" customHeight="1" s="12">
      <c r="J930" s="16" t="n"/>
    </row>
    <row r="931" ht="15" customHeight="1" s="12">
      <c r="J931" s="16" t="n"/>
    </row>
    <row r="932" ht="15" customHeight="1" s="12">
      <c r="J932" s="16" t="n"/>
    </row>
    <row r="933" ht="15" customHeight="1" s="12">
      <c r="J933" s="16" t="n"/>
    </row>
    <row r="934" ht="15" customHeight="1" s="12">
      <c r="J934" s="16" t="n"/>
    </row>
    <row r="935" ht="15" customHeight="1" s="12">
      <c r="J935" s="16" t="n"/>
    </row>
    <row r="936" ht="15" customHeight="1" s="12">
      <c r="J936" s="16" t="n"/>
    </row>
    <row r="937" ht="15" customHeight="1" s="12">
      <c r="J937" s="16" t="n"/>
    </row>
    <row r="938" ht="15" customHeight="1" s="12">
      <c r="J938" s="16" t="n"/>
    </row>
    <row r="939" ht="15" customHeight="1" s="12">
      <c r="J939" s="16" t="n"/>
    </row>
    <row r="940" ht="15" customHeight="1" s="12">
      <c r="J940" s="16" t="n"/>
    </row>
    <row r="941" ht="15" customHeight="1" s="12">
      <c r="J941" s="16" t="n"/>
    </row>
    <row r="942" ht="15" customHeight="1" s="12">
      <c r="J942" s="16" t="n"/>
    </row>
    <row r="943" ht="15" customHeight="1" s="12">
      <c r="J943" s="16" t="n"/>
    </row>
    <row r="944" ht="15" customHeight="1" s="12">
      <c r="J944" s="16" t="n"/>
    </row>
    <row r="945" ht="15" customHeight="1" s="12">
      <c r="J945" s="16" t="n"/>
    </row>
    <row r="946" ht="15" customHeight="1" s="12">
      <c r="J946" s="16" t="n"/>
    </row>
    <row r="947" ht="15" customHeight="1" s="12">
      <c r="J947" s="16" t="n"/>
    </row>
    <row r="948" ht="15" customHeight="1" s="12">
      <c r="J948" s="16" t="n"/>
    </row>
    <row r="949" ht="15" customHeight="1" s="12">
      <c r="J949" s="16" t="n"/>
    </row>
    <row r="950" ht="15" customHeight="1" s="12">
      <c r="J950" s="16" t="n"/>
    </row>
    <row r="951" ht="15" customHeight="1" s="12">
      <c r="J951" s="16" t="n"/>
    </row>
    <row r="952" ht="15" customHeight="1" s="12">
      <c r="J952" s="16" t="n"/>
    </row>
    <row r="953" ht="15" customHeight="1" s="12">
      <c r="J953" s="16" t="n"/>
    </row>
    <row r="954" ht="15" customHeight="1" s="12">
      <c r="J954" s="16" t="n"/>
    </row>
    <row r="955" ht="15" customHeight="1" s="12">
      <c r="J955" s="16" t="n"/>
    </row>
    <row r="956" ht="15" customHeight="1" s="12">
      <c r="J956" s="16" t="n"/>
    </row>
    <row r="957" ht="15" customHeight="1" s="12">
      <c r="J957" s="16" t="n"/>
    </row>
    <row r="958" ht="15" customHeight="1" s="12">
      <c r="J958" s="16" t="n"/>
    </row>
    <row r="959" ht="15" customHeight="1" s="12">
      <c r="J959" s="16" t="n"/>
    </row>
    <row r="960" ht="15" customHeight="1" s="12">
      <c r="J960" s="16" t="n"/>
    </row>
    <row r="961" ht="15" customHeight="1" s="12">
      <c r="J961" s="16" t="n"/>
    </row>
    <row r="962" ht="15" customHeight="1" s="12">
      <c r="J962" s="16" t="n"/>
    </row>
    <row r="963" ht="15" customHeight="1" s="12">
      <c r="J963" s="16" t="n"/>
    </row>
    <row r="964" ht="15" customHeight="1" s="12">
      <c r="J964" s="16" t="n"/>
    </row>
    <row r="965" ht="15" customHeight="1" s="12">
      <c r="J965" s="16" t="n"/>
    </row>
    <row r="966" ht="15" customHeight="1" s="12">
      <c r="J966" s="16" t="n"/>
    </row>
    <row r="967" ht="15" customHeight="1" s="12">
      <c r="J967" s="16" t="n"/>
    </row>
    <row r="968" ht="15" customHeight="1" s="12">
      <c r="J968" s="16" t="n"/>
    </row>
    <row r="969" ht="15" customHeight="1" s="12">
      <c r="J969" s="16" t="n"/>
    </row>
    <row r="970" ht="15" customHeight="1" s="12">
      <c r="J970" s="16" t="n"/>
    </row>
    <row r="971" ht="15" customHeight="1" s="12">
      <c r="J971" s="16" t="n"/>
    </row>
    <row r="972" ht="15" customHeight="1" s="12">
      <c r="J972" s="16" t="n"/>
    </row>
    <row r="973" ht="15" customHeight="1" s="12">
      <c r="J973" s="16" t="n"/>
    </row>
    <row r="974" ht="15" customHeight="1" s="12">
      <c r="J974" s="16" t="n"/>
    </row>
    <row r="975" ht="15" customHeight="1" s="12">
      <c r="J975" s="16" t="n"/>
    </row>
    <row r="976" ht="15" customHeight="1" s="12">
      <c r="J976" s="16" t="n"/>
    </row>
    <row r="977" ht="15" customHeight="1" s="12">
      <c r="J977" s="16" t="n"/>
    </row>
    <row r="978" ht="15" customHeight="1" s="12">
      <c r="J978" s="16" t="n"/>
    </row>
    <row r="979" ht="15" customHeight="1" s="12">
      <c r="J979" s="16" t="n"/>
    </row>
    <row r="980" ht="15" customHeight="1" s="12">
      <c r="J980" s="16" t="n"/>
    </row>
    <row r="981" ht="15" customHeight="1" s="12">
      <c r="J981" s="16" t="n"/>
    </row>
    <row r="982" ht="15" customHeight="1" s="12">
      <c r="J982" s="16" t="n"/>
    </row>
    <row r="983" ht="15" customHeight="1" s="12">
      <c r="J983" s="16" t="n"/>
    </row>
    <row r="984" ht="15" customHeight="1" s="12">
      <c r="J984" s="16" t="n"/>
    </row>
    <row r="985" ht="15" customHeight="1" s="12">
      <c r="J985" s="16" t="n"/>
    </row>
    <row r="986" ht="15" customHeight="1" s="12">
      <c r="J986" s="16" t="n"/>
    </row>
    <row r="987" ht="15" customHeight="1" s="12">
      <c r="J987" s="16" t="n"/>
    </row>
    <row r="988" ht="15" customHeight="1" s="12">
      <c r="J988" s="16" t="n"/>
    </row>
    <row r="989" ht="15" customHeight="1" s="12">
      <c r="J989" s="16" t="n"/>
    </row>
    <row r="990" ht="15" customHeight="1" s="12">
      <c r="J990" s="16" t="n"/>
    </row>
    <row r="991" ht="15" customHeight="1" s="12">
      <c r="J991" s="16" t="n"/>
    </row>
    <row r="992" ht="15" customHeight="1" s="12">
      <c r="J992" s="16" t="n"/>
    </row>
    <row r="993" ht="15" customHeight="1" s="12">
      <c r="J993" s="16" t="n"/>
    </row>
    <row r="994" ht="15" customHeight="1" s="12">
      <c r="J994" s="16" t="n"/>
    </row>
    <row r="995" ht="15" customHeight="1" s="12">
      <c r="J995" s="16" t="n"/>
    </row>
    <row r="996" ht="15" customHeight="1" s="12">
      <c r="J996" s="16" t="n"/>
    </row>
    <row r="997" ht="15" customHeight="1" s="12">
      <c r="J997" s="16" t="n"/>
    </row>
    <row r="998" ht="15" customHeight="1" s="12">
      <c r="J998" s="16" t="n"/>
    </row>
    <row r="999" ht="15" customHeight="1" s="12">
      <c r="J999" s="16" t="n"/>
    </row>
    <row r="1000" ht="15" customHeight="1" s="12">
      <c r="J1000" s="16" t="n"/>
    </row>
    <row r="1001" ht="15" customHeight="1" s="12">
      <c r="J1001" s="16" t="n"/>
    </row>
    <row r="1002" ht="15" customHeight="1" s="12">
      <c r="J1002" s="16" t="n"/>
    </row>
    <row r="1003" ht="15" customHeight="1" s="12">
      <c r="J1003" s="16" t="n"/>
    </row>
    <row r="1004" ht="15" customHeight="1" s="12">
      <c r="J1004" s="16" t="n"/>
    </row>
    <row r="1005" ht="15" customHeight="1" s="12">
      <c r="J1005" s="16" t="n"/>
    </row>
    <row r="1006" ht="15" customHeight="1" s="12">
      <c r="J1006" s="16" t="n"/>
    </row>
    <row r="1007" ht="15" customHeight="1" s="12">
      <c r="J1007" s="16" t="n"/>
    </row>
    <row r="1008" ht="15" customHeight="1" s="12">
      <c r="J1008" s="16" t="n"/>
    </row>
    <row r="1009" ht="15" customHeight="1" s="12">
      <c r="J1009" s="16" t="n"/>
    </row>
    <row r="1010" ht="15" customHeight="1" s="12">
      <c r="J1010" s="16" t="n"/>
    </row>
    <row r="1011" ht="15" customHeight="1" s="12">
      <c r="J1011" s="16" t="n"/>
    </row>
    <row r="1012" ht="15" customHeight="1" s="12">
      <c r="J1012" s="16" t="n"/>
    </row>
    <row r="1013" ht="15" customHeight="1" s="12">
      <c r="J1013" s="16" t="n"/>
    </row>
    <row r="1014" ht="15" customHeight="1" s="12">
      <c r="J1014" s="16" t="n"/>
    </row>
    <row r="1015" ht="15" customHeight="1" s="12">
      <c r="J1015" s="16" t="n"/>
    </row>
    <row r="1016" ht="15" customHeight="1" s="12">
      <c r="J1016" s="16" t="n"/>
    </row>
    <row r="1017" ht="15" customHeight="1" s="12">
      <c r="J1017" s="16" t="n"/>
    </row>
    <row r="1018" ht="15" customHeight="1" s="12">
      <c r="J1018" s="16" t="n"/>
    </row>
    <row r="1019" ht="15" customHeight="1" s="12">
      <c r="J1019" s="16" t="n"/>
    </row>
    <row r="1020" ht="15" customHeight="1" s="12">
      <c r="J1020" s="16" t="n"/>
    </row>
    <row r="1021" ht="15" customHeight="1" s="12">
      <c r="J1021" s="16" t="n"/>
    </row>
    <row r="1022" ht="15" customHeight="1" s="12">
      <c r="J1022" s="16" t="n"/>
    </row>
    <row r="1023" ht="15" customHeight="1" s="12">
      <c r="J1023" s="16" t="n"/>
    </row>
    <row r="1024" ht="15" customHeight="1" s="12">
      <c r="J1024" s="16" t="n"/>
    </row>
    <row r="1025" ht="15" customHeight="1" s="12">
      <c r="J1025" s="16" t="n"/>
    </row>
    <row r="1026" ht="15" customHeight="1" s="12">
      <c r="J1026" s="16" t="n"/>
    </row>
    <row r="1027" ht="15" customHeight="1" s="12">
      <c r="J1027" s="16" t="n"/>
    </row>
    <row r="1028" ht="15" customHeight="1" s="12">
      <c r="J1028" s="16" t="n"/>
    </row>
    <row r="1029" ht="15" customHeight="1" s="12">
      <c r="J1029" s="16" t="n"/>
    </row>
    <row r="1030" ht="15" customHeight="1" s="12">
      <c r="J1030" s="16" t="n"/>
    </row>
    <row r="1031" ht="15" customHeight="1" s="12">
      <c r="J1031" s="16" t="n"/>
    </row>
    <row r="1032" ht="15" customHeight="1" s="12">
      <c r="J1032" s="16" t="n"/>
    </row>
    <row r="1033" ht="15" customHeight="1" s="12">
      <c r="J1033" s="16" t="n"/>
    </row>
    <row r="1034" ht="15" customHeight="1" s="12">
      <c r="J1034" s="16" t="n"/>
    </row>
    <row r="1035" ht="15" customHeight="1" s="12">
      <c r="J1035" s="16" t="n"/>
    </row>
    <row r="1036" ht="15" customHeight="1" s="12">
      <c r="J1036" s="16" t="n"/>
    </row>
    <row r="1037" ht="15" customHeight="1" s="12">
      <c r="J1037" s="16" t="n"/>
    </row>
    <row r="1038" ht="15" customHeight="1" s="12">
      <c r="J1038" s="16" t="n"/>
    </row>
    <row r="1039" ht="15" customHeight="1" s="12">
      <c r="J1039" s="16" t="n"/>
    </row>
    <row r="1040" ht="15" customHeight="1" s="12">
      <c r="J1040" s="16" t="n"/>
    </row>
    <row r="1041" ht="15" customHeight="1" s="12">
      <c r="J1041" s="16" t="n"/>
    </row>
    <row r="1042" ht="15" customHeight="1" s="12">
      <c r="J1042" s="16" t="n"/>
    </row>
    <row r="1043" ht="15" customHeight="1" s="12">
      <c r="J1043" s="16" t="n"/>
    </row>
    <row r="1044" ht="15" customHeight="1" s="12">
      <c r="J1044" s="16" t="n"/>
    </row>
    <row r="1045" ht="15" customHeight="1" s="12">
      <c r="J1045" s="16" t="n"/>
    </row>
    <row r="1046" ht="15" customHeight="1" s="12">
      <c r="J1046" s="16" t="n"/>
    </row>
    <row r="1047" ht="15" customHeight="1" s="12">
      <c r="J1047" s="16" t="n"/>
    </row>
    <row r="1048" ht="15" customHeight="1" s="12">
      <c r="J1048" s="16" t="n"/>
    </row>
    <row r="1049" ht="15" customHeight="1" s="12">
      <c r="J1049" s="16" t="n"/>
    </row>
    <row r="1050" ht="15" customHeight="1" s="12">
      <c r="J1050" s="16" t="n"/>
    </row>
    <row r="1051" ht="15" customHeight="1" s="12">
      <c r="J1051" s="16" t="n"/>
    </row>
    <row r="1052" ht="15" customHeight="1" s="12">
      <c r="J1052" s="16" t="n"/>
    </row>
    <row r="1053" ht="15" customHeight="1" s="12">
      <c r="J1053" s="16" t="n"/>
    </row>
    <row r="1054" ht="15" customHeight="1" s="12">
      <c r="J1054" s="16" t="n"/>
    </row>
    <row r="1055" ht="15" customHeight="1" s="12">
      <c r="J1055" s="16" t="n"/>
    </row>
    <row r="1056" ht="15" customHeight="1" s="12">
      <c r="J1056" s="16" t="n"/>
    </row>
    <row r="1057" ht="15" customHeight="1" s="12">
      <c r="J1057" s="16" t="n"/>
    </row>
    <row r="1058" ht="15" customHeight="1" s="12">
      <c r="J1058" s="16" t="n"/>
    </row>
    <row r="1059" ht="15" customHeight="1" s="12">
      <c r="J1059" s="16" t="n"/>
    </row>
    <row r="1060" ht="15" customHeight="1" s="12">
      <c r="J1060" s="16" t="n"/>
    </row>
    <row r="1061" ht="15" customHeight="1" s="12">
      <c r="J1061" s="16" t="n"/>
    </row>
    <row r="1062" ht="15" customHeight="1" s="12">
      <c r="J1062" s="16" t="n"/>
    </row>
    <row r="1063" ht="15" customHeight="1" s="12">
      <c r="J1063" s="16" t="n"/>
    </row>
    <row r="1064" ht="15" customHeight="1" s="12">
      <c r="J1064" s="16" t="n"/>
    </row>
    <row r="1065" ht="15" customHeight="1" s="12">
      <c r="J1065" s="16" t="n"/>
    </row>
    <row r="1066" ht="15" customHeight="1" s="12">
      <c r="J1066" s="16" t="n"/>
    </row>
    <row r="1067" ht="15" customHeight="1" s="12">
      <c r="J1067" s="16" t="n"/>
    </row>
    <row r="1068" ht="15" customHeight="1" s="12">
      <c r="J1068" s="16" t="n"/>
    </row>
    <row r="1069" ht="15" customHeight="1" s="12">
      <c r="J1069" s="16" t="n"/>
    </row>
    <row r="1070" ht="15" customHeight="1" s="12">
      <c r="J1070" s="16" t="n"/>
    </row>
    <row r="1071" ht="15" customHeight="1" s="12">
      <c r="J1071" s="16" t="n"/>
    </row>
    <row r="1072" ht="15" customHeight="1" s="12">
      <c r="J1072" s="16" t="n"/>
    </row>
    <row r="1073" ht="15" customHeight="1" s="12">
      <c r="J1073" s="16" t="n"/>
    </row>
    <row r="1074" ht="15" customHeight="1" s="12">
      <c r="J1074" s="16" t="n"/>
    </row>
    <row r="1075" ht="15" customHeight="1" s="12">
      <c r="J1075" s="16" t="n"/>
    </row>
    <row r="1076" ht="15" customHeight="1" s="12">
      <c r="J1076" s="16" t="n"/>
    </row>
    <row r="1077" ht="15" customHeight="1" s="12">
      <c r="J1077" s="16" t="n"/>
    </row>
    <row r="1078" ht="15" customHeight="1" s="12">
      <c r="J1078" s="16" t="n"/>
    </row>
    <row r="1079" ht="15" customHeight="1" s="12">
      <c r="J1079" s="16" t="n"/>
    </row>
    <row r="1080" ht="15" customHeight="1" s="12">
      <c r="J1080" s="16" t="n"/>
    </row>
    <row r="1081" ht="15" customHeight="1" s="12">
      <c r="J1081" s="16" t="n"/>
    </row>
    <row r="1082" ht="15" customHeight="1" s="12">
      <c r="A1082" s="16" t="inlineStr">
        <is>
          <t>K139</t>
        </is>
      </c>
      <c r="B1082" s="16" t="inlineStr">
        <is>
          <t>Orientación al usuario y al ciudadano</t>
        </is>
      </c>
      <c r="C1082" s="16" t="inlineStr">
        <is>
          <t>Un ciudadano lleva veinte minutos discutiendo en voz alta porque le reprogramaron el turno de atención. La programación no depende de usted y la sala está llena. Su compañera le sugiere ignorarlo hasta que se canse y el vigilante pregunta si lo retira del lugar.</t>
        </is>
      </c>
      <c r="D1082" s="16" t="inlineStr">
        <is>
          <t>Escucha el reclamo en la ventanilla y le entrega el formato de queja</t>
        </is>
      </c>
      <c r="E1082" s="16" t="inlineStr">
        <is>
          <t>Le explica que la programación no es su área y le indica dónde reclamar</t>
        </is>
      </c>
      <c r="F1082" s="16" t="inlineStr">
        <is>
          <t>Lo atiende aparte, revisa su caso y le da una fecha concreta</t>
        </is>
      </c>
      <c r="G1082" s="16" t="n">
        <v>2</v>
      </c>
      <c r="H1082" s="16" t="n">
        <v>1</v>
      </c>
      <c r="I1082" s="16" t="n">
        <v>3</v>
      </c>
      <c r="J1082" s="16" t="inlineStr">
        <is>
          <t>SI</t>
        </is>
      </c>
      <c r="K1082" s="16" t="inlineStr">
        <is>
          <t>¿Qué hace usted?</t>
        </is>
      </c>
      <c r="L1082" s="16" t="inlineStr">
        <is>
          <t>NO</t>
        </is>
      </c>
      <c r="M1082" s="16" t="inlineStr">
        <is>
          <t>comun</t>
        </is>
      </c>
    </row>
    <row r="1083" ht="15" customHeight="1" s="12">
      <c r="A1083" s="16" t="inlineStr">
        <is>
          <t>K140</t>
        </is>
      </c>
      <c r="B1083" s="16" t="inlineStr">
        <is>
          <t>Comunicación efectiva</t>
        </is>
      </c>
      <c r="C1083" s="16" t="inlineStr">
        <is>
          <t>Debe explicar a la dirección, en cinco minutos, por qué cayó un indicador del grupo. La explicación técnica es compleja y hay un integrante que suele interrumpir. Si simplifica de más pierde precisión; si entra en detalle, no alcanza el tiempo.</t>
        </is>
      </c>
      <c r="D1083" s="16" t="inlineStr">
        <is>
          <t>Presenta la causa principal en lenguaje claro y deja el detalle en un anexo</t>
        </is>
      </c>
      <c r="E1083" s="16" t="inlineStr">
        <is>
          <t>Presenta solo el dato y ofrece enviar después la explicación por correo</t>
        </is>
      </c>
      <c r="F1083" s="16" t="inlineStr">
        <is>
          <t>Expone el análisis técnico completo y responde las preguntas que surjan</t>
        </is>
      </c>
      <c r="G1083" s="16" t="n">
        <v>3</v>
      </c>
      <c r="H1083" s="16" t="n">
        <v>1</v>
      </c>
      <c r="I1083" s="16" t="n">
        <v>2</v>
      </c>
      <c r="J1083" s="16" t="inlineStr">
        <is>
          <t>SI</t>
        </is>
      </c>
      <c r="K1083" s="16" t="inlineStr">
        <is>
          <t>¿Qué hace usted?</t>
        </is>
      </c>
      <c r="L1083" s="16" t="inlineStr">
        <is>
          <t>NO</t>
        </is>
      </c>
      <c r="M1083" s="16" t="inlineStr">
        <is>
          <t>comun</t>
        </is>
      </c>
    </row>
    <row r="1084" ht="15" customHeight="1" s="12">
      <c r="A1084" s="16" t="inlineStr">
        <is>
          <t>K141</t>
        </is>
      </c>
      <c r="B1084" s="16" t="inlineStr">
        <is>
          <t>Orientación al usuario y al ciudadano</t>
        </is>
      </c>
      <c r="C1084" s="16" t="inlineStr">
        <is>
          <t>Un ciudadano con discapacidad auditiva llega solo a radicar una solicitud. No hay intérprete en la sede y la comunicación escrita avanza lenta porque él escribe con dificultad. Detrás hay fila y su turno ya se demoró el doble de lo habitual.</t>
        </is>
      </c>
      <c r="D1084" s="16" t="inlineStr">
        <is>
          <t>Le entrega por escrito las opciones y le pide señalar la que prefiere</t>
        </is>
      </c>
      <c r="E1084" s="16" t="inlineStr">
        <is>
          <t>Busca un medio de comunicación que ambos entiendan y verifica que entendió</t>
        </is>
      </c>
      <c r="F1084" s="16" t="inlineStr">
        <is>
          <t>Le sugiere volver acompañado de alguien que lo apoye con la comunicación</t>
        </is>
      </c>
      <c r="G1084" s="16" t="n">
        <v>2</v>
      </c>
      <c r="H1084" s="16" t="n">
        <v>3</v>
      </c>
      <c r="I1084" s="16" t="n">
        <v>1</v>
      </c>
      <c r="J1084" s="16" t="inlineStr">
        <is>
          <t>SI</t>
        </is>
      </c>
      <c r="K1084" s="16" t="inlineStr">
        <is>
          <t>¿Cuál sería su primera acción?</t>
        </is>
      </c>
      <c r="L1084" s="16" t="inlineStr">
        <is>
          <t>NO</t>
        </is>
      </c>
      <c r="M1084" s="16" t="inlineStr">
        <is>
          <t>comun</t>
        </is>
      </c>
    </row>
    <row r="1085" ht="15" customHeight="1" s="12">
      <c r="A1085" s="16" t="inlineStr">
        <is>
          <t>K142</t>
        </is>
      </c>
      <c r="B1085" s="16" t="inlineStr">
        <is>
          <t>Trabajo en equipo</t>
        </is>
      </c>
      <c r="C1085" s="16" t="inlineStr">
        <is>
          <t>En la entrega del turno del puesto de control del aeropuerto, quien sale omite decir que un cargamento quedó pendiente de verificación. Usted lo descubre dos horas después revisando el registro. Es la tercera vez este mes que la entrega llega incompleta.</t>
        </is>
      </c>
      <c r="D1085" s="16" t="inlineStr">
        <is>
          <t>Registrar el hallazgo y comentarlo en la reunión mensual del grupo</t>
        </is>
      </c>
      <c r="E1085" s="16" t="inlineStr">
        <is>
          <t>Hablar con esa persona y acordar una lista corta de puntos obligatorios</t>
        </is>
      </c>
      <c r="F1085" s="16" t="inlineStr">
        <is>
          <t>Informar el hecho al coordinador para que él corrija al responsable</t>
        </is>
      </c>
      <c r="G1085" s="16" t="n">
        <v>2</v>
      </c>
      <c r="H1085" s="16" t="n">
        <v>3</v>
      </c>
      <c r="I1085" s="16" t="n">
        <v>1</v>
      </c>
      <c r="J1085" s="16" t="inlineStr">
        <is>
          <t>SI</t>
        </is>
      </c>
      <c r="K1085" s="16" t="inlineStr">
        <is>
          <t>¿Cuál es la conducta más efectiva?</t>
        </is>
      </c>
      <c r="L1085" s="16" t="inlineStr">
        <is>
          <t>NO</t>
        </is>
      </c>
      <c r="M1085" s="16" t="inlineStr">
        <is>
          <t>comun</t>
        </is>
      </c>
    </row>
    <row r="1086" ht="15" customHeight="1" s="12">
      <c r="A1086" s="16" t="inlineStr">
        <is>
          <t>K143</t>
        </is>
      </c>
      <c r="B1086" s="16" t="inlineStr">
        <is>
          <t>Instrumentación de decisiones</t>
        </is>
      </c>
      <c r="C1086" s="16" t="inlineStr">
        <is>
          <t>La dirección adopta un formato único para todas las áreas. En la suya, ese formato omite un dato que el grupo usa a diario para priorizar los casos por riesgo. El plazo vence el lunes y la dirección ya rechazó dos solicitudes de excepción de otras áreas.</t>
        </is>
      </c>
      <c r="D1086" s="16" t="inlineStr">
        <is>
          <t>Implementar el formato y presentar el ajuste con la evidencia de uso</t>
        </is>
      </c>
      <c r="E1086" s="16" t="inlineStr">
        <is>
          <t>Implementar el formato tal cual y esperar la evaluación de la dirección</t>
        </is>
      </c>
      <c r="F1086" s="16" t="inlineStr">
        <is>
          <t>Implementar el formato y llevar el dato faltante en un registro aparte</t>
        </is>
      </c>
      <c r="G1086" s="16" t="n">
        <v>3</v>
      </c>
      <c r="H1086" s="16" t="n">
        <v>1</v>
      </c>
      <c r="I1086" s="16" t="n">
        <v>2</v>
      </c>
      <c r="J1086" s="16" t="inlineStr">
        <is>
          <t>SI</t>
        </is>
      </c>
      <c r="K1086" s="16" t="inlineStr">
        <is>
          <t>¿Cuál es la conducta más efectiva?</t>
        </is>
      </c>
      <c r="L1086" s="16" t="inlineStr">
        <is>
          <t>NO</t>
        </is>
      </c>
      <c r="M1086" s="16" t="inlineStr">
        <is>
          <t>comun</t>
        </is>
      </c>
    </row>
  </sheetData>
  <autoFilter ref="A1:J81"/>
  <dataValidations count="3">
    <dataValidation sqref="G2:I1081" showDropDown="0" showInputMessage="0" showErrorMessage="0" allowBlank="0" type="whole" errorStyle="stop" operator="between">
      <formula1>1</formula1>
      <formula2>3</formula2>
    </dataValidation>
    <dataValidation sqref="J2:J1081" showDropDown="0" showInputMessage="0" showErrorMessage="0" allowBlank="0" type="list" errorStyle="stop" operator="between">
      <formula1>"SI,NO"</formula1>
      <formula2>0</formula2>
    </dataValidation>
    <dataValidation sqref="M2:M500" showDropDown="0" showInputMessage="0" showErrorMessage="0" allowBlank="1" type="list" errorStyle="stop" operator="between">
      <formula1>"comun,asistencial"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6" min="1" max="1"/>
    <col width="52" customWidth="1" style="16" min="2" max="2"/>
    <col width="20" customWidth="1" style="16" min="3" max="3"/>
  </cols>
  <sheetData>
    <row r="1" ht="15" customHeight="1" s="12">
      <c r="A1" s="21" t="inlineStr">
        <is>
          <t>concurso</t>
        </is>
      </c>
      <c r="B1" s="21" t="inlineStr">
        <is>
          <t>eje</t>
        </is>
      </c>
      <c r="C1" s="21" t="inlineStr">
        <is>
          <t>preguntas activas</t>
        </is>
      </c>
    </row>
    <row r="2" ht="15" customHeight="1" s="12">
      <c r="A2" s="18" t="inlineStr">
        <is>
          <t>comun</t>
        </is>
      </c>
      <c r="B2" s="18" t="inlineStr">
        <is>
          <t>Acciones constitucionales</t>
        </is>
      </c>
      <c r="C2" s="18">
        <f>COUNTIFS(Funcionales!B:B,A2,Funcionales!C:C,B2,Funcionales!O:O,"SI")</f>
        <v/>
      </c>
    </row>
    <row r="3" ht="15" customHeight="1" s="12">
      <c r="A3" s="18" t="inlineStr">
        <is>
          <t>comun</t>
        </is>
      </c>
      <c r="B3" s="18" t="inlineStr">
        <is>
          <t>Atención al ciudadano y derecho de petición</t>
        </is>
      </c>
      <c r="C3" s="18">
        <f>COUNTIFS(Funcionales!B:B,A3,Funcionales!C:C,B3,Funcionales!O:O,"SI")</f>
        <v/>
      </c>
    </row>
    <row r="4" ht="15" customHeight="1" s="12">
      <c r="A4" s="18" t="inlineStr">
        <is>
          <t>comun</t>
        </is>
      </c>
      <c r="B4" s="18" t="inlineStr">
        <is>
          <t>Contratación estatal y supervisión</t>
        </is>
      </c>
      <c r="C4" s="18">
        <f>COUNTIFS(Funcionales!B:B,A4,Funcionales!C:C,B4,Funcionales!O:O,"SI")</f>
        <v/>
      </c>
    </row>
    <row r="5" ht="15" customHeight="1" s="12">
      <c r="A5" s="18" t="inlineStr">
        <is>
          <t>comun</t>
        </is>
      </c>
      <c r="B5" s="18" t="inlineStr">
        <is>
          <t>Control y responsabilidad de los servidores</t>
        </is>
      </c>
      <c r="C5" s="18">
        <f>COUNTIFS(Funcionales!B:B,A5,Funcionales!C:C,B5,Funcionales!O:O,"SI")</f>
        <v/>
      </c>
    </row>
    <row r="6" ht="15" customHeight="1" s="12">
      <c r="A6" s="18" t="inlineStr">
        <is>
          <t>comun</t>
        </is>
      </c>
      <c r="B6" s="18" t="inlineStr">
        <is>
          <t>Empleo público y carrera administrativa</t>
        </is>
      </c>
      <c r="C6" s="18">
        <f>COUNTIFS(Funcionales!B:B,A6,Funcionales!C:C,B6,Funcionales!O:O,"SI")</f>
        <v/>
      </c>
    </row>
    <row r="7" ht="15" customHeight="1" s="12">
      <c r="A7" s="18" t="inlineStr">
        <is>
          <t>comun</t>
        </is>
      </c>
      <c r="B7" s="18" t="inlineStr">
        <is>
          <t>Estado colombiano y función administrativa</t>
        </is>
      </c>
      <c r="C7" s="18">
        <f>COUNTIFS(Funcionales!B:B,A7,Funcionales!C:C,B7,Funcionales!O:O,"SI")</f>
        <v/>
      </c>
    </row>
    <row r="8" ht="15" customHeight="1" s="12">
      <c r="A8" s="18" t="inlineStr">
        <is>
          <t>comun</t>
        </is>
      </c>
      <c r="B8" s="18" t="inlineStr">
        <is>
          <t>Gestión documental</t>
        </is>
      </c>
      <c r="C8" s="18">
        <f>COUNTIFS(Funcionales!B:B,A8,Funcionales!C:C,B8,Funcionales!O:O,"SI")</f>
        <v/>
      </c>
    </row>
    <row r="9" ht="15" customHeight="1" s="12">
      <c r="A9" s="18" t="inlineStr">
        <is>
          <t>comun</t>
        </is>
      </c>
      <c r="B9" s="18" t="inlineStr">
        <is>
          <t>Gestión pública: MIPG, control interno y riesgos</t>
        </is>
      </c>
      <c r="C9" s="18">
        <f>COUNTIFS(Funcionales!B:B,A9,Funcionales!C:C,B9,Funcionales!O:O,"SI")</f>
        <v/>
      </c>
    </row>
    <row r="10" ht="15" customHeight="1" s="12">
      <c r="A10" s="18" t="inlineStr">
        <is>
          <t>comun</t>
        </is>
      </c>
      <c r="B10" s="18" t="inlineStr">
        <is>
          <t>Planeación e indicadores</t>
        </is>
      </c>
      <c r="C10" s="18">
        <f>COUNTIFS(Funcionales!B:B,A10,Funcionales!C:C,B10,Funcionales!O:O,"SI")</f>
        <v/>
      </c>
    </row>
    <row r="11" ht="15" customHeight="1" s="12">
      <c r="A11" s="18" t="inlineStr">
        <is>
          <t>comun</t>
        </is>
      </c>
      <c r="B11" s="18" t="inlineStr">
        <is>
          <t>Precisión jurídica del verbo</t>
        </is>
      </c>
      <c r="C11" s="18">
        <f>COUNTIFS(Funcionales!B:B,A11,Funcionales!C:C,B11,Funcionales!O:O,"SI")</f>
        <v/>
      </c>
    </row>
    <row r="12" ht="15" customHeight="1" s="12">
      <c r="A12" s="18" t="inlineStr">
        <is>
          <t>comun</t>
        </is>
      </c>
      <c r="B12" s="18" t="inlineStr">
        <is>
          <t>Procedimiento administrativo (CPACA)</t>
        </is>
      </c>
      <c r="C12" s="18">
        <f>COUNTIFS(Funcionales!B:B,A12,Funcionales!C:C,B12,Funcionales!O:O,"SI")</f>
        <v/>
      </c>
    </row>
    <row r="13" ht="15" customHeight="1" s="12">
      <c r="A13" s="18" t="inlineStr">
        <is>
          <t>comun</t>
        </is>
      </c>
      <c r="B13" s="18" t="inlineStr">
        <is>
          <t>Protección de datos y seguridad de la información</t>
        </is>
      </c>
      <c r="C13" s="18">
        <f>COUNTIFS(Funcionales!B:B,A13,Funcionales!C:C,B13,Funcionales!O:O,"SI")</f>
        <v/>
      </c>
    </row>
    <row r="14" ht="15" customHeight="1" s="12">
      <c r="A14" s="18" t="inlineStr">
        <is>
          <t>comun</t>
        </is>
      </c>
      <c r="B14" s="18" t="inlineStr">
        <is>
          <t>Régimen disciplinario</t>
        </is>
      </c>
      <c r="C14" s="18">
        <f>COUNTIFS(Funcionales!B:B,A14,Funcionales!C:C,B14,Funcionales!O:O,"SI")</f>
        <v/>
      </c>
    </row>
    <row r="15" ht="15" customHeight="1" s="12">
      <c r="A15" s="18" t="inlineStr">
        <is>
          <t>comun</t>
        </is>
      </c>
      <c r="B15" s="18" t="inlineStr">
        <is>
          <t>Salud pública y sistema de salud</t>
        </is>
      </c>
      <c r="C15" s="18">
        <f>COUNTIFS(Funcionales!B:B,A15,Funcionales!C:C,B15,Funcionales!O:O,"SI")</f>
        <v/>
      </c>
    </row>
    <row r="16" ht="15" customHeight="1" s="12">
      <c r="A16" s="18" t="inlineStr">
        <is>
          <t>comun</t>
        </is>
      </c>
      <c r="B16" s="18" t="inlineStr">
        <is>
          <t>Talento humano y bienestar</t>
        </is>
      </c>
      <c r="C16" s="18">
        <f>COUNTIFS(Funcionales!B:B,A16,Funcionales!C:C,B16,Funcionales!O:O,"SI")</f>
        <v/>
      </c>
    </row>
    <row r="17" ht="15" customHeight="1" s="12">
      <c r="A17" s="18" t="inlineStr">
        <is>
          <t>comun</t>
        </is>
      </c>
      <c r="B17" s="18" t="inlineStr">
        <is>
          <t>Transparencia y acceso a la información pública</t>
        </is>
      </c>
      <c r="C17" s="18">
        <f>COUNTIFS(Funcionales!B:B,A17,Funcionales!C:C,B17,Funcionales!O:O,"SI")</f>
        <v/>
      </c>
    </row>
    <row r="18" ht="15" customHeight="1" s="12">
      <c r="A18" s="18" t="inlineStr">
        <is>
          <t>comun</t>
        </is>
      </c>
      <c r="B18" s="18" t="inlineStr">
        <is>
          <t>Ética, integridad y conflicto de interés</t>
        </is>
      </c>
      <c r="C18" s="18">
        <f>COUNTIFS(Funcionales!B:B,A18,Funcionales!C:C,B18,Funcionales!O:O,"SI")</f>
        <v/>
      </c>
    </row>
    <row r="19" ht="15" customHeight="1" s="12">
      <c r="A19" s="18" t="inlineStr">
        <is>
          <t>fne</t>
        </is>
      </c>
      <c r="B19" s="18" t="inlineStr">
        <is>
          <t>Acceso a medicamentos y cuidados paliativos</t>
        </is>
      </c>
      <c r="C19" s="18">
        <f>COUNTIFS(Funcionales!B:B,A19,Funcionales!C:C,B19,Funcionales!O:O,"SI")</f>
        <v/>
      </c>
    </row>
    <row r="20" ht="15" customHeight="1" s="12">
      <c r="A20" s="18" t="inlineStr">
        <is>
          <t>fne</t>
        </is>
      </c>
      <c r="B20" s="18" t="inlineStr">
        <is>
          <t>Almacenamiento, logística y destrucción</t>
        </is>
      </c>
      <c r="C20" s="18">
        <f>COUNTIFS(Funcionales!B:B,A20,Funcionales!C:C,B20,Funcionales!O:O,"SI")</f>
        <v/>
      </c>
    </row>
    <row r="21" ht="15" customHeight="1" s="12">
      <c r="A21" s="18" t="inlineStr">
        <is>
          <t>fne</t>
        </is>
      </c>
      <c r="B21" s="18" t="inlineStr">
        <is>
          <t>Comercio internacional de sustancias fiscalizadas</t>
        </is>
      </c>
      <c r="C21" s="18">
        <f>COUNTIFS(Funcionales!B:B,A21,Funcionales!C:C,B21,Funcionales!O:O,"SI")</f>
        <v/>
      </c>
    </row>
    <row r="22" ht="15" customHeight="1" s="12">
      <c r="A22" s="18" t="inlineStr">
        <is>
          <t>fne</t>
        </is>
      </c>
      <c r="B22" s="18" t="inlineStr">
        <is>
          <t>Control y fiscalización de medicamentos de control especial</t>
        </is>
      </c>
      <c r="C22" s="18">
        <f>COUNTIFS(Funcionales!B:B,A22,Funcionales!C:C,B22,Funcionales!O:O,"SI")</f>
        <v/>
      </c>
    </row>
    <row r="23" ht="15" customHeight="1" s="12">
      <c r="A23" s="18" t="inlineStr">
        <is>
          <t>fne</t>
        </is>
      </c>
      <c r="B23" s="18" t="inlineStr">
        <is>
          <t>Gestión presupuestal y financiera</t>
        </is>
      </c>
      <c r="C23" s="18">
        <f>COUNTIFS(Funcionales!B:B,A23,Funcionales!C:C,B23,Funcionales!O:O,"SI")</f>
        <v/>
      </c>
    </row>
    <row r="24" ht="15" customHeight="1" s="12">
      <c r="A24" s="18" t="inlineStr">
        <is>
          <t>fne</t>
        </is>
      </c>
      <c r="B24" s="18" t="inlineStr">
        <is>
          <t>Medicamentos monopolio del Estado</t>
        </is>
      </c>
      <c r="C24" s="18">
        <f>COUNTIFS(Funcionales!B:B,A24,Funcionales!C:C,B24,Funcionales!O:O,"SI")</f>
        <v/>
      </c>
    </row>
    <row r="25" ht="15" customHeight="1" s="12">
      <c r="A25" s="18" t="inlineStr">
        <is>
          <t>fne</t>
        </is>
      </c>
      <c r="B25" s="18" t="inlineStr">
        <is>
          <t>Naturaleza y funciones del FNE</t>
        </is>
      </c>
      <c r="C25" s="18">
        <f>COUNTIFS(Funcionales!B:B,A25,Funcionales!C:C,B25,Funcionales!O:O,"SI")</f>
        <v/>
      </c>
    </row>
    <row r="26" ht="15" customHeight="1" s="12">
      <c r="A26" s="18" t="inlineStr">
        <is>
          <t>fne</t>
        </is>
      </c>
      <c r="B26" s="18" t="inlineStr">
        <is>
          <t>Precisión jurídica del verbo</t>
        </is>
      </c>
      <c r="C26" s="18">
        <f>COUNTIFS(Funcionales!B:B,A26,Funcionales!C:C,B26,Funcionales!O:O,"SI")</f>
        <v/>
      </c>
    </row>
    <row r="27" ht="15" customHeight="1" s="12">
      <c r="A27" s="18" t="inlineStr">
        <is>
          <t>invima</t>
        </is>
      </c>
      <c r="B27" s="18" t="inlineStr">
        <is>
          <t>Alimentos: buenas prácticas y requisitos sanitarios</t>
        </is>
      </c>
      <c r="C27" s="18">
        <f>COUNTIFS(Funcionales!B:B,A27,Funcionales!C:C,B27,Funcionales!O:O,"SI")</f>
        <v/>
      </c>
    </row>
    <row r="28" ht="15" customHeight="1" s="12">
      <c r="A28" s="18" t="inlineStr">
        <is>
          <t>invima</t>
        </is>
      </c>
      <c r="B28" s="18" t="inlineStr">
        <is>
          <t>Alimentos: etiquetado y rotulado</t>
        </is>
      </c>
      <c r="C28" s="18">
        <f>COUNTIFS(Funcionales!B:B,A28,Funcionales!C:C,B28,Funcionales!O:O,"SI")</f>
        <v/>
      </c>
    </row>
    <row r="29" ht="15" customHeight="1" s="12">
      <c r="A29" s="18" t="inlineStr">
        <is>
          <t>invima</t>
        </is>
      </c>
      <c r="B29" s="18" t="inlineStr">
        <is>
          <t>Bebidas alcohólicas</t>
        </is>
      </c>
      <c r="C29" s="18">
        <f>COUNTIFS(Funcionales!B:B,A29,Funcionales!C:C,B29,Funcionales!O:O,"SI")</f>
        <v/>
      </c>
    </row>
    <row r="30" ht="15" customHeight="1" s="12">
      <c r="A30" s="18" t="inlineStr">
        <is>
          <t>invima</t>
        </is>
      </c>
      <c r="B30" s="18" t="inlineStr">
        <is>
          <t>Carne y productos cárnicos</t>
        </is>
      </c>
      <c r="C30" s="18">
        <f>COUNTIFS(Funcionales!B:B,A30,Funcionales!C:C,B30,Funcionales!O:O,"SI")</f>
        <v/>
      </c>
    </row>
    <row r="31" ht="15" customHeight="1" s="12">
      <c r="A31" s="18" t="inlineStr">
        <is>
          <t>invima</t>
        </is>
      </c>
      <c r="B31" s="18" t="inlineStr">
        <is>
          <t>Competencias sanitarias</t>
        </is>
      </c>
      <c r="C31" s="18">
        <f>COUNTIFS(Funcionales!B:B,A31,Funcionales!C:C,B31,Funcionales!O:O,"SI")</f>
        <v/>
      </c>
    </row>
    <row r="32" ht="15" customHeight="1" s="12">
      <c r="A32" s="18" t="inlineStr">
        <is>
          <t>invima</t>
        </is>
      </c>
      <c r="B32" s="18" t="inlineStr">
        <is>
          <t>Cosméticos</t>
        </is>
      </c>
      <c r="C32" s="18">
        <f>COUNTIFS(Funcionales!B:B,A32,Funcionales!C:C,B32,Funcionales!O:O,"SI")</f>
        <v/>
      </c>
    </row>
    <row r="33" ht="15" customHeight="1" s="12">
      <c r="A33" s="18" t="inlineStr">
        <is>
          <t>invima</t>
        </is>
      </c>
      <c r="B33" s="18" t="inlineStr">
        <is>
          <t>Dispositivos médicos y tecnovigilancia</t>
        </is>
      </c>
      <c r="C33" s="18">
        <f>COUNTIFS(Funcionales!B:B,A33,Funcionales!C:C,B33,Funcionales!O:O,"SI")</f>
        <v/>
      </c>
    </row>
    <row r="34" ht="15" customHeight="1" s="12">
      <c r="A34" s="18" t="inlineStr">
        <is>
          <t>invima</t>
        </is>
      </c>
      <c r="B34" s="18" t="inlineStr">
        <is>
          <t>Importaciones y puntos de entrada</t>
        </is>
      </c>
      <c r="C34" s="18">
        <f>COUNTIFS(Funcionales!B:B,A34,Funcionales!C:C,B34,Funcionales!O:O,"SI")</f>
        <v/>
      </c>
    </row>
    <row r="35" ht="15" customHeight="1" s="12">
      <c r="A35" s="18" t="inlineStr">
        <is>
          <t>invima</t>
        </is>
      </c>
      <c r="B35" s="18" t="inlineStr">
        <is>
          <t>Inspección, vigilancia y control sanitario</t>
        </is>
      </c>
      <c r="C35" s="18">
        <f>COUNTIFS(Funcionales!B:B,A35,Funcionales!C:C,B35,Funcionales!O:O,"SI")</f>
        <v/>
      </c>
    </row>
    <row r="36" ht="15" customHeight="1" s="12">
      <c r="A36" s="18" t="inlineStr">
        <is>
          <t>invima</t>
        </is>
      </c>
      <c r="B36" s="18" t="inlineStr">
        <is>
          <t>Laboratorio y toma de muestras</t>
        </is>
      </c>
      <c r="C36" s="18">
        <f>COUNTIFS(Funcionales!B:B,A36,Funcionales!C:C,B36,Funcionales!O:O,"SI")</f>
        <v/>
      </c>
    </row>
    <row r="37" ht="15" customHeight="1" s="12">
      <c r="A37" s="18" t="inlineStr">
        <is>
          <t>invima</t>
        </is>
      </c>
      <c r="B37" s="18" t="inlineStr">
        <is>
          <t>Medicamentos y registro sanitario</t>
        </is>
      </c>
      <c r="C37" s="18">
        <f>COUNTIFS(Funcionales!B:B,A37,Funcionales!C:C,B37,Funcionales!O:O,"SI")</f>
        <v/>
      </c>
    </row>
    <row r="38" ht="15" customHeight="1" s="12">
      <c r="A38" s="18" t="inlineStr">
        <is>
          <t>invima</t>
        </is>
      </c>
      <c r="B38" s="18" t="inlineStr">
        <is>
          <t>Naturaleza y estructura del Invima</t>
        </is>
      </c>
      <c r="C38" s="18">
        <f>COUNTIFS(Funcionales!B:B,A38,Funcionales!C:C,B38,Funcionales!O:O,"SI")</f>
        <v/>
      </c>
    </row>
    <row r="39" ht="15" customHeight="1" s="12">
      <c r="A39" s="18" t="inlineStr">
        <is>
          <t>invima</t>
        </is>
      </c>
      <c r="B39" s="18" t="inlineStr">
        <is>
          <t>Precisión jurídica del verbo</t>
        </is>
      </c>
      <c r="C39" s="18">
        <f>COUNTIFS(Funcionales!B:B,A39,Funcionales!C:C,B39,Funcionales!O:O,"SI")</f>
        <v/>
      </c>
    </row>
    <row r="40" ht="15" customHeight="1" s="12">
      <c r="A40" s="18" t="inlineStr">
        <is>
          <t>invima</t>
        </is>
      </c>
      <c r="B40" s="18" t="inlineStr">
        <is>
          <t>Procedimiento administrativo sancionatorio</t>
        </is>
      </c>
      <c r="C40" s="18">
        <f>COUNTIFS(Funcionales!B:B,A40,Funcionales!C:C,B40,Funcionales!O:O,"SI")</f>
        <v/>
      </c>
    </row>
    <row r="41" ht="15" customHeight="1" s="12">
      <c r="A41" s="18" t="inlineStr">
        <is>
          <t>invima</t>
        </is>
      </c>
      <c r="B41" s="18" t="inlineStr">
        <is>
          <t>Publicidad de productos</t>
        </is>
      </c>
      <c r="C41" s="18">
        <f>COUNTIFS(Funcionales!B:B,A41,Funcionales!C:C,B41,Funcionales!O:O,"SI")</f>
        <v/>
      </c>
    </row>
    <row r="42" ht="15" customHeight="1" s="12">
      <c r="A42" s="18" t="inlineStr">
        <is>
          <t>invima</t>
        </is>
      </c>
      <c r="B42" s="18" t="inlineStr">
        <is>
          <t>Suplementos dietarios y productos especiales</t>
        </is>
      </c>
      <c r="C42" s="18">
        <f>COUNTIFS(Funcionales!B:B,A42,Funcionales!C:C,B42,Funcionales!O:O,"SI")</f>
        <v/>
      </c>
    </row>
    <row r="43" ht="15" customHeight="1" s="12">
      <c r="A43" s="18" t="inlineStr">
        <is>
          <t>invima</t>
        </is>
      </c>
      <c r="B43" s="18" t="inlineStr">
        <is>
          <t>Vigilancia poscomercialización y alertas</t>
        </is>
      </c>
      <c r="C43" s="18">
        <f>COUNTIFS(Funcionales!B:B,A43,Funcionales!C:C,B43,Funcionales!O:O,"SI")</f>
        <v/>
      </c>
    </row>
    <row r="44" ht="15" customHeight="1" s="12">
      <c r="A44" s="19" t="n"/>
      <c r="B44" s="19" t="inlineStr">
        <is>
          <t>Total funcionales activas</t>
        </is>
      </c>
      <c r="C44" s="19">
        <f>SUM(C2:C43)</f>
        <v/>
      </c>
    </row>
    <row r="45" ht="15" customHeight="1" s="12">
      <c r="A45" s="19" t="n"/>
      <c r="B45" s="19" t="inlineStr">
        <is>
          <t>Pool Invima (comun + invima)</t>
        </is>
      </c>
      <c r="C45" s="19">
        <f>COUNTIFS(Funcionales!B:B,"comun",Funcionales!O:O,"SI")+COUNTIFS(Funcionales!B:B,"invima",Funcionales!O:O,"SI")</f>
        <v/>
      </c>
    </row>
    <row r="46" ht="15" customHeight="1" s="12">
      <c r="A46" s="19" t="n"/>
      <c r="B46" s="19" t="inlineStr">
        <is>
          <t>Pool Estupefacientes (comun + fne)</t>
        </is>
      </c>
      <c r="C46" s="19">
        <f>COUNTIFS(Funcionales!B:B,"comun",Funcionales!O:O,"SI")+COUNTIFS(Funcionales!B:B,"fne",Funcionales!O:O,"SI")</f>
        <v/>
      </c>
    </row>
    <row r="47" ht="15" customHeight="1" s="12">
      <c r="A47" s="19" t="n"/>
      <c r="B47" s="19" t="inlineStr">
        <is>
          <t>Comportamentales activas</t>
        </is>
      </c>
      <c r="C47" s="19">
        <f>COUNTIF(Comportamentales!J:J,"SI")</f>
        <v/>
      </c>
    </row>
    <row r="48" ht="15" customHeight="1" s="12">
      <c r="A48" s="19" t="n"/>
      <c r="B48" s="19" t="inlineStr">
        <is>
          <t>Respuestas correctas en A / B / C</t>
        </is>
      </c>
      <c r="C48" s="19">
        <f>COUNTIF(Funcionales!K:K,"A")&amp;" / "&amp;COUNTIF(Funcionales!K:K,"B")&amp;" / "&amp;COUNTIF(Funcionales!K:K,"C")</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2026-09-17T21:03:13Z</dcterms:created>
  <dcterms:modified xmlns:dcterms="http://purl.org/dc/terms/" xmlns:xsi="http://www.w3.org/2001/XMLSchema-instance" xsi:type="dcterms:W3CDTF">2026-09-26T21:44:40Z</dcterms:modified>
  <cp:revision>0</cp:revision>
</cp:coreProperties>
</file>