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ciones" sheetId="1" state="visible" r:id="rId3"/>
    <sheet name="Funcionales" sheetId="2" state="visible" r:id="rId4"/>
    <sheet name="Comportamentales" sheetId="3" state="visible" r:id="rId5"/>
    <sheet name="Resumen" sheetId="4" state="visible" r:id="rId6"/>
  </sheets>
  <definedNames>
    <definedName function="false" hidden="true" localSheetId="2" name="_xlnm._FilterDatabase" vbProcedure="false">Comportamentales!$A$1:$J$81</definedName>
    <definedName function="false" hidden="true" localSheetId="1" name="_xlnm._FilterDatabase" vbProcedure="false">Funcionales!$A$1:$O$421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<sst xmlns="http://schemas.openxmlformats.org/spreadsheetml/2006/main" count="6619" uniqueCount="3599">
  <si>
    <t xml:space="preserve">Banco de preguntas · Simulador CNSC nivel profesional (Invima y Fondo Nacional de Estupefacientes)</t>
  </si>
  <si>
    <t xml:space="preserve">Contenido: 420 preguntas funcionales en 140 casos y 80 situaciones comportamentales. Versión: septiembre de 2026.</t>
  </si>
  <si>
    <t xml:space="preserve">Cómo se usa</t>
  </si>
  <si>
    <t xml:space="preserve">1. La app lee este archivo desde el repositorio de GitHub. Cualquier cambio que subas aquí se refleja en el próximo simulacro.</t>
  </si>
  <si>
    <t xml:space="preserve">2. No cambies el nombre del archivo (banco-preguntas.xlsx), ni el nombre de las hojas, ni los encabezados de la fila 1.</t>
  </si>
  <si>
    <t xml:space="preserve">3. Hoja Funcionales: cada fila es un enunciado. Un caso tiene tres enunciados que comparten caso_id, caso y texto_caso.</t>
  </si>
  <si>
    <t xml:space="preserve">4. concurso: comun (sale en ambos), invima o fne. respuesta: A, B o C. activa: SI o NO (NO la oculta sin borrarla).</t>
  </si>
  <si>
    <t xml:space="preserve">5. La columna porque_no explica por qué las otras dos opciones no sirven; la app la muestra cuando el aspirante falla o pide la respuesta.</t>
  </si>
  <si>
    <t xml:space="preserve">6. Hoja Comportamentales: puntos_a, puntos_b y puntos_c van de 1 (baja) a 3 (actuación esperada). Debe haber exactamente un 3.</t>
  </si>
  <si>
    <t xml:space="preserve">7. Para agregar un caso nuevo, usa un caso_id nuevo (por ejemplo C200) y tres filas con id C200-1, C200-2 y C200-3.</t>
  </si>
  <si>
    <t xml:space="preserve">8. Cada simulacro toma casos al azar repartidos entre ejes; el tamaño se elige en la app.</t>
  </si>
  <si>
    <t xml:space="preserve">Normas verificadas en su texto vigente (normograma del Invima, Secretaría del Senado y FAO-Faolex) para: Ley 9 de 1979, Ley 1437 de 2011, Ley 1122 de 2007,</t>
  </si>
  <si>
    <t xml:space="preserve">Decreto 2078 de 2012, Decreto 677 de 1995 (modificado por el Decreto 1474 de 2023), Decreto 334 de 2022, Decreto 4725 de 2005, Resolución 4816 de 2008,</t>
  </si>
  <si>
    <t xml:space="preserve">Decreto 3249 de 2006, Resolución 2674 de 2013, Resolución 810 de 2021, Resolución 5109 de 2005, Decreto 1500 de 2007, Decreto 2478 de 2018,</t>
  </si>
  <si>
    <t xml:space="preserve">Decreto 1686 de 2012, Resolución 1478 de 2006, Resolución 315 de 2020 y Decreto 4107 de 2011.</t>
  </si>
  <si>
    <t xml:space="preserve">Aviso: preguntas de práctica elaboradas a partir de la normativa citada en la columna fuente. No son preguntas oficiales de la CNSC.</t>
  </si>
  <si>
    <t xml:space="preserve">Las normas cambian: verifica la vigencia antes de usar una pregunta como referencia y desactiva (activa = NO) las que queden desactualizadas.</t>
  </si>
  <si>
    <t xml:space="preserve">id</t>
  </si>
  <si>
    <t xml:space="preserve">concurso</t>
  </si>
  <si>
    <t xml:space="preserve">eje</t>
  </si>
  <si>
    <t xml:space="preserve">caso_id</t>
  </si>
  <si>
    <t xml:space="preserve">caso</t>
  </si>
  <si>
    <t xml:space="preserve">texto_caso</t>
  </si>
  <si>
    <t xml:space="preserve">enunciado</t>
  </si>
  <si>
    <t xml:space="preserve">a</t>
  </si>
  <si>
    <t xml:space="preserve">b</t>
  </si>
  <si>
    <t xml:space="preserve">c</t>
  </si>
  <si>
    <t xml:space="preserve">respuesta</t>
  </si>
  <si>
    <t xml:space="preserve">explicacion</t>
  </si>
  <si>
    <t xml:space="preserve">porque_no</t>
  </si>
  <si>
    <t xml:space="preserve">fuente</t>
  </si>
  <si>
    <t xml:space="preserve">activa</t>
  </si>
  <si>
    <t xml:space="preserve">F001-1</t>
  </si>
  <si>
    <t xml:space="preserve">comun</t>
  </si>
  <si>
    <t xml:space="preserve">Atención al ciudadano y derecho de petición</t>
  </si>
  <si>
    <t xml:space="preserve">C001</t>
  </si>
  <si>
    <t xml:space="preserve">Petición de documentos y consulta</t>
  </si>
  <si>
    <t xml:space="preserve">Un ciudadano radica ante la entidad una petición en la que pide copia de un concepto técnico y, en el mismo escrito, solicita que se le explique cómo se interpreta una norma a cargo de la entidad. Usted es el profesional asignado.</t>
  </si>
  <si>
    <t xml:space="preserve">Para la solicitud de copia del concepto técnico, el término de respuesta que usted debe observar es de</t>
  </si>
  <si>
    <t xml:space="preserve">treinta (30) días hábiles, por requerir revisión técnica del documento.</t>
  </si>
  <si>
    <t xml:space="preserve">diez (10) días hábiles, por tratarse de una solicitud de documentos.</t>
  </si>
  <si>
    <t xml:space="preserve">quince (15) días hábiles, por ser el término general de las peticiones.</t>
  </si>
  <si>
    <t xml:space="preserve">B</t>
  </si>
  <si>
    <t xml:space="preserve">La Ley 1755 de 2015 fija 10 días para peticiones de documentos e información; 15 es el término general y 30 el de consultas.</t>
  </si>
  <si>
    <t xml:space="preserve">Ley 1755 de 2015 (arts. 14 y 17 CPACA)</t>
  </si>
  <si>
    <t xml:space="preserve">SI</t>
  </si>
  <si>
    <t xml:space="preserve">F001-2</t>
  </si>
  <si>
    <t xml:space="preserve">Para la parte del escrito que pide explicar cómo se interpreta la norma, lo procedente es</t>
  </si>
  <si>
    <t xml:space="preserve">responderla en los mismos diez (10) días de la copia, porque vienen en un solo escrito.</t>
  </si>
  <si>
    <t xml:space="preserve">resolverla dentro de los treinta (30) días siguientes a su recepción, por ser una consulta.</t>
  </si>
  <si>
    <t xml:space="preserve">abstenerse de responder, porque la interpretación de normas es exclusiva de los jueces.</t>
  </si>
  <si>
    <t xml:space="preserve">Las consultas sobre materias a cargo de la autoridad se resuelven dentro de los 30 días siguientes a su recepción.</t>
  </si>
  <si>
    <t xml:space="preserve">F001-3</t>
  </si>
  <si>
    <t xml:space="preserve">Si por la complejidad del caso no puede responder dentro del término, usted debe</t>
  </si>
  <si>
    <t xml:space="preserve">trasladar la petición a otra dependencia para que el término empiece a contar de nuevo.</t>
  </si>
  <si>
    <t xml:space="preserve">informar al peticionario antes del vencimiento, explicando el motivo y la fecha de respuesta, sin exceder el doble del término inicial.</t>
  </si>
  <si>
    <t xml:space="preserve">responder cuando tenga la información completa, dejando constancia en el expediente.</t>
  </si>
  <si>
    <t xml:space="preserve">La ampliación exige aviso antes del vencimiento, con motivos y plazo que no puede exceder el doble del término inicial.</t>
  </si>
  <si>
    <t xml:space="preserve">F002-1</t>
  </si>
  <si>
    <t xml:space="preserve">C002</t>
  </si>
  <si>
    <t xml:space="preserve">Petición que no es de su competencia</t>
  </si>
  <si>
    <t xml:space="preserve">Llega a su correo institucional una petición anónima, escrita de forma verbal y confusa, que denuncia un hecho que en realidad corresponde conocer a otra entidad del Estado.</t>
  </si>
  <si>
    <t xml:space="preserve">Sobre el carácter anónimo de la petición, es correcto afirmar que</t>
  </si>
  <si>
    <t xml:space="preserve">debe archivarse de plano, porque toda petición exige identificación.</t>
  </si>
  <si>
    <t xml:space="preserve">puede tramitarse, porque la falta de identificación no impide atenderla cuando existen elementos para actuar.</t>
  </si>
  <si>
    <t xml:space="preserve">solo se tramita si el peticionario se identifica en los cinco días siguientes.</t>
  </si>
  <si>
    <t xml:space="preserve">La Ley 1755 de 2015 no exige identificación para dar trámite cuando hay fundamentos para ello; la reserva de identidad incluso puede solicitarse.</t>
  </si>
  <si>
    <t xml:space="preserve">Ley 1755 de 2015 (arts. 17, 19 y 21 CPACA)</t>
  </si>
  <si>
    <t xml:space="preserve">F002-2</t>
  </si>
  <si>
    <t xml:space="preserve">Como el asunto es de otra entidad, usted debe</t>
  </si>
  <si>
    <t xml:space="preserve">remitir la petición a la autoridad competente dentro de los cinco (5) días siguientes a su recepción e informarlo al peticionario si es posible.</t>
  </si>
  <si>
    <t xml:space="preserve">devolverla al peticionario para que la radique donde corresponde.</t>
  </si>
  <si>
    <t xml:space="preserve">resolverla de fondo, porque ya ingresó a su entidad.</t>
  </si>
  <si>
    <t xml:space="preserve">A</t>
  </si>
  <si>
    <t xml:space="preserve">Ante falta de competencia se informa al interesado y se remite a la autoridad competente dentro de los 5 días siguientes.</t>
  </si>
  <si>
    <t xml:space="preserve">F002-3</t>
  </si>
  <si>
    <t xml:space="preserve">Para aclarar la petición confusa, la actuación correcta es</t>
  </si>
  <si>
    <t xml:space="preserve">requerir al peticionario para que la complete, informándole que cuenta con un mes para hacerlo antes de entenderse desistida.</t>
  </si>
  <si>
    <t xml:space="preserve">interpretarla libremente y resolver lo que usted considere que se pidió.</t>
  </si>
  <si>
    <t xml:space="preserve">negarla por falta de claridad.</t>
  </si>
  <si>
    <t xml:space="preserve">Si la petición está incompleta, se requiere al interesado; si no la completa en un mes, se entiende desistida (art. 17 CPACA).</t>
  </si>
  <si>
    <t xml:space="preserve">F003-1</t>
  </si>
  <si>
    <t xml:space="preserve">Transparencia y acceso a la información pública</t>
  </si>
  <si>
    <t xml:space="preserve">C003</t>
  </si>
  <si>
    <t xml:space="preserve">Solicitud de información con reserva</t>
  </si>
  <si>
    <t xml:space="preserve">Un periodista solicita copia completa de un expediente que incluye información de una investigación en curso y datos personales de trabajadores de un establecimiento.</t>
  </si>
  <si>
    <t xml:space="preserve">Si la entidad decide no entregar parte de la información por estar reservada, debe</t>
  </si>
  <si>
    <t xml:space="preserve">negar mediante acto motivado, indicando las disposiciones legales que sustentan la reserva.</t>
  </si>
  <si>
    <t xml:space="preserve">guardar silencio sobre esa parte, para no revelar su existencia.</t>
  </si>
  <si>
    <t xml:space="preserve">negar verbalmente para evitar dejar rastro escrito.</t>
  </si>
  <si>
    <t xml:space="preserve">La negativa por reserva debe ser motivada e indicar en forma precisa las normas que la sustentan (art. 25 CPACA).</t>
  </si>
  <si>
    <t xml:space="preserve">Ley 1712 de 2014; arts. 25 y 26 CPACA</t>
  </si>
  <si>
    <t xml:space="preserve">F003-2</t>
  </si>
  <si>
    <t xml:space="preserve">Para los datos personales de los trabajadores, la mejor práctica es</t>
  </si>
  <si>
    <t xml:space="preserve">negar el documento completo por contener un dato personal.</t>
  </si>
  <si>
    <t xml:space="preserve">entregar todo, porque la información pública no admite excepciones.</t>
  </si>
  <si>
    <t xml:space="preserve">entregar una versión del documento en la que se protejan o anonimicen esos datos, y suministrar el resto.</t>
  </si>
  <si>
    <t xml:space="preserve">C</t>
  </si>
  <si>
    <t xml:space="preserve">La Ley 1712 de 2014 permite la divulgación parcial: se protege lo exceptuado y se entrega lo demás.</t>
  </si>
  <si>
    <t xml:space="preserve">F003-3</t>
  </si>
  <si>
    <t xml:space="preserve">El periodista insiste en conocer la parte reservada. En ese caso la entidad debe</t>
  </si>
  <si>
    <t xml:space="preserve">entregar la información para evitar una tutela.</t>
  </si>
  <si>
    <t xml:space="preserve">enviar la documentación al tribunal o juez administrativo competente para que decida.</t>
  </si>
  <si>
    <t xml:space="preserve">resolver la insistencia ella misma mediante recurso de apelación.</t>
  </si>
  <si>
    <t xml:space="preserve">Ante la insistencia, la autoridad remite la documentación al juez o tribunal administrativo, que decide si se levanta la reserva (art. 26 CPACA).</t>
  </si>
  <si>
    <t xml:space="preserve">F004-1</t>
  </si>
  <si>
    <t xml:space="preserve">Gestión pública: MIPG, control interno y riesgos</t>
  </si>
  <si>
    <t xml:space="preserve">C004</t>
  </si>
  <si>
    <t xml:space="preserve">Mapa de riesgos del proceso</t>
  </si>
  <si>
    <t xml:space="preserve">Usted participa en la actualización del mapa de riesgos de su proceso. En la revisión se detecta que un riesgo de corrupción identificado el año anterior se materializó.</t>
  </si>
  <si>
    <t xml:space="preserve">Dentro del esquema de líneas de defensa de MIPG, identificar y gestionar los riesgos en la operación diaria corresponde a</t>
  </si>
  <si>
    <t xml:space="preserve">los entes de control externos.</t>
  </si>
  <si>
    <t xml:space="preserve">la tercera línea: la Oficina de Control Interno.</t>
  </si>
  <si>
    <t xml:space="preserve">la primera línea: los líderes de proceso y sus equipos.</t>
  </si>
  <si>
    <t xml:space="preserve">En MIPG la primera línea (líderes y equipos de proceso) gestiona los riesgos en el día a día; la tercera evalúa de forma independiente.</t>
  </si>
  <si>
    <t xml:space="preserve">Decreto 1499 de 2017 (MIPG); Ley 1474 de 2011, art. 73</t>
  </si>
  <si>
    <t xml:space="preserve">F004-2</t>
  </si>
  <si>
    <t xml:space="preserve">Ante la materialización del riesgo de corrupción, lo que corresponde es</t>
  </si>
  <si>
    <t xml:space="preserve">eliminarlo del mapa, porque ya ocurrió.</t>
  </si>
  <si>
    <t xml:space="preserve">informar a las instancias competentes, revisar los controles y actualizar el mapa y el plan de tratamiento.</t>
  </si>
  <si>
    <t xml:space="preserve">esperar la auditoría anual para tomar decisiones.</t>
  </si>
  <si>
    <t xml:space="preserve">Un riesgo materializado obliga a reportar, analizar la falla de los controles y ajustar el mapa y las acciones.</t>
  </si>
  <si>
    <t xml:space="preserve">F004-3</t>
  </si>
  <si>
    <t xml:space="preserve">La evaluación independiente sobre la eficacia de los controles le corresponde a</t>
  </si>
  <si>
    <t xml:space="preserve">la oficina jurídica.</t>
  </si>
  <si>
    <t xml:space="preserve">el mismo líder del proceso, como autoevaluación.</t>
  </si>
  <si>
    <t xml:space="preserve">la Oficina de Control Interno, como tercera línea de defensa.</t>
  </si>
  <si>
    <t xml:space="preserve">La tercera línea de defensa, en cabeza de Control Interno, da aseguramiento independiente.</t>
  </si>
  <si>
    <t xml:space="preserve">F005-1</t>
  </si>
  <si>
    <t xml:space="preserve">Contratación estatal y supervisión</t>
  </si>
  <si>
    <t xml:space="preserve">C005</t>
  </si>
  <si>
    <t xml:space="preserve">Supervisión de un contrato</t>
  </si>
  <si>
    <t xml:space="preserve">Le designan como supervisor de un contrato de prestación de servicios de apoyo logístico. A mitad de la ejecución, el contratista lleva dos entregas incompletas y le ofrece un obsequio 'por la paciencia'.</t>
  </si>
  <si>
    <t xml:space="preserve">Como supervisor, su función consiste en</t>
  </si>
  <si>
    <t xml:space="preserve">hacer seguimiento técnico, administrativo, financiero, contable y jurídico a la ejecución del contrato.</t>
  </si>
  <si>
    <t xml:space="preserve">modificar el objeto del contrato cuando lo considere conveniente.</t>
  </si>
  <si>
    <t xml:space="preserve">ejecutar directamente las actividades que el contratista no alcance.</t>
  </si>
  <si>
    <t xml:space="preserve">La Ley 1474 de 2011 define la supervisión como el seguimiento integral a la ejecución; no incluye modificar el contrato.</t>
  </si>
  <si>
    <t xml:space="preserve">Ley 1474 de 2011, arts. 83 y 84; Ley 1952 de 2019</t>
  </si>
  <si>
    <t xml:space="preserve">F005-2</t>
  </si>
  <si>
    <t xml:space="preserve">Frente a las entregas incompletas, usted debe</t>
  </si>
  <si>
    <t xml:space="preserve">esperar a la liquidación para dejarlo anotado.</t>
  </si>
  <si>
    <t xml:space="preserve">pagar completo, porque el contratista prometió ponerse al día.</t>
  </si>
  <si>
    <t xml:space="preserve">informar oportunamente a la entidad sobre el posible incumplimiento, con los soportes, para que se adelanten las actuaciones correspondientes.</t>
  </si>
  <si>
    <t xml:space="preserve">El supervisor debe informar hechos que puedan constituir incumplimiento; si no lo hace, puede responder solidariamente.</t>
  </si>
  <si>
    <t xml:space="preserve">F005-3</t>
  </si>
  <si>
    <t xml:space="preserve">Sobre el obsequio, lo correcto es</t>
  </si>
  <si>
    <t xml:space="preserve">rechazarlo, porque recibir dádivas con ocasión de sus funciones está prohibido.</t>
  </si>
  <si>
    <t xml:space="preserve">aceptarlo si su valor es bajo.</t>
  </si>
  <si>
    <t xml:space="preserve">aceptarlo y compartirlo con el equipo.</t>
  </si>
  <si>
    <t xml:space="preserve">El régimen disciplinario prohíbe recibir dádivas o beneficios con ocasión del ejercicio de las funciones.</t>
  </si>
  <si>
    <t xml:space="preserve">F006-1</t>
  </si>
  <si>
    <t xml:space="preserve">Ética, integridad y conflicto de interés</t>
  </si>
  <si>
    <t xml:space="preserve">C006</t>
  </si>
  <si>
    <t xml:space="preserve">Parentesco con un vigilado</t>
  </si>
  <si>
    <t xml:space="preserve">A usted le asignan una actuación técnica sobre una empresa cuyo representante legal es su primo hermano. La actuación está programada para mañana y no hay otro profesional disponible.</t>
  </si>
  <si>
    <t xml:space="preserve">Lo primero que debe hacer es</t>
  </si>
  <si>
    <t xml:space="preserve">realizar la actuación con especial rigor, para demostrar que no hay favorecimiento.</t>
  </si>
  <si>
    <t xml:space="preserve">declararse impedido por escrito ante su superior, antes de actuar.</t>
  </si>
  <si>
    <t xml:space="preserve">pedirle a su primo que designe a otra persona para atenderlo.</t>
  </si>
  <si>
    <t xml:space="preserve">El parentesco dentro del cuarto grado de consanguinidad es causal de impedimento (art. 11 CPACA); debe manifestarse antes de actuar.</t>
  </si>
  <si>
    <t xml:space="preserve">Art. 11 CPACA; Ley 2013 de 2019</t>
  </si>
  <si>
    <t xml:space="preserve">F006-2</t>
  </si>
  <si>
    <t xml:space="preserve">Su superior le dice que, por la urgencia, 'nadie se va a enterar'. Usted responde que</t>
  </si>
  <si>
    <t xml:space="preserve">procederá si la empresa firma una declaración de que no habrá favorecimiento.</t>
  </si>
  <si>
    <t xml:space="preserve">procederá, siempre que deje constancia del parentesco.</t>
  </si>
  <si>
    <t xml:space="preserve">el impedimento debe tramitarse igual, y la actuación puede reprogramarse o asignarse a otro funcionario.</t>
  </si>
  <si>
    <t xml:space="preserve">El impedimento no desaparece por la urgencia; debe designarse a otro funcionario o ajustar la programación.</t>
  </si>
  <si>
    <t xml:space="preserve">F006-3</t>
  </si>
  <si>
    <t xml:space="preserve">Para prevenir situaciones similares en su dependencia, la acción más útil es</t>
  </si>
  <si>
    <t xml:space="preserve">proponer que cada profesional actualice su declaración de conflictos de interés y que se revise antes de asignar tareas.</t>
  </si>
  <si>
    <t xml:space="preserve">dejar la revisión de conflictos en manos de cada empresa.</t>
  </si>
  <si>
    <t xml:space="preserve">prohibir que los funcionarios tengan familiares en el sector vigilado.</t>
  </si>
  <si>
    <t xml:space="preserve">La gestión preventiva del conflicto de interés parte de declararlo y verificarlo antes de asignar tareas (Ley 2013 de 2019, MIPG).</t>
  </si>
  <si>
    <t xml:space="preserve">F007-1</t>
  </si>
  <si>
    <t xml:space="preserve">invima</t>
  </si>
  <si>
    <t xml:space="preserve">Inspección, vigilancia y control sanitario</t>
  </si>
  <si>
    <t xml:space="preserve">C007</t>
  </si>
  <si>
    <t xml:space="preserve">Riesgo en planta de alimentos</t>
  </si>
  <si>
    <t xml:space="preserve">Durante una visita a una planta de alimentos, usted encuentra producto terminado almacenado junto a plaguicidas, con evidencia de contaminación cruzada y sin trazabilidad de los lotes. El representante legal le pide que no tome ninguna decisión hasta que llegue su abogado.</t>
  </si>
  <si>
    <t xml:space="preserve">Frente al riesgo encontrado, la actuación que corresponde es</t>
  </si>
  <si>
    <t xml:space="preserve">programar una nueva visita para verificar si la situación persiste.</t>
  </si>
  <si>
    <t xml:space="preserve">aplicar la medida sanitaria de seguridad pertinente y dejarla consignada en el acta, porque es de ejecución inmediata.</t>
  </si>
  <si>
    <t xml:space="preserve">esperar al abogado, porque aplicar una medida sin su presencia vulnera el debido proceso.</t>
  </si>
  <si>
    <t xml:space="preserve">Las medidas sanitarias de seguridad son preventivas, transitorias y de ejecución inmediata cuando existe riesgo para la salud.</t>
  </si>
  <si>
    <t xml:space="preserve">Ley 9 de 1979, art. 576; Resolución 2674 de 2013</t>
  </si>
  <si>
    <t xml:space="preserve">F007-2</t>
  </si>
  <si>
    <t xml:space="preserve">El representante legal anuncia que interpondrá recurso de reposición contra la medida. Usted le explica que</t>
  </si>
  <si>
    <t xml:space="preserve">el recurso procede únicamente si se presenta dentro de los tres días siguientes.</t>
  </si>
  <si>
    <t xml:space="preserve">el recurso suspende la medida hasta que se resuelva.</t>
  </si>
  <si>
    <t xml:space="preserve">contra las medidas sanitarias de seguridad no procede recurso alguno.</t>
  </si>
  <si>
    <t xml:space="preserve">Por su carácter preventivo y transitorio, contra estas medidas no proceden recursos; se levantan cuando desaparecen sus causas.</t>
  </si>
  <si>
    <t xml:space="preserve">F007-3</t>
  </si>
  <si>
    <t xml:space="preserve">Sobre la relación entre la medida aplicada y una eventual sanción, es correcto afirmar que</t>
  </si>
  <si>
    <t xml:space="preserve">la medida es la sanción, por lo cual el caso queda cerrado con el acta.</t>
  </si>
  <si>
    <t xml:space="preserve">la medida solo puede aplicarse después de que exista una sanción en firme.</t>
  </si>
  <si>
    <t xml:space="preserve">la medida no es una sanción y se aplica sin perjuicio del procedimiento sancionatorio.</t>
  </si>
  <si>
    <t xml:space="preserve">La medida sanitaria no es sanción y es independiente del procedimiento sancionatorio.</t>
  </si>
  <si>
    <t xml:space="preserve">F008-1</t>
  </si>
  <si>
    <t xml:space="preserve">Procedimiento administrativo sancionatorio</t>
  </si>
  <si>
    <t xml:space="preserve">C008</t>
  </si>
  <si>
    <t xml:space="preserve">Formulación de cargos</t>
  </si>
  <si>
    <t xml:space="preserve">Tras la averiguación preliminar de un caso de publicidad engañosa de un producto, su coordinador le pide proyectar el acto de formulación de cargos contra la empresa responsable.</t>
  </si>
  <si>
    <t xml:space="preserve">Para garantizar el debido proceso, el acto de formulación de cargos debe señalar</t>
  </si>
  <si>
    <t xml:space="preserve">la sanción definitiva, para que la empresa sepa a qué se expone.</t>
  </si>
  <si>
    <t xml:space="preserve">los hechos, las personas investigadas, las normas presuntamente vulneradas y las sanciones o medidas que serían procedentes.</t>
  </si>
  <si>
    <t xml:space="preserve">solo los hechos, porque las normas se precisan en la decisión final.</t>
  </si>
  <si>
    <t xml:space="preserve">El artículo 47 del CPACA exige precisar hechos, personas, disposiciones presuntamente vulneradas y sanciones o medidas procedentes.</t>
  </si>
  <si>
    <t xml:space="preserve">Ley 1437 de 2011, arts. 47 a 52</t>
  </si>
  <si>
    <t xml:space="preserve">F008-2</t>
  </si>
  <si>
    <t xml:space="preserve">Una vez notificado el acto, la empresa cuenta con un término para presentar descargos y solicitar pruebas de</t>
  </si>
  <si>
    <t xml:space="preserve">cinco (5) días.</t>
  </si>
  <si>
    <t xml:space="preserve">quince (15) días.</t>
  </si>
  <si>
    <t xml:space="preserve">diez (10) días.</t>
  </si>
  <si>
    <t xml:space="preserve">El CPACA otorga 15 días siguientes a la notificación para descargos y solicitud o aporte de pruebas.</t>
  </si>
  <si>
    <t xml:space="preserve">F008-3</t>
  </si>
  <si>
    <t xml:space="preserve">Un colega sugiere dejar el expediente en espera varios años. Usted le advierte que</t>
  </si>
  <si>
    <t xml:space="preserve">el término solo empieza a contar desde la formulación de cargos.</t>
  </si>
  <si>
    <t xml:space="preserve">la facultad sancionatoria no caduca cuando se trata de salud pública.</t>
  </si>
  <si>
    <t xml:space="preserve">la facultad sancionatoria caduca, por regla general, a los tres años de ocurrido el hecho.</t>
  </si>
  <si>
    <t xml:space="preserve">Salvo norma especial, la facultad sancionatoria caduca a los tres años de ocurrido el hecho (art. 52 CPACA).</t>
  </si>
  <si>
    <t xml:space="preserve">F009-1</t>
  </si>
  <si>
    <t xml:space="preserve">Laboratorio y toma de muestras</t>
  </si>
  <si>
    <t xml:space="preserve">C009</t>
  </si>
  <si>
    <t xml:space="preserve">Muestras de un suplemento sospechoso</t>
  </si>
  <si>
    <t xml:space="preserve">En un operativo usted debe tomar muestras de un lote de suplemento dietario sospechoso de estar adulterado, para enviarlas al laboratorio de la entidad.</t>
  </si>
  <si>
    <t xml:space="preserve">Para que el resultado analítico tenga validez, es indispensable</t>
  </si>
  <si>
    <t xml:space="preserve">tomar la muestra, rotularla, sellarla y registrar en el acta los datos que permitan su trazabilidad.</t>
  </si>
  <si>
    <t xml:space="preserve">enviar el producto sin rotular para que el laboratorio lo identifique a ciegas.</t>
  </si>
  <si>
    <t xml:space="preserve">tomar una sola unidad para no afectar el inventario del vigilado.</t>
  </si>
  <si>
    <t xml:space="preserve">Rótulo, sellos y acta sustentan la validez del análisis y el derecho de contradicción.</t>
  </si>
  <si>
    <t xml:space="preserve">Ley 9 de 1979; debido proceso</t>
  </si>
  <si>
    <t xml:space="preserve">F009-2</t>
  </si>
  <si>
    <t xml:space="preserve">El vigilado pregunta qué pasa si no está de acuerdo con el resultado. Usted le informa que</t>
  </si>
  <si>
    <t xml:space="preserve">no tiene opción, porque el laboratorio oficial es la única fuente válida.</t>
  </si>
  <si>
    <t xml:space="preserve">debe contratar un laboratorio privado antes de que la entidad emita el resultado.</t>
  </si>
  <si>
    <t xml:space="preserve">puede ejercer su derecho de contradicción, para lo cual se deja una contramuestra en condiciones adecuadas.</t>
  </si>
  <si>
    <t xml:space="preserve">La contramuestra permite al interesado controvertir el resultado; es parte del debido proceso.</t>
  </si>
  <si>
    <t xml:space="preserve">F009-3</t>
  </si>
  <si>
    <t xml:space="preserve">Al llegar a la oficina nota que uno de los sellos está roto. Lo correcto es</t>
  </si>
  <si>
    <t xml:space="preserve">cambiar el sello y continuar, ya que el contenido no se afectó.</t>
  </si>
  <si>
    <t xml:space="preserve">enviar la muestra sin mencionar la novedad.</t>
  </si>
  <si>
    <t xml:space="preserve">documentar la novedad y consultar si la muestra conserva su validez o debe repetirse la toma.</t>
  </si>
  <si>
    <t xml:space="preserve">Toda ruptura de la cadena de custodia se documenta; ocultarla puede invalidar el resultado.</t>
  </si>
  <si>
    <t xml:space="preserve">F010-1</t>
  </si>
  <si>
    <t xml:space="preserve">Alimentos: buenas prácticas y requisitos sanitarios</t>
  </si>
  <si>
    <t xml:space="preserve">C010</t>
  </si>
  <si>
    <t xml:space="preserve">Nueva línea de producción</t>
  </si>
  <si>
    <t xml:space="preserve">Una empresa le consulta sobre los requisitos para comercializar un nuevo producto y usted, durante la visita, verifica sus condiciones de fabricación bajo la Resolución 2674 de 2013.</t>
  </si>
  <si>
    <t xml:space="preserve">Según la clasificación por riesgo en salud pública, un alimento de alto riesgo requiere para su comercialización</t>
  </si>
  <si>
    <t xml:space="preserve">permiso sanitario.</t>
  </si>
  <si>
    <t xml:space="preserve">notificación sanitaria.</t>
  </si>
  <si>
    <t xml:space="preserve">registro sanitario.</t>
  </si>
  <si>
    <t xml:space="preserve">La Resolución 2674 de 2013 asigna registro sanitario al alto riesgo, permiso al riesgo medio y notificación al riesgo bajo.</t>
  </si>
  <si>
    <t xml:space="preserve">Resolución 2674 de 2013, arts. 14, 26 y 37</t>
  </si>
  <si>
    <t xml:space="preserve">F010-2</t>
  </si>
  <si>
    <t xml:space="preserve">Al revisar el plan de saneamiento, usted verifica que contenga, como mínimo, los programas de</t>
  </si>
  <si>
    <t xml:space="preserve">mercadeo, ventas, publicidad y distribución.</t>
  </si>
  <si>
    <t xml:space="preserve">limpieza y desinfección, residuos sólidos, control de plagas y abastecimiento de agua potable.</t>
  </si>
  <si>
    <t xml:space="preserve">calibración, mantenimiento y compras.</t>
  </si>
  <si>
    <t xml:space="preserve">El plan de saneamiento incluye limpieza y desinfección, desechos sólidos, control de plagas y abastecimiento de agua potable.</t>
  </si>
  <si>
    <t xml:space="preserve">F010-3</t>
  </si>
  <si>
    <t xml:space="preserve">Encuentra a un operario con una herida infectada en la mano manipulando alimentos. Lo correcto es exigir que</t>
  </si>
  <si>
    <t xml:space="preserve">sea retirado de la manipulación de alimentos hasta que desaparezca el riesgo de contaminación.</t>
  </si>
  <si>
    <t xml:space="preserve">firme un compromiso de lavarse las manos con más frecuencia.</t>
  </si>
  <si>
    <t xml:space="preserve">siga trabajando con guantes, sin más medidas.</t>
  </si>
  <si>
    <t xml:space="preserve">Quien presente heridas infectadas o enfermedades transmisibles no debe manipular alimentos mientras exista el riesgo.</t>
  </si>
  <si>
    <t xml:space="preserve">F011-1</t>
  </si>
  <si>
    <t xml:space="preserve">Vigilancia poscomercialización y alertas</t>
  </si>
  <si>
    <t xml:space="preserve">C011</t>
  </si>
  <si>
    <t xml:space="preserve">Reportes de eventos adversos</t>
  </si>
  <si>
    <t xml:space="preserve">En las últimas dos semanas llegan varios reportes de reacciones adversas graves asociadas a un mismo lote de un medicamento inyectable, provenientes de distintas instituciones.</t>
  </si>
  <si>
    <t xml:space="preserve">Desde la farmacovigilancia, la agrupación de reportes en un mismo lote debe tratarse como</t>
  </si>
  <si>
    <t xml:space="preserve">una posible señal que requiere evaluación de causalidad y análisis del producto.</t>
  </si>
  <si>
    <t xml:space="preserve">una coincidencia, hasta que llegue un número mayor de reportes.</t>
  </si>
  <si>
    <t xml:space="preserve">un problema exclusivo de las instituciones que aplicaron el medicamento.</t>
  </si>
  <si>
    <t xml:space="preserve">Varios reportes asociados a un lote constituyen una señal que debe evaluarse de inmediato.</t>
  </si>
  <si>
    <t xml:space="preserve">Programa Nacional de Farmacovigilancia</t>
  </si>
  <si>
    <t xml:space="preserve">F011-2</t>
  </si>
  <si>
    <t xml:space="preserve">Si el análisis indica un riesgo para los pacientes, una actuación proporcional es</t>
  </si>
  <si>
    <t xml:space="preserve">emitir una alerta sanitaria y ordenar las medidas sobre el lote, como su retiro del mercado.</t>
  </si>
  <si>
    <t xml:space="preserve">esperar a que el fabricante decida voluntariamente.</t>
  </si>
  <si>
    <t xml:space="preserve">prohibir de forma permanente todos los medicamentos inyectables del fabricante.</t>
  </si>
  <si>
    <t xml:space="preserve">La medida debe ser proporcional al riesgo: alerta y acción sobre el lote afectado.</t>
  </si>
  <si>
    <t xml:space="preserve">F011-3</t>
  </si>
  <si>
    <t xml:space="preserve">Al redactar la alerta sanitaria, lo más importante es</t>
  </si>
  <si>
    <t xml:space="preserve">omitir el número de lote para no afectar comercialmente al fabricante.</t>
  </si>
  <si>
    <t xml:space="preserve">usar lenguaje técnico para evitar interpretaciones.</t>
  </si>
  <si>
    <t xml:space="preserve">indicar con claridad el producto, el lote, el riesgo y qué deben hacer pacientes y profesionales.</t>
  </si>
  <si>
    <t xml:space="preserve">Una comunicación de riesgo útil identifica el producto y el lote y dice qué hacer, en lenguaje claro.</t>
  </si>
  <si>
    <t xml:space="preserve">F012-1</t>
  </si>
  <si>
    <t xml:space="preserve">Bebidas alcohólicas</t>
  </si>
  <si>
    <t xml:space="preserve">C012</t>
  </si>
  <si>
    <t xml:space="preserve">Aguardiente sospechoso de adulteración</t>
  </si>
  <si>
    <t xml:space="preserve">En un operativo conjunto se encuentra un depósito con botellas de aguardiente sin registro sanitario, envases reutilizados y tapas sin sellos de seguridad.</t>
  </si>
  <si>
    <t xml:space="preserve">El mayor riesgo para la salud que debe descartarse en este producto es</t>
  </si>
  <si>
    <t xml:space="preserve">una graduación alcohólica ligeramente inferior a la del rótulo.</t>
  </si>
  <si>
    <t xml:space="preserve">la presencia de metanol, que puede causar intoxicación grave, ceguera o muerte.</t>
  </si>
  <si>
    <t xml:space="preserve">un contenido de azúcar superior al declarado.</t>
  </si>
  <si>
    <t xml:space="preserve">En bebidas adulteradas el metanol es el riesgo crítico por su toxicidad.</t>
  </si>
  <si>
    <t xml:space="preserve">Decreto 1686 de 2012; Ley 9 de 1979</t>
  </si>
  <si>
    <t xml:space="preserve">F012-2</t>
  </si>
  <si>
    <t xml:space="preserve">Además de aplicar la medida sanitaria y tomar muestras, corresponde</t>
  </si>
  <si>
    <t xml:space="preserve">destruir el producto sin dejar acta para evitar su reutilización.</t>
  </si>
  <si>
    <t xml:space="preserve">poner los hechos en conocimiento de las autoridades competentes, incluida la Fiscalía si hay indicios de delito.</t>
  </si>
  <si>
    <t xml:space="preserve">devolver el producto al tenedor si demuestra que lo compró de buena fe.</t>
  </si>
  <si>
    <t xml:space="preserve">La adulteración puede constituir delito; se informa a las autoridades sin perjuicio de la actuación sanitaria, y todo se documenta.</t>
  </si>
  <si>
    <t xml:space="preserve">F012-3</t>
  </si>
  <si>
    <t xml:space="preserve">En el esquema del Decreto 1686 de 2012, la vigilancia de la fabricación e importación de bebidas alcohólicas le corresponde a</t>
  </si>
  <si>
    <t xml:space="preserve">las secretarías de salud municipales.</t>
  </si>
  <si>
    <t xml:space="preserve">el Invima, mientras que el expendio y la distribución los vigilan las entidades territoriales de salud.</t>
  </si>
  <si>
    <t xml:space="preserve">la Policía Nacional de manera exclusiva.</t>
  </si>
  <si>
    <t xml:space="preserve">El Invima vigila fabricación, hidratación, envase e importación; las entidades territoriales, distribución, transporte y expendio.</t>
  </si>
  <si>
    <t xml:space="preserve">F013-1</t>
  </si>
  <si>
    <t xml:space="preserve">fne</t>
  </si>
  <si>
    <t xml:space="preserve">Medicamentos monopolio del Estado</t>
  </si>
  <si>
    <t xml:space="preserve">C013</t>
  </si>
  <si>
    <t xml:space="preserve">Riesgo de desabastecimiento de morfina</t>
  </si>
  <si>
    <t xml:space="preserve">Un Fondo Rotatorio de Estupefacientes departamental informa que su inventario de morfina alcanzará solo para tres semanas y que dos hospitales de alta complejidad dependen de ese suministro.</t>
  </si>
  <si>
    <t xml:space="preserve">Frente al riesgo de desabastecimiento, la actuación más adecuada es</t>
  </si>
  <si>
    <t xml:space="preserve">esperar el pedido ordinario del próximo trimestre.</t>
  </si>
  <si>
    <t xml:space="preserve">verificar inventarios y consumos, priorizar la distribución y activar el abastecimiento antes de que se agote el producto.</t>
  </si>
  <si>
    <t xml:space="preserve">autorizar a los hospitales para que compren el medicamento directamente a un proveedor privado.</t>
  </si>
  <si>
    <t xml:space="preserve">Los medicamentos monopolio del Estado se gestionan de forma centralizada; ante riesgo se actúa preventivamente sin trasladar la compra a particulares.</t>
  </si>
  <si>
    <t xml:space="preserve">Convención Única de 1961; Resolución 1478 de 2006</t>
  </si>
  <si>
    <t xml:space="preserve">F013-2</t>
  </si>
  <si>
    <t xml:space="preserve">En los departamentos, la entidad que recibe y distribuye estos medicamentos a los establecimientos autorizados es</t>
  </si>
  <si>
    <t xml:space="preserve">la secretaría de hacienda departamental.</t>
  </si>
  <si>
    <t xml:space="preserve">el Fondo Rotatorio de Estupefacientes del departamento.</t>
  </si>
  <si>
    <t xml:space="preserve">cada EPS, directamente desde el fabricante.</t>
  </si>
  <si>
    <t xml:space="preserve">Los Fondos Rotatorios de Estupefacientes, en las secretarías de salud departamentales, son el canal territorial.</t>
  </si>
  <si>
    <t xml:space="preserve">F013-3</t>
  </si>
  <si>
    <t xml:space="preserve">Si el consumo nacional va a superar lo proyectado, debe tenerse en cuenta que</t>
  </si>
  <si>
    <t xml:space="preserve">las necesidades del país se informan a la Junta Internacional de Fiscalización de Estupefacientes, por lo que puede requerirse una previsión suplementaria.</t>
  </si>
  <si>
    <t xml:space="preserve">el país puede importar sin límite, porque los tratados solo regulan sustancias ilícitas.</t>
  </si>
  <si>
    <t xml:space="preserve">basta con informar a la Superintendencia de Industria y Comercio.</t>
  </si>
  <si>
    <t xml:space="preserve">Bajo la Convención Única de 1961 los países presentan previsiones a la JIFE; si se exceden, se tramitan previsiones suplementarias.</t>
  </si>
  <si>
    <t xml:space="preserve">F014-1</t>
  </si>
  <si>
    <t xml:space="preserve">Control y fiscalización de medicamentos de control especial</t>
  </si>
  <si>
    <t xml:space="preserve">C014</t>
  </si>
  <si>
    <t xml:space="preserve">Diferencias de inventario</t>
  </si>
  <si>
    <t xml:space="preserve">Al revisar los reportes de un establecimiento autorizado para manejar medicamentos de control especial, usted encuentra que las existencias físicas de un lote no coinciden con los registros de entradas y salidas.</t>
  </si>
  <si>
    <t xml:space="preserve">Lo primero que corresponde hacer es</t>
  </si>
  <si>
    <t xml:space="preserve">ajustar el registro al conteo físico para que las cifras coincidan.</t>
  </si>
  <si>
    <t xml:space="preserve">documentar la diferencia y requerir los soportes que la expliquen, informando a la instancia competente.</t>
  </si>
  <si>
    <t xml:space="preserve">ignorar la diferencia si es inferior al 5 % del lote.</t>
  </si>
  <si>
    <t xml:space="preserve">Una diferencia puede indicar pérdida o desvío; se documenta, se piden soportes y se informa. Nunca se 'cuadra' el registro.</t>
  </si>
  <si>
    <t xml:space="preserve">Resolución 1478 de 2006, arts. 84 y 97</t>
  </si>
  <si>
    <t xml:space="preserve">F014-2</t>
  </si>
  <si>
    <t xml:space="preserve">El establecimiento dice que dispensó el faltante con fórmulas médicas comunes. Usted le recuerda que</t>
  </si>
  <si>
    <t xml:space="preserve">estos medicamentos deben prescribirse en el recetario oficial dispuesto para medicamentos de control especial.</t>
  </si>
  <si>
    <t xml:space="preserve">la fórmula solo es necesaria para pacientes hospitalizados.</t>
  </si>
  <si>
    <t xml:space="preserve">cualquier fórmula es válida si la firma un médico.</t>
  </si>
  <si>
    <t xml:space="preserve">La Resolución 1478 de 2006 exige el recetario oficial para prescribir medicamentos de control especial.</t>
  </si>
  <si>
    <t xml:space="preserve">F014-3</t>
  </si>
  <si>
    <t xml:space="preserve">Para reducir el riesgo de que el problema se repita, la recomendación técnica más útil es</t>
  </si>
  <si>
    <t xml:space="preserve">llevar los registros solo al cierre del año.</t>
  </si>
  <si>
    <t xml:space="preserve">prohibir al establecimiento manejar estos medicamentos de forma indefinida.</t>
  </si>
  <si>
    <t xml:space="preserve">exigir conciliaciones periódicas entre inventario físico y registros, con responsables definidos.</t>
  </si>
  <si>
    <t xml:space="preserve">La conciliación frecuente con responsables claros detecta diferencias a tiempo.</t>
  </si>
  <si>
    <t xml:space="preserve">F015-1</t>
  </si>
  <si>
    <t xml:space="preserve">C015</t>
  </si>
  <si>
    <t xml:space="preserve">Establecimiento que quiere manejar control especial</t>
  </si>
  <si>
    <t xml:space="preserve">Una clínica nueva quiere comprar y dispensar medicamentos de control especial para su servicio de dolor y cuidado paliativo, y consulta qué debe hacer.</t>
  </si>
  <si>
    <t xml:space="preserve">Antes de adquirir estos medicamentos, la clínica debe</t>
  </si>
  <si>
    <t xml:space="preserve">solicitar a cada paciente una autorización notariada.</t>
  </si>
  <si>
    <t xml:space="preserve">obtener la autorización o inscripción ante la autoridad competente para su manejo.</t>
  </si>
  <si>
    <t xml:space="preserve">comprarlos y reportar después las cantidades.</t>
  </si>
  <si>
    <t xml:space="preserve">El manejo de medicamentos de control especial requiere autorización previa según la Resolución 1478 de 2006.</t>
  </si>
  <si>
    <t xml:space="preserve">Resolución 1478 de 2006, arts. 11 y 14</t>
  </si>
  <si>
    <t xml:space="preserve">F015-2</t>
  </si>
  <si>
    <t xml:space="preserve">Una vez autorizada, una obligación permanente de la clínica es</t>
  </si>
  <si>
    <t xml:space="preserve">reportar solo cuando se agoten.</t>
  </si>
  <si>
    <t xml:space="preserve">no llevar registro para proteger la confidencialidad de los pacientes.</t>
  </si>
  <si>
    <t xml:space="preserve">reportar periódicamente los movimientos de estos medicamentos a la autoridad competente.</t>
  </si>
  <si>
    <t xml:space="preserve">El control se basa en el registro y el reporte periódico de entradas, salidas y existencias.</t>
  </si>
  <si>
    <t xml:space="preserve">F015-3</t>
  </si>
  <si>
    <t xml:space="preserve">El director de la clínica teme que tantos requisitos impidan atender a sus pacientes. Usted le explica que la política de fiscalización busca</t>
  </si>
  <si>
    <t xml:space="preserve">restringir al máximo el uso de opioides, aun a costa del tratamiento del dolor.</t>
  </si>
  <si>
    <t xml:space="preserve">equilibrar el control para evitar desvíos con el acceso oportuno para uso médico.</t>
  </si>
  <si>
    <t xml:space="preserve">que los pacientes adquieran los medicamentos por su cuenta.</t>
  </si>
  <si>
    <t xml:space="preserve">El principio de equilibrio de la fiscalización internacional exige prevenir el desvío sin impedir el acceso médico.</t>
  </si>
  <si>
    <t xml:space="preserve">F016-1</t>
  </si>
  <si>
    <t xml:space="preserve">Comercio internacional de sustancias fiscalizadas</t>
  </si>
  <si>
    <t xml:space="preserve">C016</t>
  </si>
  <si>
    <t xml:space="preserve">Importación de materia prima</t>
  </si>
  <si>
    <t xml:space="preserve">Un laboratorio farmacéutico colombiano pide apoyo para importar una materia prima fiscalizada desde otro país con destino a la fabricación de un medicamento.</t>
  </si>
  <si>
    <t xml:space="preserve">Para que la operación sea legal bajo los tratados internacionales, se requiere</t>
  </si>
  <si>
    <t xml:space="preserve">solo la factura comercial del proveedor.</t>
  </si>
  <si>
    <t xml:space="preserve">la autorización de importación del país importador y la autorización de exportación del país exportador.</t>
  </si>
  <si>
    <t xml:space="preserve">el permiso de la aduana del país de origen, exclusivamente.</t>
  </si>
  <si>
    <t xml:space="preserve">La Convención Única de 1961 establece el sistema de autorizaciones de importación y exportación.</t>
  </si>
  <si>
    <t xml:space="preserve">Convención Única de 1961</t>
  </si>
  <si>
    <t xml:space="preserve">F016-2</t>
  </si>
  <si>
    <t xml:space="preserve">La cantidad que se autorice importar debe ser coherente con</t>
  </si>
  <si>
    <t xml:space="preserve">el precio internacional de la materia prima.</t>
  </si>
  <si>
    <t xml:space="preserve">las previsiones de necesidades del país.</t>
  </si>
  <si>
    <t xml:space="preserve">la capacidad de almacenamiento del laboratorio, sin otro límite.</t>
  </si>
  <si>
    <t xml:space="preserve">Las importaciones deben mantenerse dentro de las previsiones de necesidades comunicadas a la JIFE.</t>
  </si>
  <si>
    <t xml:space="preserve">F016-3</t>
  </si>
  <si>
    <t xml:space="preserve">Al llegar la mercancía se detecta una cantidad mayor a la autorizada. Lo procedente es</t>
  </si>
  <si>
    <t xml:space="preserve">recibir todo, porque el excedente es pequeño.</t>
  </si>
  <si>
    <t xml:space="preserve">devolver el excedente sin dejar registro.</t>
  </si>
  <si>
    <t xml:space="preserve">documentar la diferencia, retener el excedente y reportarlo a las autoridades competentes.</t>
  </si>
  <si>
    <t xml:space="preserve">Cualquier diferencia en sustancias fiscalizadas se documenta y reporta; no se recibe lo no autorizado.</t>
  </si>
  <si>
    <t xml:space="preserve">F017-1</t>
  </si>
  <si>
    <t xml:space="preserve">Almacenamiento, logística y destrucción</t>
  </si>
  <si>
    <t xml:space="preserve">C017</t>
  </si>
  <si>
    <t xml:space="preserve">Bodega de medicamentos fiscalizados</t>
  </si>
  <si>
    <t xml:space="preserve">Usted apoya la gestión de la bodega donde se almacenan medicamentos monopolio del Estado antes de su distribución.</t>
  </si>
  <si>
    <t xml:space="preserve">La condición de seguridad básica de esta bodega es</t>
  </si>
  <si>
    <t xml:space="preserve">acceso restringido, bajo llave y con registro de quién ingresa.</t>
  </si>
  <si>
    <t xml:space="preserve">vigilancia solo en horario nocturno.</t>
  </si>
  <si>
    <t xml:space="preserve">acceso libre para el personal de la entidad, para agilizar despachos.</t>
  </si>
  <si>
    <t xml:space="preserve">Los medicamentos fiscalizados exigen seguridad física y control de acceso.</t>
  </si>
  <si>
    <t xml:space="preserve">Resolución 1478 de 2006, arts. 78 y 79</t>
  </si>
  <si>
    <t xml:space="preserve">F017-2</t>
  </si>
  <si>
    <t xml:space="preserve">Para despachar, el criterio de rotación más adecuado es</t>
  </si>
  <si>
    <t xml:space="preserve">despachar al azar para no concentrar lotes.</t>
  </si>
  <si>
    <t xml:space="preserve">despachar primero lo último que llegó.</t>
  </si>
  <si>
    <t xml:space="preserve">despachar primero lo que vence primero.</t>
  </si>
  <si>
    <t xml:space="preserve">El criterio 'primero en vencer, primero en salir' reduce pérdidas por vencimiento.</t>
  </si>
  <si>
    <t xml:space="preserve">F017-3</t>
  </si>
  <si>
    <t xml:space="preserve">Hay unidades vencidas que deben eliminarse. Lo correcto es</t>
  </si>
  <si>
    <t xml:space="preserve">desecharlas con los residuos comunes.</t>
  </si>
  <si>
    <t xml:space="preserve">donarlas a una institución que las necesite.</t>
  </si>
  <si>
    <t xml:space="preserve">destruirlas según el procedimiento establecido, con acta y la presencia de las autoridades que corresponda.</t>
  </si>
  <si>
    <t xml:space="preserve">La destrucción de medicamentos fiscalizados se documenta en acta y con la vigilancia de la autoridad competente.</t>
  </si>
  <si>
    <t xml:space="preserve">F018-1</t>
  </si>
  <si>
    <t xml:space="preserve">Gestión presupuestal y financiera</t>
  </si>
  <si>
    <t xml:space="preserve">C018</t>
  </si>
  <si>
    <t xml:space="preserve">Compra urgente de medicamentos</t>
  </si>
  <si>
    <t xml:space="preserve">El área técnica le pide tramitar con urgencia la compra de un lote de medicamentos monopolio del Estado. Usted revisa el trámite presupuestal.</t>
  </si>
  <si>
    <t xml:space="preserve">Antes de comprometer recursos, se debe contar con</t>
  </si>
  <si>
    <t xml:space="preserve">la autorización verbal del ordenador del gasto.</t>
  </si>
  <si>
    <t xml:space="preserve">el certificado de disponibilidad presupuestal.</t>
  </si>
  <si>
    <t xml:space="preserve">la factura del proveedor.</t>
  </si>
  <si>
    <t xml:space="preserve">Ningún compromiso puede adquirirse sin certificado de disponibilidad presupuestal previo (Decreto 111 de 1996).</t>
  </si>
  <si>
    <t xml:space="preserve">Decreto 111 de 1996</t>
  </si>
  <si>
    <t xml:space="preserve">F018-2</t>
  </si>
  <si>
    <t xml:space="preserve">Una vez suscrito el contrato, el acto que perfecciona el compromiso y afecta la apropiación de forma definitiva es</t>
  </si>
  <si>
    <t xml:space="preserve">el registro presupuestal.</t>
  </si>
  <si>
    <t xml:space="preserve">el pago al proveedor.</t>
  </si>
  <si>
    <t xml:space="preserve">el acta de inicio.</t>
  </si>
  <si>
    <t xml:space="preserve">El registro presupuestal perfecciona el compromiso y evita que los recursos se destinen a otro fin.</t>
  </si>
  <si>
    <t xml:space="preserve">F018-3</t>
  </si>
  <si>
    <t xml:space="preserve">El proveedor propone entregar y cobrar el próximo año con cargo al presupuesto actual, sin trámite adicional. Usted advierte que</t>
  </si>
  <si>
    <t xml:space="preserve">basta con que el supervisor lo apruebe.</t>
  </si>
  <si>
    <t xml:space="preserve">es válido, porque el dinero ya está apropiado.</t>
  </si>
  <si>
    <t xml:space="preserve">el principio de anualidad limita los compromisos a la vigencia fiscal, salvo figuras autorizadas como las reservas o las vigencias futuras.</t>
  </si>
  <si>
    <t xml:space="preserve">La vigencia fiscal va del 1 de enero al 31 de diciembre; comprometer más allá requiere los mecanismos legales previstos.</t>
  </si>
  <si>
    <t xml:space="preserve">F019-1</t>
  </si>
  <si>
    <t xml:space="preserve">Estado colombiano y función administrativa</t>
  </si>
  <si>
    <t xml:space="preserve">C019</t>
  </si>
  <si>
    <t xml:space="preserve">Principios de la función administrativa</t>
  </si>
  <si>
    <t xml:space="preserve">Su dependencia recibe la instrucción de priorizar los trámites de una empresa porque 'es de un conocido del director'. Usted debe decidir cómo proceder con la cola de solicitudes.</t>
  </si>
  <si>
    <t xml:space="preserve">Atender las solicitudes en el orden de llegada, salvo criterios objetivos de priorización, desarrolla principalmente el principio de</t>
  </si>
  <si>
    <t xml:space="preserve">igualdad e imparcialidad.</t>
  </si>
  <si>
    <t xml:space="preserve">descentralización.</t>
  </si>
  <si>
    <t xml:space="preserve">economía.</t>
  </si>
  <si>
    <t xml:space="preserve">El artículo 209 de la Constitución consagra, entre otros, los principios de igualdad e imparcialidad de la función administrativa.</t>
  </si>
  <si>
    <t xml:space="preserve">Constitución Política, art. 209</t>
  </si>
  <si>
    <t xml:space="preserve">F019-2</t>
  </si>
  <si>
    <t xml:space="preserve">Frente a la instrucción recibida, la actuación correcta es</t>
  </si>
  <si>
    <t xml:space="preserve">cumplirla solo si la empresa paga un trámite prioritario.</t>
  </si>
  <si>
    <t xml:space="preserve">cumplirla, porque viene de un superior jerárquico.</t>
  </si>
  <si>
    <t xml:space="preserve">advertir por escrito que la priorización sin criterio objetivo vulnera los principios de la función administrativa y continuar con el orden establecido.</t>
  </si>
  <si>
    <t xml:space="preserve">La obediencia debida no cubre órdenes contrarias a la Constitución o la ley.</t>
  </si>
  <si>
    <t xml:space="preserve">Constitución Política, arts. 6 y 209</t>
  </si>
  <si>
    <t xml:space="preserve">F019-3</t>
  </si>
  <si>
    <t xml:space="preserve">Según la Constitución, los servidores públicos son responsables por infringir la Constitución y las leyes y, además, por</t>
  </si>
  <si>
    <t xml:space="preserve">omisión o extralimitación en el ejercicio de sus funciones.</t>
  </si>
  <si>
    <t xml:space="preserve">opinar sobre la gestión de la entidad.</t>
  </si>
  <si>
    <t xml:space="preserve">no cumplir las metas del plan de acción.</t>
  </si>
  <si>
    <t xml:space="preserve">El artículo 6 de la Constitución establece esa doble responsabilidad de los servidores públicos.</t>
  </si>
  <si>
    <t xml:space="preserve">Constitución Política, art. 6</t>
  </si>
  <si>
    <t xml:space="preserve">F020-1</t>
  </si>
  <si>
    <t xml:space="preserve">C020</t>
  </si>
  <si>
    <t xml:space="preserve">Sector administrativo de salud</t>
  </si>
  <si>
    <t xml:space="preserve">Un grupo de estudiantes visita la entidad y le pregunta cómo está organizado el sector al que pertenece y quién lidera la política.</t>
  </si>
  <si>
    <t xml:space="preserve">La cabeza del sector administrativo de salud y protección social es</t>
  </si>
  <si>
    <t xml:space="preserve">la Superintendencia Nacional de Salud.</t>
  </si>
  <si>
    <t xml:space="preserve">el Congreso de la República.</t>
  </si>
  <si>
    <t xml:space="preserve">el Ministerio de Salud y Protección Social.</t>
  </si>
  <si>
    <t xml:space="preserve">Cada sector administrativo lo encabeza un ministerio o departamento administrativo (Ley 489 de 1998).</t>
  </si>
  <si>
    <t xml:space="preserve">Ley 489 de 1998, art. 42</t>
  </si>
  <si>
    <t xml:space="preserve">F020-2</t>
  </si>
  <si>
    <t xml:space="preserve">El Sistema General de Seguridad Social en Salud fue creado por</t>
  </si>
  <si>
    <t xml:space="preserve">la Ley 100 de 1993.</t>
  </si>
  <si>
    <t xml:space="preserve">la Ley 9 de 1979.</t>
  </si>
  <si>
    <t xml:space="preserve">la Ley 1437 de 2011.</t>
  </si>
  <si>
    <t xml:space="preserve">La Ley 100 de 1993 creó el sistema y, en su artículo 245, el Invima.</t>
  </si>
  <si>
    <t xml:space="preserve">Ley 100 de 1993</t>
  </si>
  <si>
    <t xml:space="preserve">F020-3</t>
  </si>
  <si>
    <t xml:space="preserve">La Ley Estatutaria 1751 de 2015 reconoce la salud como</t>
  </si>
  <si>
    <t xml:space="preserve">un derecho que solo se garantiza a los afiliados cotizantes.</t>
  </si>
  <si>
    <t xml:space="preserve">un servicio público opcional.</t>
  </si>
  <si>
    <t xml:space="preserve">un derecho fundamental autónomo.</t>
  </si>
  <si>
    <t xml:space="preserve">La Ley 1751 de 2015 regula la salud como derecho fundamental.</t>
  </si>
  <si>
    <t xml:space="preserve">Ley 1751 de 2015, art. 2</t>
  </si>
  <si>
    <t xml:space="preserve">F021-1</t>
  </si>
  <si>
    <t xml:space="preserve">Acciones constitucionales</t>
  </si>
  <si>
    <t xml:space="preserve">C021</t>
  </si>
  <si>
    <t xml:space="preserve">Tutela por una petición sin respuesta</t>
  </si>
  <si>
    <t xml:space="preserve">La entidad recibe la notificación de una acción de tutela porque no respondió a tiempo un derecho de petición. Usted debe proyectar la respuesta al juzgado.</t>
  </si>
  <si>
    <t xml:space="preserve">Para decidir la tutela, el juez cuenta, por regla general, con un término de</t>
  </si>
  <si>
    <t xml:space="preserve">treinta (30) días.</t>
  </si>
  <si>
    <t xml:space="preserve">tres (3) meses.</t>
  </si>
  <si>
    <t xml:space="preserve">El Decreto 2591 de 1991 fija diez días para fallar la tutela desde su solicitud.</t>
  </si>
  <si>
    <t xml:space="preserve">Decreto 2591 de 1991, art. 29</t>
  </si>
  <si>
    <t xml:space="preserve">F021-2</t>
  </si>
  <si>
    <t xml:space="preserve">Si el fallo ordena responder la petición, la entidad debe</t>
  </si>
  <si>
    <t xml:space="preserve">esperar a que el peticionario vuelva a radicar la solicitud.</t>
  </si>
  <si>
    <t xml:space="preserve">cumplir cuando termine la impugnación, aunque no se haya concedido efecto suspensivo.</t>
  </si>
  <si>
    <t xml:space="preserve">cumplir dentro del plazo fijado por el juez, que en principio no excede de 48 horas.</t>
  </si>
  <si>
    <t xml:space="preserve">El fallo de tutela es de cumplimiento inmediato; el plazo no puede exceder de 48 horas, y la impugnación no suspende su cumplimiento.</t>
  </si>
  <si>
    <t xml:space="preserve">Decreto 2591 de 1991, arts. 23 y 31</t>
  </si>
  <si>
    <t xml:space="preserve">F021-3</t>
  </si>
  <si>
    <t xml:space="preserve">Si la entidad no está de acuerdo con el fallo, puede impugnarlo dentro de los</t>
  </si>
  <si>
    <t xml:space="preserve">diez (10) días hábiles siguientes.</t>
  </si>
  <si>
    <t xml:space="preserve">tres (3) días siguientes a su notificación.</t>
  </si>
  <si>
    <t xml:space="preserve">treinta (30) días siguientes.</t>
  </si>
  <si>
    <t xml:space="preserve">La impugnación del fallo de tutela se presenta dentro de los tres días siguientes a su notificación.</t>
  </si>
  <si>
    <t xml:space="preserve">Decreto 2591 de 1991, art. 31</t>
  </si>
  <si>
    <t xml:space="preserve">F022-1</t>
  </si>
  <si>
    <t xml:space="preserve">Régimen disciplinario</t>
  </si>
  <si>
    <t xml:space="preserve">C022</t>
  </si>
  <si>
    <t xml:space="preserve">Falta de un compañero</t>
  </si>
  <si>
    <t xml:space="preserve">Usted se entera de que un compañero alteró la fecha de un acta de visita para que pareciera realizada dentro del plazo.</t>
  </si>
  <si>
    <t xml:space="preserve">Frente a lo que conoce, su deber como servidor público es</t>
  </si>
  <si>
    <t xml:space="preserve">hablar con su compañero y guardar reserva si promete no repetirlo.</t>
  </si>
  <si>
    <t xml:space="preserve">poner los hechos en conocimiento de la autoridad competente.</t>
  </si>
  <si>
    <t xml:space="preserve">esperar a que un tercero presente la queja.</t>
  </si>
  <si>
    <t xml:space="preserve">Los servidores deben denunciar los delitos y faltas disciplinarias de los que tengan conocimiento.</t>
  </si>
  <si>
    <t xml:space="preserve">Ley 1952 de 2019, deberes</t>
  </si>
  <si>
    <t xml:space="preserve">F022-2</t>
  </si>
  <si>
    <t xml:space="preserve">Durante la investigación, su compañero debe ser tratado bajo el principio de</t>
  </si>
  <si>
    <t xml:space="preserve">responsabilidad objetiva.</t>
  </si>
  <si>
    <t xml:space="preserve">culpabilidad presunta.</t>
  </si>
  <si>
    <t xml:space="preserve">presunción de inocencia.</t>
  </si>
  <si>
    <t xml:space="preserve">En materia disciplinaria está proscrita la responsabilidad objetiva y rige la presunción de inocencia.</t>
  </si>
  <si>
    <t xml:space="preserve">Ley 1952 de 2019, arts. 10 y 14</t>
  </si>
  <si>
    <t xml:space="preserve">F022-3</t>
  </si>
  <si>
    <t xml:space="preserve">Si se tratara de una falta leve cometida con culpa, la sanción prevista es</t>
  </si>
  <si>
    <t xml:space="preserve">destitución e inhabilidad general.</t>
  </si>
  <si>
    <t xml:space="preserve">amonestación escrita.</t>
  </si>
  <si>
    <t xml:space="preserve">suspensión en el ejercicio del cargo.</t>
  </si>
  <si>
    <t xml:space="preserve">La Ley 1952 de 2019 asigna amonestación escrita a las faltas leves culposas.</t>
  </si>
  <si>
    <t xml:space="preserve">Ley 1952 de 2019, art. 48</t>
  </si>
  <si>
    <t xml:space="preserve">F023-1</t>
  </si>
  <si>
    <t xml:space="preserve">Gestión documental</t>
  </si>
  <si>
    <t xml:space="preserve">C023</t>
  </si>
  <si>
    <t xml:space="preserve">Organización de expedientes</t>
  </si>
  <si>
    <t xml:space="preserve">Su grupo tiene cajas con expedientes de visitas de varios años, mezclados y sin inventario. Le piden organizar el archivo de gestión.</t>
  </si>
  <si>
    <t xml:space="preserve">El instrumento que indica cuánto tiempo se conserva cada serie documental y su disposición final es</t>
  </si>
  <si>
    <t xml:space="preserve">la tabla de retención documental.</t>
  </si>
  <si>
    <t xml:space="preserve">el plan anual de adquisiciones.</t>
  </si>
  <si>
    <t xml:space="preserve">el manual de funciones.</t>
  </si>
  <si>
    <t xml:space="preserve">Las TRD definen tiempos de retención y disposición final de las series documentales.</t>
  </si>
  <si>
    <t xml:space="preserve">Ley 594 de 2000</t>
  </si>
  <si>
    <t xml:space="preserve">F023-2</t>
  </si>
  <si>
    <t xml:space="preserve">Al ordenar cada expediente, debe respetarse el principio de</t>
  </si>
  <si>
    <t xml:space="preserve">orden original y procedencia.</t>
  </si>
  <si>
    <t xml:space="preserve">orden alfabético del nombre del funcionario.</t>
  </si>
  <si>
    <t xml:space="preserve">orden de importancia del documento.</t>
  </si>
  <si>
    <t xml:space="preserve">La archivística exige conservar la procedencia y el orden en que se produjeron los documentos.</t>
  </si>
  <si>
    <t xml:space="preserve">Ley 594 de 2000; normas AGN</t>
  </si>
  <si>
    <t xml:space="preserve">F023-3</t>
  </si>
  <si>
    <t xml:space="preserve">Encuentra documentos que ya cumplieron su tiempo de retención. Para eliminarlos se requiere</t>
  </si>
  <si>
    <t xml:space="preserve">botarlos, porque ya no se necesitan.</t>
  </si>
  <si>
    <t xml:space="preserve">escanearlos y destruir los originales sin registro.</t>
  </si>
  <si>
    <t xml:space="preserve">aplicar lo que diga la TRD y contar con la aprobación de la instancia competente, dejando acta.</t>
  </si>
  <si>
    <t xml:space="preserve">La eliminación documental sigue las TRD y requiere aprobación y registro.</t>
  </si>
  <si>
    <t xml:space="preserve">F024-1</t>
  </si>
  <si>
    <t xml:space="preserve">Protección de datos y seguridad de la información</t>
  </si>
  <si>
    <t xml:space="preserve">C024</t>
  </si>
  <si>
    <t xml:space="preserve">Base de datos con información de salud</t>
  </si>
  <si>
    <t xml:space="preserve">Su grupo administra una base de datos con información de pacientes que reportaron eventos adversos. Un proveedor externo pide una copia 'para hacer estadísticas'.</t>
  </si>
  <si>
    <t xml:space="preserve">La información sobre la salud de una persona se considera, según la Ley 1581 de 2012,</t>
  </si>
  <si>
    <t xml:space="preserve">un dato sensible.</t>
  </si>
  <si>
    <t xml:space="preserve">un dato semiprivado de libre circulación.</t>
  </si>
  <si>
    <t xml:space="preserve">un dato público.</t>
  </si>
  <si>
    <t xml:space="preserve">Los datos relativos a la salud son sensibles y tienen protección reforzada.</t>
  </si>
  <si>
    <t xml:space="preserve">Ley 1581 de 2012, art. 5</t>
  </si>
  <si>
    <t xml:space="preserve">F024-2</t>
  </si>
  <si>
    <t xml:space="preserve">Frente a la solicitud del proveedor, lo correcto es</t>
  </si>
  <si>
    <t xml:space="preserve">entregarla, porque las estadísticas benefician a todos.</t>
  </si>
  <si>
    <t xml:space="preserve">no entregar la base sin una finalidad legítima, una autorización o fundamento legal y medidas de protección como la anonimización.</t>
  </si>
  <si>
    <t xml:space="preserve">entregarla si el proveedor firma que la cuidará.</t>
  </si>
  <si>
    <t xml:space="preserve">El tratamiento de datos debe respetar los principios de finalidad, circulación restringida y seguridad.</t>
  </si>
  <si>
    <t xml:space="preserve">Ley 1581 de 2012, art. 4</t>
  </si>
  <si>
    <t xml:space="preserve">F024-3</t>
  </si>
  <si>
    <t xml:space="preserve">Recibe un correo que parece institucional y le pide ingresar su contraseña en un enlace. Usted</t>
  </si>
  <si>
    <t xml:space="preserve">ingresa la contraseña para verificar si es real.</t>
  </si>
  <si>
    <t xml:space="preserve">no ingresa datos y reporta el correo al área de seguridad de la información.</t>
  </si>
  <si>
    <t xml:space="preserve">reenvía el correo a sus compañeros para advertirles, con el enlace activo.</t>
  </si>
  <si>
    <t xml:space="preserve">Ante un posible phishing se evita interactuar y se reporta por el canal definido.</t>
  </si>
  <si>
    <t xml:space="preserve">Política de seguridad de la información</t>
  </si>
  <si>
    <t xml:space="preserve">F025-1</t>
  </si>
  <si>
    <t xml:space="preserve">Planeación e indicadores</t>
  </si>
  <si>
    <t xml:space="preserve">C025</t>
  </si>
  <si>
    <t xml:space="preserve">Tablero de indicadores</t>
  </si>
  <si>
    <t xml:space="preserve">Le piden construir indicadores para medir la gestión de su grupo y preparar el insumo del plan anual de adquisiciones.</t>
  </si>
  <si>
    <t xml:space="preserve">Un indicador que mide el porcentaje de visitas programadas que se realizaron es de</t>
  </si>
  <si>
    <t xml:space="preserve">impacto.</t>
  </si>
  <si>
    <t xml:space="preserve">eficacia.</t>
  </si>
  <si>
    <t xml:space="preserve">eficiencia.</t>
  </si>
  <si>
    <t xml:space="preserve">La eficacia mide el grado de cumplimiento de metas; la eficiencia relaciona resultados con recursos.</t>
  </si>
  <si>
    <t xml:space="preserve">Guía de indicadores de gestión, Función Pública</t>
  </si>
  <si>
    <t xml:space="preserve">F025-2</t>
  </si>
  <si>
    <t xml:space="preserve">Un indicador que relaciona el costo total con el número de visitas realizadas mide la</t>
  </si>
  <si>
    <t xml:space="preserve">satisfacción.</t>
  </si>
  <si>
    <t xml:space="preserve">Relacionar resultados con recursos es medir eficiencia.</t>
  </si>
  <si>
    <t xml:space="preserve">F025-3</t>
  </si>
  <si>
    <t xml:space="preserve">El plan anual de adquisiciones de la entidad debe publicarse en el SECOP</t>
  </si>
  <si>
    <t xml:space="preserve">solo si la entidad lo decide.</t>
  </si>
  <si>
    <t xml:space="preserve">cuando termine la primera contratación.</t>
  </si>
  <si>
    <t xml:space="preserve">a más tardar el 31 de enero de cada año.</t>
  </si>
  <si>
    <t xml:space="preserve">El Decreto 1082 de 2015 ordena publicar el plan anual de adquisiciones a más tardar el 31 de enero.</t>
  </si>
  <si>
    <t xml:space="preserve">Decreto 1082 de 2015</t>
  </si>
  <si>
    <t xml:space="preserve">F026-1</t>
  </si>
  <si>
    <t xml:space="preserve">C026</t>
  </si>
  <si>
    <t xml:space="preserve">Modalidades de selección</t>
  </si>
  <si>
    <t xml:space="preserve">La entidad necesita contratar tres cosas: una consultoría para rediseñar un proceso, un abogado para apoyar la gestión jurídica y una obra de adecuación de gran valor.</t>
  </si>
  <si>
    <t xml:space="preserve">Para la consultoría, la modalidad de selección aplicable es</t>
  </si>
  <si>
    <t xml:space="preserve">la mínima cuantía.</t>
  </si>
  <si>
    <t xml:space="preserve">el concurso de méritos.</t>
  </si>
  <si>
    <t xml:space="preserve">la subasta inversa.</t>
  </si>
  <si>
    <t xml:space="preserve">Los servicios de consultoría se seleccionan por concurso de méritos (Ley 1150 de 2007).</t>
  </si>
  <si>
    <t xml:space="preserve">Ley 1150 de 2007, art. 2</t>
  </si>
  <si>
    <t xml:space="preserve">F026-2</t>
  </si>
  <si>
    <t xml:space="preserve">Para el abogado persona natural que prestará servicios profesionales, procede</t>
  </si>
  <si>
    <t xml:space="preserve">el concurso de méritos abierto.</t>
  </si>
  <si>
    <t xml:space="preserve">la licitación pública.</t>
  </si>
  <si>
    <t xml:space="preserve">la contratación directa.</t>
  </si>
  <si>
    <t xml:space="preserve">La prestación de servicios profesionales y de apoyo a la gestión es causal de contratación directa.</t>
  </si>
  <si>
    <t xml:space="preserve">F026-3</t>
  </si>
  <si>
    <t xml:space="preserve">La regla general para seleccionar contratistas en el Estado es</t>
  </si>
  <si>
    <t xml:space="preserve">la invitación privada.</t>
  </si>
  <si>
    <t xml:space="preserve">La licitación pública es la regla general; las demás modalidades son excepciones regladas.</t>
  </si>
  <si>
    <t xml:space="preserve">F027-1</t>
  </si>
  <si>
    <t xml:space="preserve">C027</t>
  </si>
  <si>
    <t xml:space="preserve">Atención incluyente</t>
  </si>
  <si>
    <t xml:space="preserve">Una persona con discapacidad auditiva llega a la sede para presentar una queja y usted no conoce la lengua de señas.</t>
  </si>
  <si>
    <t xml:space="preserve">La actuación adecuada es</t>
  </si>
  <si>
    <t xml:space="preserve">indicarle que la presente por escrito en otra sede.</t>
  </si>
  <si>
    <t xml:space="preserve">hacer los ajustes razonables para comunicarse, como apoyarse en intérprete o en el Centro de Relevo, y recibir la queja.</t>
  </si>
  <si>
    <t xml:space="preserve">pedirle que regrese acompañado de alguien que hable por ella.</t>
  </si>
  <si>
    <t xml:space="preserve">Las entidades deben garantizar accesibilidad y ajustes razonables en la atención.</t>
  </si>
  <si>
    <t xml:space="preserve">Ley 1618 de 2013</t>
  </si>
  <si>
    <t xml:space="preserve">F027-2</t>
  </si>
  <si>
    <t xml:space="preserve">Una queja se diferencia de un reclamo en que la queja</t>
  </si>
  <si>
    <t xml:space="preserve">exige la solución de una deficiencia en un servicio.</t>
  </si>
  <si>
    <t xml:space="preserve">expresa inconformidad con la conducta de un servidor público.</t>
  </si>
  <si>
    <t xml:space="preserve">propone una mejora al servicio.</t>
  </si>
  <si>
    <t xml:space="preserve">La queja se refiere a la conducta de servidores; el reclamo, a la prestación del servicio.</t>
  </si>
  <si>
    <t xml:space="preserve">Guía de PQRSD</t>
  </si>
  <si>
    <t xml:space="preserve">F027-3</t>
  </si>
  <si>
    <t xml:space="preserve">Al redactar la respuesta, el principio de lenguaje claro implica</t>
  </si>
  <si>
    <t xml:space="preserve">transcribir la norma aplicable sin explicación.</t>
  </si>
  <si>
    <t xml:space="preserve">frases cortas, términos comprensibles y explicar qué debe hacer la persona.</t>
  </si>
  <si>
    <t xml:space="preserve">usar el lenguaje técnico completo para evitar ambigüedades.</t>
  </si>
  <si>
    <t xml:space="preserve">El lenguaje claro busca que el ciudadano entienda y pueda actuar.</t>
  </si>
  <si>
    <t xml:space="preserve">Programa Nacional de Lenguaje Claro</t>
  </si>
  <si>
    <t xml:space="preserve">F028-1</t>
  </si>
  <si>
    <t xml:space="preserve">Empleo público y carrera administrativa</t>
  </si>
  <si>
    <t xml:space="preserve">C028</t>
  </si>
  <si>
    <t xml:space="preserve">Período de prueba</t>
  </si>
  <si>
    <t xml:space="preserve">Usted gana el concurso y es nombrado en período de prueba. Un compañero nuevo le pregunta cómo funciona la carrera administrativa.</t>
  </si>
  <si>
    <t xml:space="preserve">La entidad responsable de administrar y vigilar la carrera administrativa es</t>
  </si>
  <si>
    <t xml:space="preserve">cada entidad de forma autónoma.</t>
  </si>
  <si>
    <t xml:space="preserve">el Departamento Administrativo de la Función Pública.</t>
  </si>
  <si>
    <t xml:space="preserve">la Comisión Nacional del Servicio Civil.</t>
  </si>
  <si>
    <t xml:space="preserve">La Constitución y la Ley 909 de 2004 asignan a la CNSC la administración y vigilancia de la carrera.</t>
  </si>
  <si>
    <t xml:space="preserve">Constitución Política, art. 130</t>
  </si>
  <si>
    <t xml:space="preserve">F028-2</t>
  </si>
  <si>
    <t xml:space="preserve">El período de prueba tiene una duración de</t>
  </si>
  <si>
    <t xml:space="preserve">un (1) año.</t>
  </si>
  <si>
    <t xml:space="preserve">seis (6) meses.</t>
  </si>
  <si>
    <t xml:space="preserve">La Ley 909 de 2004 fija el período de prueba en seis meses.</t>
  </si>
  <si>
    <t xml:space="preserve">Ley 909 de 2004, art. 31</t>
  </si>
  <si>
    <t xml:space="preserve">F028-3</t>
  </si>
  <si>
    <t xml:space="preserve">Si al final del período de prueba la evaluación del desempeño es satisfactoria, el empleado</t>
  </si>
  <si>
    <t xml:space="preserve">adquiere derechos de carrera y se inscribe en el registro público de carrera.</t>
  </si>
  <si>
    <t xml:space="preserve">pasa a ser empleado provisional.</t>
  </si>
  <si>
    <t xml:space="preserve">debe presentar un nuevo concurso.</t>
  </si>
  <si>
    <t xml:space="preserve">Superado el período de prueba, el empleado es inscrito en el Registro Público de Carrera.</t>
  </si>
  <si>
    <t xml:space="preserve">F029-1</t>
  </si>
  <si>
    <t xml:space="preserve">Dispositivos médicos y tecnovigilancia</t>
  </si>
  <si>
    <t xml:space="preserve">C029</t>
  </si>
  <si>
    <t xml:space="preserve">Clasificación de un dispositivo</t>
  </si>
  <si>
    <t xml:space="preserve">Una empresa quiere importar un dispositivo médico implantable y otro de bajo riesgo, y pide orientación sobre su clasificación y vigilancia.</t>
  </si>
  <si>
    <t xml:space="preserve">Según el Decreto 4725 de 2005, los dispositivos médicos se clasifican por riesgo en las clases</t>
  </si>
  <si>
    <t xml:space="preserve">A, B, C y D.</t>
  </si>
  <si>
    <t xml:space="preserve">básico, intermedio y avanzado.</t>
  </si>
  <si>
    <t xml:space="preserve">I, IIa, IIb y III.</t>
  </si>
  <si>
    <t xml:space="preserve">El Decreto 4725 de 2005 clasifica los dispositivos en clases I, IIa, IIb y III.</t>
  </si>
  <si>
    <t xml:space="preserve">Decreto 4725 de 2005</t>
  </si>
  <si>
    <t xml:space="preserve">F029-2</t>
  </si>
  <si>
    <t xml:space="preserve">La clase que representa el mayor riesgo es la</t>
  </si>
  <si>
    <t xml:space="preserve">III.</t>
  </si>
  <si>
    <t xml:space="preserve">I.</t>
  </si>
  <si>
    <t xml:space="preserve">IIa.</t>
  </si>
  <si>
    <t xml:space="preserve">La clase III agrupa los dispositivos de muy alto riesgo.</t>
  </si>
  <si>
    <t xml:space="preserve">F029-3</t>
  </si>
  <si>
    <t xml:space="preserve">Si un dispositivo implantado se asocia a un incidente adverso serio, la institución debe reportarlo al</t>
  </si>
  <si>
    <t xml:space="preserve">programa de tecnovigilancia.</t>
  </si>
  <si>
    <t xml:space="preserve">área de compras del proveedor.</t>
  </si>
  <si>
    <t xml:space="preserve">programa de farmacovigilancia exclusivamente.</t>
  </si>
  <si>
    <t xml:space="preserve">La Resolución 4816 de 2008 reglamenta el Programa Nacional de Tecnovigilancia.</t>
  </si>
  <si>
    <t xml:space="preserve">Resolución 4816 de 2008</t>
  </si>
  <si>
    <t xml:space="preserve">F030-1</t>
  </si>
  <si>
    <t xml:space="preserve">Cosméticos</t>
  </si>
  <si>
    <t xml:space="preserve">C030</t>
  </si>
  <si>
    <t xml:space="preserve">Crema con promesas terapéuticas</t>
  </si>
  <si>
    <t xml:space="preserve">En una revisión de productos en línea, usted encuentra una crema cosmética que promete 'curar la psoriasis' y no aparece con notificación sanitaria.</t>
  </si>
  <si>
    <t xml:space="preserve">Para comercializar un cosmético en Colombia se requiere</t>
  </si>
  <si>
    <t xml:space="preserve">notificación sanitaria obligatoria, conforme a la normativa andina.</t>
  </si>
  <si>
    <t xml:space="preserve">solo el permiso de la cámara de comercio.</t>
  </si>
  <si>
    <t xml:space="preserve">registro sanitario con evaluación farmacológica.</t>
  </si>
  <si>
    <t xml:space="preserve">Los cosméticos se rigen por la normativa de la Comunidad Andina, que exige notificación sanitaria obligatoria.</t>
  </si>
  <si>
    <t xml:space="preserve">Decisión Andina 833 de 2018</t>
  </si>
  <si>
    <t xml:space="preserve">F030-2</t>
  </si>
  <si>
    <t xml:space="preserve">La promesa de 'curar la psoriasis' en un cosmético es</t>
  </si>
  <si>
    <t xml:space="preserve">válida si se aclara en letra pequeña.</t>
  </si>
  <si>
    <t xml:space="preserve">válida si el fabricante tiene estudios propios.</t>
  </si>
  <si>
    <t xml:space="preserve">improcedente, porque los cosméticos no pueden atribuirse propiedades terapéuticas.</t>
  </si>
  <si>
    <t xml:space="preserve">Un cosmético tiene fines de higiene o embellecimiento; atribuirle efectos terapéuticos es publicidad no permitida.</t>
  </si>
  <si>
    <t xml:space="preserve">F030-3</t>
  </si>
  <si>
    <t xml:space="preserve">Una actuación adecuada frente al hallazgo es</t>
  </si>
  <si>
    <t xml:space="preserve">ignorarlo porque se vende por internet.</t>
  </si>
  <si>
    <t xml:space="preserve">documentar la evidencia, verificar la situación sanitaria del producto y adelantar las acciones de IVC que correspondan.</t>
  </si>
  <si>
    <t xml:space="preserve">comprar el producto para uso personal y comprobar su efecto.</t>
  </si>
  <si>
    <t xml:space="preserve">El comercio electrónico también está sujeto a inspección, vigilancia y control.</t>
  </si>
  <si>
    <t xml:space="preserve">Ley 9 de 1979</t>
  </si>
  <si>
    <t xml:space="preserve">F031-1</t>
  </si>
  <si>
    <t xml:space="preserve">Publicidad de productos</t>
  </si>
  <si>
    <t xml:space="preserve">C031</t>
  </si>
  <si>
    <t xml:space="preserve">Anuncio de un medicamento</t>
  </si>
  <si>
    <t xml:space="preserve">Una cadena de droguerías pauta en televisión un medicamento de venta bajo fórmula médica y un suplemento dietario que 'previene el cáncer'.</t>
  </si>
  <si>
    <t xml:space="preserve">La publicidad dirigida al público general está permitida para medicamentos</t>
  </si>
  <si>
    <t xml:space="preserve">de venta bajo fórmula médica.</t>
  </si>
  <si>
    <t xml:space="preserve">de control especial.</t>
  </si>
  <si>
    <t xml:space="preserve">de venta libre.</t>
  </si>
  <si>
    <t xml:space="preserve">El Decreto 334 de 2022 limita la publicidad de medicamentos de venta bajo fórmula a publicaciones dirigidas a profesionales.</t>
  </si>
  <si>
    <t xml:space="preserve">Decreto 334 de 2022, arts. 11 y 12</t>
  </si>
  <si>
    <t xml:space="preserve">F031-2</t>
  </si>
  <si>
    <t xml:space="preserve">Sobre el suplemento dietario, es correcto afirmar que</t>
  </si>
  <si>
    <t xml:space="preserve">no puede atribuirse propiedades para prevenir o curar enfermedades.</t>
  </si>
  <si>
    <t xml:space="preserve">puede hacerlo si incluye la leyenda 'consulte a su médico'.</t>
  </si>
  <si>
    <t xml:space="preserve">puede hacerlo si tiene registro sanitario.</t>
  </si>
  <si>
    <t xml:space="preserve">La normativa de suplementos dietarios prohíbe atribuirles propiedades terapéuticas o preventivas de enfermedades.</t>
  </si>
  <si>
    <t xml:space="preserve">Decreto 3249 de 2006</t>
  </si>
  <si>
    <t xml:space="preserve">F031-3</t>
  </si>
  <si>
    <t xml:space="preserve">Frente a la pauta del medicamento bajo fórmula médica, la actuación que corresponde es</t>
  </si>
  <si>
    <t xml:space="preserve">esperar a que un consumidor presente queja.</t>
  </si>
  <si>
    <t xml:space="preserve">iniciar las actuaciones de control a la publicidad no autorizada.</t>
  </si>
  <si>
    <t xml:space="preserve">solicitar que se transmita solo en horario nocturno.</t>
  </si>
  <si>
    <t xml:space="preserve">La publicidad que infringe la norma es objeto de control posterior por el Invima.</t>
  </si>
  <si>
    <t xml:space="preserve">Decreto 334 de 2022, art. 9</t>
  </si>
  <si>
    <t xml:space="preserve">F032-1</t>
  </si>
  <si>
    <t xml:space="preserve">Alimentos: etiquetado y rotulado</t>
  </si>
  <si>
    <t xml:space="preserve">C032</t>
  </si>
  <si>
    <t xml:space="preserve">Rotulado de un producto</t>
  </si>
  <si>
    <t xml:space="preserve">Usted revisa la etiqueta de un snack salado de producción nacional antes de una actuación de control.</t>
  </si>
  <si>
    <t xml:space="preserve">En la lista de ingredientes, estos deben declararse</t>
  </si>
  <si>
    <t xml:space="preserve">en orden alfabético.</t>
  </si>
  <si>
    <t xml:space="preserve">en orden decreciente de peso al momento de la fabricación.</t>
  </si>
  <si>
    <t xml:space="preserve">en el orden que prefiera el fabricante.</t>
  </si>
  <si>
    <t xml:space="preserve">La Resolución 5109 de 2005 exige declarar los ingredientes en orden decreciente de peso.</t>
  </si>
  <si>
    <t xml:space="preserve">Resolución 5109 de 2005</t>
  </si>
  <si>
    <t xml:space="preserve">F032-2</t>
  </si>
  <si>
    <t xml:space="preserve">Si al producto se le adicionó sal y supera los límites de sodio de la norma de etiquetado nutricional, debe llevar</t>
  </si>
  <si>
    <t xml:space="preserve">un sello frontal de advertencia 'EXCESO EN SODIO'.</t>
  </si>
  <si>
    <t xml:space="preserve">una leyenda en la parte posterior que diga 'contiene sal'.</t>
  </si>
  <si>
    <t xml:space="preserve">un logo verde de producto natural.</t>
  </si>
  <si>
    <t xml:space="preserve">La Resolución 810 de 2021 establece sellos frontales de advertencia para nutrientes de interés en salud pública.</t>
  </si>
  <si>
    <t xml:space="preserve">Resolución 810 de 2021, art. 32</t>
  </si>
  <si>
    <t xml:space="preserve">F032-3</t>
  </si>
  <si>
    <t xml:space="preserve">La etiqueta no trae número de lote. Esto es relevante porque el lote</t>
  </si>
  <si>
    <t xml:space="preserve">solo sirve para el control contable del fabricante.</t>
  </si>
  <si>
    <t xml:space="preserve">es opcional en alimentos procesados.</t>
  </si>
  <si>
    <t xml:space="preserve">permite la trazabilidad y el retiro focalizado del producto en caso de riesgo.</t>
  </si>
  <si>
    <t xml:space="preserve">El lote es un requisito de rotulado que permite rastrear y retirar productos.</t>
  </si>
  <si>
    <t xml:space="preserve">F033-1</t>
  </si>
  <si>
    <t xml:space="preserve">Carne y productos cárnicos</t>
  </si>
  <si>
    <t xml:space="preserve">C033</t>
  </si>
  <si>
    <t xml:space="preserve">Carne sin inspección oficial</t>
  </si>
  <si>
    <t xml:space="preserve">En un control en carretera se detiene un vehículo sin refrigeración que transporta canales de res sin sellos ni documentos de la planta de beneficio.</t>
  </si>
  <si>
    <t xml:space="preserve">El sistema oficial de inspección, vigilancia y control de la carne en Colombia está reglamentado principalmente por</t>
  </si>
  <si>
    <t xml:space="preserve">la Resolución 2674 de 2013.</t>
  </si>
  <si>
    <t xml:space="preserve">el Decreto 1500 de 2007.</t>
  </si>
  <si>
    <t xml:space="preserve">el Decreto 677 de 1995.</t>
  </si>
  <si>
    <t xml:space="preserve">El Decreto 1500 de 2007 establece el sistema oficial de IVC de la carne y productos cárnicos.</t>
  </si>
  <si>
    <t xml:space="preserve">Decreto 1500 de 2007</t>
  </si>
  <si>
    <t xml:space="preserve">F033-2</t>
  </si>
  <si>
    <t xml:space="preserve">La carne apta para consumo debe provenir de plantas autorizadas donde se realiza</t>
  </si>
  <si>
    <t xml:space="preserve">solo inspección del producto terminado en el expendio.</t>
  </si>
  <si>
    <t xml:space="preserve">inspección únicamente documental.</t>
  </si>
  <si>
    <t xml:space="preserve">inspección ante mortem y post mortem.</t>
  </si>
  <si>
    <t xml:space="preserve">La inspección ante y post mortem en plantas autorizadas garantiza la aptitud de la carne.</t>
  </si>
  <si>
    <t xml:space="preserve">F033-3</t>
  </si>
  <si>
    <t xml:space="preserve">Frente al hallazgo, la actuación sanitaria procedente es</t>
  </si>
  <si>
    <t xml:space="preserve">ordenar que la carne se refrigere y se venda con descuento.</t>
  </si>
  <si>
    <t xml:space="preserve">aplicar la medida sanitaria de decomiso y documentarla, coordinando con las autoridades presentes.</t>
  </si>
  <si>
    <t xml:space="preserve">permitir que el vehículo continúe si el conductor muestra la factura de compra.</t>
  </si>
  <si>
    <t xml:space="preserve">Carne sin inspección oficial y sin cadena de frío representa un riesgo que justifica el decomiso.</t>
  </si>
  <si>
    <t xml:space="preserve">Decreto 1500 de 2007; Ley 9 de 1979</t>
  </si>
  <si>
    <t xml:space="preserve">F034-1</t>
  </si>
  <si>
    <t xml:space="preserve">Importaciones y puntos de entrada</t>
  </si>
  <si>
    <t xml:space="preserve">C034</t>
  </si>
  <si>
    <t xml:space="preserve">Alimento importado no conforme</t>
  </si>
  <si>
    <t xml:space="preserve">En un puerto, un contenedor de alimentos importados llega con rótulos que no cumplen la norma nacional y una temperatura de transporte fuera del rango requerido.</t>
  </si>
  <si>
    <t xml:space="preserve">Para nacionalizar alimentos importados se requiere, entre otros, la</t>
  </si>
  <si>
    <t xml:space="preserve">certificación del transportador sobre la calidad del producto.</t>
  </si>
  <si>
    <t xml:space="preserve">inspección sanitaria de la autoridad competente en el punto de entrada.</t>
  </si>
  <si>
    <t xml:space="preserve">autorización de la alcaldía del municipio de destino.</t>
  </si>
  <si>
    <t xml:space="preserve">Los alimentos importados se someten a inspección sanitaria en puertos, aeropuertos y pasos de frontera.</t>
  </si>
  <si>
    <t xml:space="preserve">Decreto 2478 de 2018; Ley 1122 de 2007, art. 34</t>
  </si>
  <si>
    <t xml:space="preserve">F034-2</t>
  </si>
  <si>
    <t xml:space="preserve">Frente a la falla en la temperatura de transporte, lo prioritario es</t>
  </si>
  <si>
    <t xml:space="preserve">autorizar la nacionalización y pedir que se refrigere en bodega.</t>
  </si>
  <si>
    <t xml:space="preserve">rechazar todos los futuros envíos del importador.</t>
  </si>
  <si>
    <t xml:space="preserve">evaluar el riesgo para la inocuidad, con toma de muestras si corresponde, antes de decidir.</t>
  </si>
  <si>
    <t xml:space="preserve">La decisión sanitaria se basa en la evaluación del riesgo sobre el lote inspeccionado.</t>
  </si>
  <si>
    <t xml:space="preserve">F034-3</t>
  </si>
  <si>
    <t xml:space="preserve">Si se concluye que el producto no puede ingresar, las alternativas usuales son</t>
  </si>
  <si>
    <t xml:space="preserve">su venta a menor precio en el mercado interno.</t>
  </si>
  <si>
    <t xml:space="preserve">el reembarque o la destrucción, según corresponda.</t>
  </si>
  <si>
    <t xml:space="preserve">su donación inmediata a comedores comunitarios.</t>
  </si>
  <si>
    <t xml:space="preserve">Un producto importado rechazado no se nacionaliza; se reembarca o se destruye.</t>
  </si>
  <si>
    <t xml:space="preserve">F035-1</t>
  </si>
  <si>
    <t xml:space="preserve">C035</t>
  </si>
  <si>
    <t xml:space="preserve">Programación con enfoque de riesgo</t>
  </si>
  <si>
    <t xml:space="preserve">Su grupo tiene capacidad para 40 visitas este mes y 120 establecimientos pendientes. Le piden proponer la programación.</t>
  </si>
  <si>
    <t xml:space="preserve">El criterio más adecuado para priorizar las visitas es</t>
  </si>
  <si>
    <t xml:space="preserve">el orden alfabético de los establecimientos.</t>
  </si>
  <si>
    <t xml:space="preserve">la cercanía a la sede para ahorrar transporte.</t>
  </si>
  <si>
    <t xml:space="preserve">el nivel de riesgo sanitario de cada establecimiento y su historial de cumplimiento.</t>
  </si>
  <si>
    <t xml:space="preserve">El modelo de IVC sanitaria prioriza según el riesgo para la salud pública.</t>
  </si>
  <si>
    <t xml:space="preserve">Resolución 1229 de 2013</t>
  </si>
  <si>
    <t xml:space="preserve">F035-2</t>
  </si>
  <si>
    <t xml:space="preserve">Un establecimiento que fabrica alimentos de alto riesgo y tuvo hallazgos críticos en la última visita debe</t>
  </si>
  <si>
    <t xml:space="preserve">quedar entre las primeras visitas del mes.</t>
  </si>
  <si>
    <t xml:space="preserve">visitarse solo si hay quejas.</t>
  </si>
  <si>
    <t xml:space="preserve">esperar a la programación del próximo año.</t>
  </si>
  <si>
    <t xml:space="preserve">El riesgo del producto y el historial de incumplimiento elevan la prioridad.</t>
  </si>
  <si>
    <t xml:space="preserve">F035-3</t>
  </si>
  <si>
    <t xml:space="preserve">El enfoque de riesgo en IVC busca principalmente</t>
  </si>
  <si>
    <t xml:space="preserve">concentrar los recursos donde el riesgo para la población es mayor.</t>
  </si>
  <si>
    <t xml:space="preserve">reducir la vigilancia sobre las empresas grandes.</t>
  </si>
  <si>
    <t xml:space="preserve">visitar la misma cantidad de veces a todos los establecimientos.</t>
  </si>
  <si>
    <t xml:space="preserve">La gestión del riesgo orienta los recursos de vigilancia a lo más crítico.</t>
  </si>
  <si>
    <t xml:space="preserve">F036-1</t>
  </si>
  <si>
    <t xml:space="preserve">C036</t>
  </si>
  <si>
    <t xml:space="preserve">Acta de visita</t>
  </si>
  <si>
    <t xml:space="preserve">Al terminar una visita de inspección, la persona que atendió se niega a firmar el acta porque no está de acuerdo con los hallazgos.</t>
  </si>
  <si>
    <t xml:space="preserve">Ante la negativa a firmar, lo correcto es</t>
  </si>
  <si>
    <t xml:space="preserve">modificar los hallazgos para obtener la firma.</t>
  </si>
  <si>
    <t xml:space="preserve">anular el acta y programar otra visita.</t>
  </si>
  <si>
    <t xml:space="preserve">dejar constancia de la negativa en el acta, con la firma de un testigo si es posible, y entregar copia.</t>
  </si>
  <si>
    <t xml:space="preserve">La negativa a firmar no invalida la actuación; se deja constancia.</t>
  </si>
  <si>
    <t xml:space="preserve">Práctica de IVC sanitaria; debido proceso</t>
  </si>
  <si>
    <t xml:space="preserve">F036-2</t>
  </si>
  <si>
    <t xml:space="preserve">Para que el acta sea útil como prueba, debe</t>
  </si>
  <si>
    <t xml:space="preserve">redactarse días después, con calma, en la oficina.</t>
  </si>
  <si>
    <t xml:space="preserve">describir los hallazgos de forma objetiva, con fecha, lugar, participantes y evidencias.</t>
  </si>
  <si>
    <t xml:space="preserve">incluir las opiniones personales del inspector sobre la empresa.</t>
  </si>
  <si>
    <t xml:space="preserve">Un acta precisa y contemporánea a la visita soporta las decisiones posteriores.</t>
  </si>
  <si>
    <t xml:space="preserve">Debido proceso administrativo</t>
  </si>
  <si>
    <t xml:space="preserve">F036-3</t>
  </si>
  <si>
    <t xml:space="preserve">La persona pregunta cómo puede controvertir los hallazgos. Usted le indica que</t>
  </si>
  <si>
    <t xml:space="preserve">debe presentar una tutela inmediatamente.</t>
  </si>
  <si>
    <t xml:space="preserve">puede dejar sus observaciones en el acta y ejercer su defensa en las actuaciones que se deriven.</t>
  </si>
  <si>
    <t xml:space="preserve">no tiene derecho a controvertir un acta.</t>
  </si>
  <si>
    <t xml:space="preserve">El derecho de defensa se ejerce en la visita y en el procedimiento que se adelante.</t>
  </si>
  <si>
    <t xml:space="preserve">Constitución Política, art. 29</t>
  </si>
  <si>
    <t xml:space="preserve">F037-1</t>
  </si>
  <si>
    <t xml:space="preserve">Medicamentos y registro sanitario</t>
  </si>
  <si>
    <t xml:space="preserve">C037</t>
  </si>
  <si>
    <t xml:space="preserve">Certificación de buenas prácticas de manufactura</t>
  </si>
  <si>
    <t xml:space="preserve">En una visita de certificación de BPM a un laboratorio farmacéutico se encuentran registros de producción incompletos y un área de llenado sin control de partículas.</t>
  </si>
  <si>
    <t xml:space="preserve">Las buenas prácticas de manufactura buscan principalmente</t>
  </si>
  <si>
    <t xml:space="preserve">asegurar que los medicamentos se fabriquen de forma consistente y con la calidad requerida.</t>
  </si>
  <si>
    <t xml:space="preserve">aumentar las ventas del laboratorio.</t>
  </si>
  <si>
    <t xml:space="preserve">reducir los costos de producción.</t>
  </si>
  <si>
    <t xml:space="preserve">Las BPM son normas para garantizar la calidad consistente de los productos.</t>
  </si>
  <si>
    <t xml:space="preserve">Normativa BPM de medicamentos</t>
  </si>
  <si>
    <t xml:space="preserve">F037-2</t>
  </si>
  <si>
    <t xml:space="preserve">Frente a hallazgos que afectan la calidad del producto, el laboratorio debe</t>
  </si>
  <si>
    <t xml:space="preserve">presentar e implementar un plan de acciones correctivas y preventivas verificable.</t>
  </si>
  <si>
    <t xml:space="preserve">continuar la producción mientras se discute el acta.</t>
  </si>
  <si>
    <t xml:space="preserve">comprometerse verbalmente a mejorar.</t>
  </si>
  <si>
    <t xml:space="preserve">Los hallazgos se cierran con acciones correctivas verificadas por la autoridad.</t>
  </si>
  <si>
    <t xml:space="preserve">F037-3</t>
  </si>
  <si>
    <t xml:space="preserve">Si los hallazgos representan un riesgo para la calidad del producto, la autoridad puede</t>
  </si>
  <si>
    <t xml:space="preserve">abstenerse de certificar y aplicar las medidas sanitarias que correspondan.</t>
  </si>
  <si>
    <t xml:space="preserve">certificar solo las áreas que cumplen, sin más medidas.</t>
  </si>
  <si>
    <t xml:space="preserve">certificar con la condición de que se corrija en un año.</t>
  </si>
  <si>
    <t xml:space="preserve">La certificación exige cumplimiento; los riesgos se manejan con medidas sanitarias.</t>
  </si>
  <si>
    <t xml:space="preserve">F038-1</t>
  </si>
  <si>
    <t xml:space="preserve">C038</t>
  </si>
  <si>
    <t xml:space="preserve">Alerta internacional</t>
  </si>
  <si>
    <t xml:space="preserve">Una agencia sanitaria extranjera publica una alerta por contaminación de un lote de un producto que también se comercializa en otros países.</t>
  </si>
  <si>
    <t xml:space="preserve">La primera acción es</t>
  </si>
  <si>
    <t xml:space="preserve">ignorarla porque es de otro país.</t>
  </si>
  <si>
    <t xml:space="preserve">emitir de inmediato una alerta nacional sin verificar.</t>
  </si>
  <si>
    <t xml:space="preserve">verificar si el producto y el lote tienen registro o se comercializan en Colombia.</t>
  </si>
  <si>
    <t xml:space="preserve">Las alertas internacionales se verifican frente al mercado nacional antes de actuar.</t>
  </si>
  <si>
    <t xml:space="preserve">Vigilancia poscomercialización</t>
  </si>
  <si>
    <t xml:space="preserve">F038-2</t>
  </si>
  <si>
    <t xml:space="preserve">Si se confirma que el lote está en el país, lo procedente es</t>
  </si>
  <si>
    <t xml:space="preserve">coordinar con el titular el retiro del lote y comunicar el riesgo a la población.</t>
  </si>
  <si>
    <t xml:space="preserve">esperar a que se presenten casos en Colombia.</t>
  </si>
  <si>
    <t xml:space="preserve">prohibir todos los productos del país de origen.</t>
  </si>
  <si>
    <t xml:space="preserve">La acción se focaliza en el producto afectado y en la comunicación oportuna del riesgo.</t>
  </si>
  <si>
    <t xml:space="preserve">F038-3</t>
  </si>
  <si>
    <t xml:space="preserve">Para verificar la efectividad del retiro, la autoridad debe</t>
  </si>
  <si>
    <t xml:space="preserve">esperar el informe anual del titular.</t>
  </si>
  <si>
    <t xml:space="preserve">hacer seguimiento a las cantidades recogidas frente a las distribuidas.</t>
  </si>
  <si>
    <t xml:space="preserve">confiar en la palabra del titular.</t>
  </si>
  <si>
    <t xml:space="preserve">El seguimiento del retiro compara lo recuperado con lo distribuido.</t>
  </si>
  <si>
    <t xml:space="preserve">F039-1</t>
  </si>
  <si>
    <t xml:space="preserve">C039</t>
  </si>
  <si>
    <t xml:space="preserve">Venta de productos ilegales en redes</t>
  </si>
  <si>
    <t xml:space="preserve">Se detecta un perfil en redes sociales que vende medicamentos para bajar de peso sin registro sanitario y hace envíos a todo el país.</t>
  </si>
  <si>
    <t xml:space="preserve">El principal riesgo de estos productos es que</t>
  </si>
  <si>
    <t xml:space="preserve">se desconoce su composición, calidad y seguridad.</t>
  </si>
  <si>
    <t xml:space="preserve">son más baratos que los legales.</t>
  </si>
  <si>
    <t xml:space="preserve">se venden sin factura.</t>
  </si>
  <si>
    <t xml:space="preserve">Sin registro sanitario no hay garantía de calidad, seguridad ni eficacia.</t>
  </si>
  <si>
    <t xml:space="preserve">Decreto 677 de 1995</t>
  </si>
  <si>
    <t xml:space="preserve">F039-2</t>
  </si>
  <si>
    <t xml:space="preserve">Una actuación coordinada adecuada incluye</t>
  </si>
  <si>
    <t xml:space="preserve">comprar todos los productos para retirarlos del mercado.</t>
  </si>
  <si>
    <t xml:space="preserve">publicar los datos personales del vendedor.</t>
  </si>
  <si>
    <t xml:space="preserve">documentar la evidencia, emitir comunicaciones de riesgo y coordinar con la plataforma y las autoridades de policía.</t>
  </si>
  <si>
    <t xml:space="preserve">La actuación combina evidencia, comunicación del riesgo y coordinación interinstitucional.</t>
  </si>
  <si>
    <t xml:space="preserve">F039-3</t>
  </si>
  <si>
    <t xml:space="preserve">Al comunicar el riesgo a la ciudadanía, conviene</t>
  </si>
  <si>
    <t xml:space="preserve">decir que todos los productos vendidos en internet son ilegales.</t>
  </si>
  <si>
    <t xml:space="preserve">usar términos técnicos para dar seriedad.</t>
  </si>
  <si>
    <t xml:space="preserve">explicar cómo verificar si un producto tiene registro sanitario en la consulta oficial.</t>
  </si>
  <si>
    <t xml:space="preserve">La comunicación útil da al ciudadano una acción concreta de verificación.</t>
  </si>
  <si>
    <t xml:space="preserve">Comunicación del riesgo</t>
  </si>
  <si>
    <t xml:space="preserve">F040-1</t>
  </si>
  <si>
    <t xml:space="preserve">C040</t>
  </si>
  <si>
    <t xml:space="preserve">Tratados de fiscalización</t>
  </si>
  <si>
    <t xml:space="preserve">Le piden preparar una presentación sobre el marco internacional que rige las funciones del Fondo.</t>
  </si>
  <si>
    <t xml:space="preserve">El tratado que fiscaliza sustancias como la morfina y la metadona es</t>
  </si>
  <si>
    <t xml:space="preserve">la Convención de Viena de 1961 sobre relaciones diplomáticas.</t>
  </si>
  <si>
    <t xml:space="preserve">el Convenio de 1971 sobre Sustancias Sicotrópicas.</t>
  </si>
  <si>
    <t xml:space="preserve">la Convención Única de 1961 sobre Estupefacientes.</t>
  </si>
  <si>
    <t xml:space="preserve">Los opioides como morfina y metadona son estupefacientes fiscalizados por la Convención Única de 1961.</t>
  </si>
  <si>
    <t xml:space="preserve">F040-2</t>
  </si>
  <si>
    <t xml:space="preserve">Las benzodiacepinas y otros psicotrópicos están fiscalizados principalmente por</t>
  </si>
  <si>
    <t xml:space="preserve">el Convenio sobre Sustancias Sicotrópicas de 1971.</t>
  </si>
  <si>
    <t xml:space="preserve">la Convención Única de 1961.</t>
  </si>
  <si>
    <t xml:space="preserve">el Protocolo de Kioto.</t>
  </si>
  <si>
    <t xml:space="preserve">El Convenio de 1971 fiscaliza sustancias sicotrópicas.</t>
  </si>
  <si>
    <t xml:space="preserve">Convenio de 1971</t>
  </si>
  <si>
    <t xml:space="preserve">F040-3</t>
  </si>
  <si>
    <t xml:space="preserve">La Convención de 1988 se centra en</t>
  </si>
  <si>
    <t xml:space="preserve">el comercio de alimentos.</t>
  </si>
  <si>
    <t xml:space="preserve">la lucha contra el tráfico ilícito, incluido el control de precursores.</t>
  </si>
  <si>
    <t xml:space="preserve">la regulación de precios de medicamentos.</t>
  </si>
  <si>
    <t xml:space="preserve">La Convención de 1988 aborda el tráfico ilícito de estupefacientes y sustancias sicotrópicas.</t>
  </si>
  <si>
    <t xml:space="preserve">Convención de 1988</t>
  </si>
  <si>
    <t xml:space="preserve">F041-1</t>
  </si>
  <si>
    <t xml:space="preserve">C041</t>
  </si>
  <si>
    <t xml:space="preserve">Competencias institucionales</t>
  </si>
  <si>
    <t xml:space="preserve">Un ciudadano llama al Fondo para denunciar que una empresa química vende solventes a personas sospechosas, y además pregunta por un medicamento de control especial.</t>
  </si>
  <si>
    <t xml:space="preserve">El Estatuto Nacional de Estupefacientes corresponde a</t>
  </si>
  <si>
    <t xml:space="preserve">la Ley 1751 de 2015.</t>
  </si>
  <si>
    <t xml:space="preserve">la Ley 30 de 1986.</t>
  </si>
  <si>
    <t xml:space="preserve">La Ley 30 de 1986 adoptó el Estatuto Nacional de Estupefacientes.</t>
  </si>
  <si>
    <t xml:space="preserve">Ley 30 de 1986</t>
  </si>
  <si>
    <t xml:space="preserve">F041-2</t>
  </si>
  <si>
    <t xml:space="preserve">El control de sustancias químicas que pueden usarse para producir drogas ilícitas corresponde principalmente a</t>
  </si>
  <si>
    <t xml:space="preserve">las secretarías de educación.</t>
  </si>
  <si>
    <t xml:space="preserve">el Fondo Nacional de Estupefacientes.</t>
  </si>
  <si>
    <t xml:space="preserve">el Ministerio de Justicia y del Derecho.</t>
  </si>
  <si>
    <t xml:space="preserve">El control de sustancias y productos químicos controlados está a cargo del Ministerio de Justicia.</t>
  </si>
  <si>
    <t xml:space="preserve">Normativa de sustancias químicas controladas</t>
  </si>
  <si>
    <t xml:space="preserve">F041-3</t>
  </si>
  <si>
    <t xml:space="preserve">La mejor forma de atender la denuncia sobre los solventes es</t>
  </si>
  <si>
    <t xml:space="preserve">decirle que no es tema del Fondo y colgar.</t>
  </si>
  <si>
    <t xml:space="preserve">recibirla y remitirla a la autoridad competente, informando al ciudadano.</t>
  </si>
  <si>
    <t xml:space="preserve">investigar por su cuenta a la empresa.</t>
  </si>
  <si>
    <t xml:space="preserve">Ante falta de competencia se remite a la autoridad competente y se informa al peticionario.</t>
  </si>
  <si>
    <t xml:space="preserve">Ley 1755 de 2015</t>
  </si>
  <si>
    <t xml:space="preserve">F042-1</t>
  </si>
  <si>
    <t xml:space="preserve">C042</t>
  </si>
  <si>
    <t xml:space="preserve">Consejo Nacional de Estupefacientes</t>
  </si>
  <si>
    <t xml:space="preserve">En una reunión interinstitucional se discute la política frente a las drogas y el papel de cada entidad.</t>
  </si>
  <si>
    <t xml:space="preserve">La Ley 30 de 1986 creó como órgano para formular políticas en materia de estupefacientes al</t>
  </si>
  <si>
    <t xml:space="preserve">Consejo Nacional de Política Económica y Social.</t>
  </si>
  <si>
    <t xml:space="preserve">Consejo Superior de la Judicatura.</t>
  </si>
  <si>
    <t xml:space="preserve">Consejo Nacional de Estupefacientes.</t>
  </si>
  <si>
    <t xml:space="preserve">La Ley 30 de 1986 creó el Consejo Nacional de Estupefacientes.</t>
  </si>
  <si>
    <t xml:space="preserve">F042-2</t>
  </si>
  <si>
    <t xml:space="preserve">En esa discusión, el aporte técnico del Fondo se centra en</t>
  </si>
  <si>
    <t xml:space="preserve">perseguir penalmente el narcotráfico.</t>
  </si>
  <si>
    <t xml:space="preserve">garantizar la disponibilidad y el control de los medicamentos fiscalizados para uso médico.</t>
  </si>
  <si>
    <t xml:space="preserve">regular los cultivos ilícitos.</t>
  </si>
  <si>
    <t xml:space="preserve">El Fondo gestiona y vigila los medicamentos de control especial y monopolio del Estado.</t>
  </si>
  <si>
    <t xml:space="preserve">Funciones del FNE</t>
  </si>
  <si>
    <t xml:space="preserve">F042-3</t>
  </si>
  <si>
    <t xml:space="preserve">Si un participante propone restringir al máximo la morfina para evitar desvíos, usted advierte que</t>
  </si>
  <si>
    <t xml:space="preserve">la restricción excesiva afecta el tratamiento del dolor y debe equilibrarse con el acceso.</t>
  </si>
  <si>
    <t xml:space="preserve">la morfina no tiene uso médico.</t>
  </si>
  <si>
    <t xml:space="preserve">el control es innecesario.</t>
  </si>
  <si>
    <t xml:space="preserve">La fiscalización debe equilibrar la prevención del desvío con la disponibilidad para uso médico.</t>
  </si>
  <si>
    <t xml:space="preserve">Principio de equilibrio, JIFE</t>
  </si>
  <si>
    <t xml:space="preserve">F043-1</t>
  </si>
  <si>
    <t xml:space="preserve">Acceso a medicamentos y cuidados paliativos</t>
  </si>
  <si>
    <t xml:space="preserve">C043</t>
  </si>
  <si>
    <t xml:space="preserve">Paciente en cuidado paliativo</t>
  </si>
  <si>
    <t xml:space="preserve">Un familiar de un paciente con cáncer avanzado le informa que la farmacia de su municipio no tiene el opioide formulado y que el paciente tiene dolor intenso.</t>
  </si>
  <si>
    <t xml:space="preserve">La ley que regula los servicios de cuidados paliativos para enfermos terminales y crónicos es</t>
  </si>
  <si>
    <t xml:space="preserve">la Ley 1733 de 2014.</t>
  </si>
  <si>
    <t xml:space="preserve">la Ley 594 de 2000.</t>
  </si>
  <si>
    <t xml:space="preserve">La Ley 1733 de 2014 regula los cuidados paliativos.</t>
  </si>
  <si>
    <t xml:space="preserve">Ley 1733 de 2014</t>
  </si>
  <si>
    <t xml:space="preserve">F043-2</t>
  </si>
  <si>
    <t xml:space="preserve">La actuación más útil desde su rol es</t>
  </si>
  <si>
    <t xml:space="preserve">indicarle que consulte otro médico para cambiar el tratamiento.</t>
  </si>
  <si>
    <t xml:space="preserve">verificar la disponibilidad con el Fondo Rotatorio y los puntos autorizados cercanos, y orientar al familiar sobre dónde obtenerlo.</t>
  </si>
  <si>
    <t xml:space="preserve">decirle que espere al próximo despacho sin más información.</t>
  </si>
  <si>
    <t xml:space="preserve">El rol del Fondo incluye facilitar la disponibilidad oportuna para uso médico.</t>
  </si>
  <si>
    <t xml:space="preserve">F043-3</t>
  </si>
  <si>
    <t xml:space="preserve">Si se identifica que el problema es recurrente en ese municipio, conviene</t>
  </si>
  <si>
    <t xml:space="preserve">suspender el suministro al municipio.</t>
  </si>
  <si>
    <t xml:space="preserve">culpar a la farmacia.</t>
  </si>
  <si>
    <t xml:space="preserve">analizar la cadena de distribución y ajustar la planeación del abastecimiento con el Fondo Rotatorio.</t>
  </si>
  <si>
    <t xml:space="preserve">Los problemas recurrentes se atacan en la planeación y la cadena de distribución.</t>
  </si>
  <si>
    <t xml:space="preserve">Gestión del abastecimiento</t>
  </si>
  <si>
    <t xml:space="preserve">F044-1</t>
  </si>
  <si>
    <t xml:space="preserve">C044</t>
  </si>
  <si>
    <t xml:space="preserve">Prescripciones sospechosas</t>
  </si>
  <si>
    <t xml:space="preserve">Al revisar reportes de dispensación, usted detecta que un mismo paciente recibió en un mes fórmulas del mismo opioide de cuatro médicos distintos en varias farmacias.</t>
  </si>
  <si>
    <t xml:space="preserve">Este patrón debe tratarse como</t>
  </si>
  <si>
    <t xml:space="preserve">un error del sistema que se puede ignorar.</t>
  </si>
  <si>
    <t xml:space="preserve">un comportamiento normal de un paciente con dolor.</t>
  </si>
  <si>
    <t xml:space="preserve">una alerta de posible uso indebido que requiere verificación.</t>
  </si>
  <si>
    <t xml:space="preserve">Múltiples prescriptores y dispensadores para el mismo paciente son señal de posible uso indebido o desvío.</t>
  </si>
  <si>
    <t xml:space="preserve">Fiscalización de medicamentos</t>
  </si>
  <si>
    <t xml:space="preserve">F044-2</t>
  </si>
  <si>
    <t xml:space="preserve">Lo procedente es</t>
  </si>
  <si>
    <t xml:space="preserve">publicar el nombre del paciente para alertar a las farmacias.</t>
  </si>
  <si>
    <t xml:space="preserve">bloquear al paciente sin verificar su condición clínica.</t>
  </si>
  <si>
    <t xml:space="preserve">documentar el hallazgo e informar a las autoridades sanitarias competentes para su verificación, protegiendo los datos del paciente.</t>
  </si>
  <si>
    <t xml:space="preserve">La verificación se hace por los canales competentes y con protección de datos sensibles.</t>
  </si>
  <si>
    <t xml:space="preserve">Ley 1581 de 2012</t>
  </si>
  <si>
    <t xml:space="preserve">F044-3</t>
  </si>
  <si>
    <t xml:space="preserve">Una medida preventiva útil a futuro es</t>
  </si>
  <si>
    <t xml:space="preserve">eliminar el recetario oficial.</t>
  </si>
  <si>
    <t xml:space="preserve">fortalecer el cruce de información de prescripción y dispensación.</t>
  </si>
  <si>
    <t xml:space="preserve">permitir la dispensación sin fórmula.</t>
  </si>
  <si>
    <t xml:space="preserve">El cruce de información facilita detectar patrones de riesgo.</t>
  </si>
  <si>
    <t xml:space="preserve">F045-1</t>
  </si>
  <si>
    <t xml:space="preserve">C045</t>
  </si>
  <si>
    <t xml:space="preserve">Urgencia manifiesta</t>
  </si>
  <si>
    <t xml:space="preserve">Una emergencia sanitaria dispara la demanda de un medicamento monopolio del Estado y el área técnica propone contratar sin el procedimiento ordinario.</t>
  </si>
  <si>
    <t xml:space="preserve">La urgencia manifiesta procede cuando</t>
  </si>
  <si>
    <t xml:space="preserve">el proveedor ofrece un mejor precio.</t>
  </si>
  <si>
    <t xml:space="preserve">hay situaciones excepcionales que exigen actuar de inmediato y no permiten acudir a los procedimientos ordinarios.</t>
  </si>
  <si>
    <t xml:space="preserve">el área quiere evitar trámites.</t>
  </si>
  <si>
    <t xml:space="preserve">La Ley 80 de 1993 reserva la urgencia manifiesta a situaciones excepcionales.</t>
  </si>
  <si>
    <t xml:space="preserve">Ley 80 de 1993, art. 42</t>
  </si>
  <si>
    <t xml:space="preserve">F045-2</t>
  </si>
  <si>
    <t xml:space="preserve">La urgencia manifiesta debe declararse mediante</t>
  </si>
  <si>
    <t xml:space="preserve">comunicación verbal del director.</t>
  </si>
  <si>
    <t xml:space="preserve">acto administrativo motivado.</t>
  </si>
  <si>
    <t xml:space="preserve">correo electrónico del supervisor.</t>
  </si>
  <si>
    <t xml:space="preserve">La declaratoria se hace por acto administrativo motivado.</t>
  </si>
  <si>
    <t xml:space="preserve">F045-3</t>
  </si>
  <si>
    <t xml:space="preserve">Una vez celebrados los contratos, estos y el acto que declaró la urgencia deben enviarse</t>
  </si>
  <si>
    <t xml:space="preserve">al organismo de control fiscal competente.</t>
  </si>
  <si>
    <t xml:space="preserve">solo al archivo de la entidad.</t>
  </si>
  <si>
    <t xml:space="preserve">al proveedor para su firma.</t>
  </si>
  <si>
    <t xml:space="preserve">La Ley 80 de 1993 ordena remitir los contratos y el acto a la autoridad de control fiscal.</t>
  </si>
  <si>
    <t xml:space="preserve">Ley 80 de 1993, art. 43</t>
  </si>
  <si>
    <t xml:space="preserve">F046-1</t>
  </si>
  <si>
    <t xml:space="preserve">C046</t>
  </si>
  <si>
    <t xml:space="preserve">Cartera y contabilidad</t>
  </si>
  <si>
    <t xml:space="preserve">Al cierre del mes, usted revisa las cuentas del Fondo y encuentra facturas por venta de medicamentos a Fondos Rotatorios sin pagar desde hace varios meses.</t>
  </si>
  <si>
    <t xml:space="preserve">Bajo el marco de contabilidad pública, el ingreso por la venta se reconoce</t>
  </si>
  <si>
    <t xml:space="preserve">al final del año, por conveniencia.</t>
  </si>
  <si>
    <t xml:space="preserve">cuando se realiza la venta, aunque no se haya recibido el pago.</t>
  </si>
  <si>
    <t xml:space="preserve">solo cuando el dinero ingresa a la cuenta.</t>
  </si>
  <si>
    <t xml:space="preserve">El principio de devengo reconoce los hechos económicos cuando ocurren, no cuando se paga.</t>
  </si>
  <si>
    <t xml:space="preserve">Marco normativo de la Contaduría General de la Nación</t>
  </si>
  <si>
    <t xml:space="preserve">F046-2</t>
  </si>
  <si>
    <t xml:space="preserve">Frente a la cartera vencida, lo procedente es</t>
  </si>
  <si>
    <t xml:space="preserve">adelantar la gestión de cobro según el procedimiento de la entidad y documentarla.</t>
  </si>
  <si>
    <t xml:space="preserve">suspender la contabilización de nuevas ventas.</t>
  </si>
  <si>
    <t xml:space="preserve">dar de baja las facturas.</t>
  </si>
  <si>
    <t xml:space="preserve">La cartera vencida exige gestión de cobro documentada.</t>
  </si>
  <si>
    <t xml:space="preserve">Procedimiento de gestión de cartera</t>
  </si>
  <si>
    <t xml:space="preserve">F046-3</t>
  </si>
  <si>
    <t xml:space="preserve">Para verificar que los saldos de bancos son correctos, se realiza</t>
  </si>
  <si>
    <t xml:space="preserve">la conciliación bancaria.</t>
  </si>
  <si>
    <t xml:space="preserve">La conciliación bancaria compara los registros contables con los extractos.</t>
  </si>
  <si>
    <t xml:space="preserve">Control financiero</t>
  </si>
  <si>
    <t xml:space="preserve">F047-1</t>
  </si>
  <si>
    <t xml:space="preserve">C047</t>
  </si>
  <si>
    <t xml:space="preserve">Pérdida en el transporte</t>
  </si>
  <si>
    <t xml:space="preserve">Un despacho de medicamentos monopolio del Estado llega a un Fondo Rotatorio con una caja menos de las registradas en la guía de transporte.</t>
  </si>
  <si>
    <t xml:space="preserve">Lo primero que debe hacer quien recibe es</t>
  </si>
  <si>
    <t xml:space="preserve">rechazar todo el despacho sin registro.</t>
  </si>
  <si>
    <t xml:space="preserve">dejar constancia de la diferencia en el documento de recibo y reportarla de inmediato.</t>
  </si>
  <si>
    <t xml:space="preserve">recibir el despacho como completo y averiguar después.</t>
  </si>
  <si>
    <t xml:space="preserve">Las novedades en el recibo se documentan en el momento y se reportan.</t>
  </si>
  <si>
    <t xml:space="preserve">Control de medicamentos fiscalizados</t>
  </si>
  <si>
    <t xml:space="preserve">F047-2</t>
  </si>
  <si>
    <t xml:space="preserve">Si no aparece la caja, además del reporte interno corresponde</t>
  </si>
  <si>
    <t xml:space="preserve">reponerla con compras locales sin registro.</t>
  </si>
  <si>
    <t xml:space="preserve">asumir la pérdida sin informar.</t>
  </si>
  <si>
    <t xml:space="preserve">informar a las autoridades competentes, incluida la denuncia cuando haya indicios de hurto.</t>
  </si>
  <si>
    <t xml:space="preserve">La pérdida de medicamentos fiscalizados puede implicar desvío y debe reportarse a las autoridades.</t>
  </si>
  <si>
    <t xml:space="preserve">F047-3</t>
  </si>
  <si>
    <t xml:space="preserve">Para prevenir estos eventos, una buena práctica es</t>
  </si>
  <si>
    <t xml:space="preserve">usar empaques con sellos de seguridad y verificar cantidades en cada punto de entrega.</t>
  </si>
  <si>
    <t xml:space="preserve">reducir los registros para agilizar.</t>
  </si>
  <si>
    <t xml:space="preserve">enviar los medicamentos en empaques comunes para no llamar la atención, sin control.</t>
  </si>
  <si>
    <t xml:space="preserve">Los sellos y la verificación en cada entrega protegen la cadena de custodia.</t>
  </si>
  <si>
    <t xml:space="preserve">Buenas prácticas de distribución</t>
  </si>
  <si>
    <t xml:space="preserve">F048-1</t>
  </si>
  <si>
    <t xml:space="preserve">C048</t>
  </si>
  <si>
    <t xml:space="preserve">Estadísticas para la JIFE</t>
  </si>
  <si>
    <t xml:space="preserve">Se acerca la fecha para enviar a la Junta Internacional de Fiscalización de Estupefacientes la información estadística del país.</t>
  </si>
  <si>
    <t xml:space="preserve">La información que se reporta a la JIFE permite</t>
  </si>
  <si>
    <t xml:space="preserve">fijar el precio de los medicamentos en Colombia.</t>
  </si>
  <si>
    <t xml:space="preserve">autorizar los registros sanitarios.</t>
  </si>
  <si>
    <t xml:space="preserve">vigilar que el consumo y el comercio de sustancias fiscalizadas se ajusten a fines médicos y científicos.</t>
  </si>
  <si>
    <t xml:space="preserve">La JIFE usa estadísticas y previsiones para vigilar el cumplimiento de los tratados.</t>
  </si>
  <si>
    <t xml:space="preserve">F048-2</t>
  </si>
  <si>
    <t xml:space="preserve">Si detecta inconsistencias entre las cifras de importación y las de consumo, usted debe</t>
  </si>
  <si>
    <t xml:space="preserve">reportar las cifras tal como están.</t>
  </si>
  <si>
    <t xml:space="preserve">omitir las cifras que no cuadran.</t>
  </si>
  <si>
    <t xml:space="preserve">revisar las fuentes y conciliar las cifras antes de reportar.</t>
  </si>
  <si>
    <t xml:space="preserve">La calidad de la información reportada exige conciliación previa.</t>
  </si>
  <si>
    <t xml:space="preserve">Gestión de la información</t>
  </si>
  <si>
    <t xml:space="preserve">F048-3</t>
  </si>
  <si>
    <t xml:space="preserve">Un reporte tardío o inexacto puede</t>
  </si>
  <si>
    <t xml:space="preserve">aumentar automáticamente las cantidades autorizadas.</t>
  </si>
  <si>
    <t xml:space="preserve">no tener ninguna consecuencia.</t>
  </si>
  <si>
    <t xml:space="preserve">afectar la credibilidad del país y la gestión de sus previsiones.</t>
  </si>
  <si>
    <t xml:space="preserve">La información oportuna y veraz es la base del sistema de previsiones.</t>
  </si>
  <si>
    <t xml:space="preserve">F049-1</t>
  </si>
  <si>
    <t xml:space="preserve">Procedimiento administrativo (CPACA)</t>
  </si>
  <si>
    <t xml:space="preserve">C049</t>
  </si>
  <si>
    <t xml:space="preserve">Notificación de una decisión</t>
  </si>
  <si>
    <t xml:space="preserve">Usted debe notificar una resolución de carácter particular a una empresa que no respondió la primera comunicación.</t>
  </si>
  <si>
    <t xml:space="preserve">Para la notificación personal, la citación debe enviarse dentro de los</t>
  </si>
  <si>
    <t xml:space="preserve">treinta (30) días siguientes a la expedición del acto.</t>
  </si>
  <si>
    <t xml:space="preserve">dos (2) meses siguientes a la ejecutoria.</t>
  </si>
  <si>
    <t xml:space="preserve">cinco (5) días siguientes a la expedición del acto.</t>
  </si>
  <si>
    <t xml:space="preserve">El artículo 68 del CPACA fija cinco días para enviar la citación.</t>
  </si>
  <si>
    <t xml:space="preserve">Ley 1437 de 2011, art. 68</t>
  </si>
  <si>
    <t xml:space="preserve">F049-2</t>
  </si>
  <si>
    <t xml:space="preserve">Si no fue posible la notificación personal al cabo de cinco días del envío de la citación, se procede a notificar</t>
  </si>
  <si>
    <t xml:space="preserve">por aviso.</t>
  </si>
  <si>
    <t xml:space="preserve">por edicto en cartelera durante un año.</t>
  </si>
  <si>
    <t xml:space="preserve">verbalmente por teléfono.</t>
  </si>
  <si>
    <t xml:space="preserve">El artículo 69 del CPACA prevé la notificación por aviso cuando no se logra la personal.</t>
  </si>
  <si>
    <t xml:space="preserve">Ley 1437 de 2011, art. 69</t>
  </si>
  <si>
    <t xml:space="preserve">F049-3</t>
  </si>
  <si>
    <t xml:space="preserve">Una vez notificado el acto definitivo, los recursos de reposición y apelación pueden interponerse dentro de los</t>
  </si>
  <si>
    <t xml:space="preserve">diez (10) días siguientes.</t>
  </si>
  <si>
    <t xml:space="preserve">tres (3) días siguientes.</t>
  </si>
  <si>
    <t xml:space="preserve">El artículo 76 del CPACA fija diez días para interponer reposición y apelación.</t>
  </si>
  <si>
    <t xml:space="preserve">Ley 1437 de 2011, art. 76</t>
  </si>
  <si>
    <t xml:space="preserve">F050-1</t>
  </si>
  <si>
    <t xml:space="preserve">C050</t>
  </si>
  <si>
    <t xml:space="preserve">Recursos contra una sanción del director</t>
  </si>
  <si>
    <t xml:space="preserve">El director general de un establecimiento público firmó una resolución que resuelve de fondo una actuación. El afectado quiere controvertirla.</t>
  </si>
  <si>
    <t xml:space="preserve">Contra las decisiones de los representantes legales de las entidades descentralizadas procede</t>
  </si>
  <si>
    <t xml:space="preserve">el recurso de apelación ante el ministro.</t>
  </si>
  <si>
    <t xml:space="preserve">solo el recurso de reposición, porque no hay apelación.</t>
  </si>
  <si>
    <t xml:space="preserve">el recurso de queja como regla general.</t>
  </si>
  <si>
    <t xml:space="preserve">El CPACA excluye la apelación contra las decisiones de los representantes legales de entidades descentralizadas.</t>
  </si>
  <si>
    <t xml:space="preserve">Ley 1437 de 2011, art. 74</t>
  </si>
  <si>
    <t xml:space="preserve">F050-2</t>
  </si>
  <si>
    <t xml:space="preserve">No procede recurso contra los actos</t>
  </si>
  <si>
    <t xml:space="preserve">de carácter general, de trámite, preparatorios o de ejecución, salvo norma expresa.</t>
  </si>
  <si>
    <t xml:space="preserve">que imponen sanciones.</t>
  </si>
  <si>
    <t xml:space="preserve">definitivos de carácter particular.</t>
  </si>
  <si>
    <t xml:space="preserve">El artículo 75 del CPACA declara improcedentes los recursos contra esos actos.</t>
  </si>
  <si>
    <t xml:space="preserve">Ley 1437 de 2011, art. 75</t>
  </si>
  <si>
    <t xml:space="preserve">F050-3</t>
  </si>
  <si>
    <t xml:space="preserve">El recurso de queja procede cuando</t>
  </si>
  <si>
    <t xml:space="preserve">se niega una petición de información.</t>
  </si>
  <si>
    <t xml:space="preserve">se rechaza el recurso de apelación.</t>
  </si>
  <si>
    <t xml:space="preserve">vence el término para decidir.</t>
  </si>
  <si>
    <t xml:space="preserve">La queja se interpone cuando se rechaza la apelación.</t>
  </si>
  <si>
    <t xml:space="preserve">F051-1</t>
  </si>
  <si>
    <t xml:space="preserve">C051</t>
  </si>
  <si>
    <t xml:space="preserve">Silencio y revocatoria</t>
  </si>
  <si>
    <t xml:space="preserve">Un ciudadano reclama que hace más de tres meses presentó una petición y nunca recibió respuesta. Además, pide revocar un acto anterior que lo afecta.</t>
  </si>
  <si>
    <t xml:space="preserve">Transcurridos tres meses sin que se notifique decisión que resuelva la petición, por regla general se entiende que</t>
  </si>
  <si>
    <t xml:space="preserve">la decisión es negativa (silencio administrativo negativo).</t>
  </si>
  <si>
    <t xml:space="preserve">la decisión es positiva.</t>
  </si>
  <si>
    <t xml:space="preserve">la petición quedó archivada sin efectos.</t>
  </si>
  <si>
    <t xml:space="preserve">El artículo 83 del CPACA regula el silencio negativo a los tres meses.</t>
  </si>
  <si>
    <t xml:space="preserve">Ley 1437 de 2011, art. 83</t>
  </si>
  <si>
    <t xml:space="preserve">F051-2</t>
  </si>
  <si>
    <t xml:space="preserve">El silencio administrativo negativo</t>
  </si>
  <si>
    <t xml:space="preserve">impide que el ciudadano acuda al juez.</t>
  </si>
  <si>
    <t xml:space="preserve">no exime a la autoridad de responder ni de su responsabilidad.</t>
  </si>
  <si>
    <t xml:space="preserve">extingue el deber de responder.</t>
  </si>
  <si>
    <t xml:space="preserve">El silencio no libera a la autoridad de decidir ni de las responsabilidades por no hacerlo.</t>
  </si>
  <si>
    <t xml:space="preserve">F051-3</t>
  </si>
  <si>
    <t xml:space="preserve">Una causal para revocar directamente un acto administrativo es que</t>
  </si>
  <si>
    <t xml:space="preserve">sea manifiestamente contrario a la Constitución o a la ley.</t>
  </si>
  <si>
    <t xml:space="preserve">el funcionario que lo expidió ya no trabaje en la entidad.</t>
  </si>
  <si>
    <t xml:space="preserve">haya pasado más de un año desde su expedición.</t>
  </si>
  <si>
    <t xml:space="preserve">El artículo 93 del CPACA enumera las causales de revocatoria directa.</t>
  </si>
  <si>
    <t xml:space="preserve">Ley 1437 de 2011, art. 93</t>
  </si>
  <si>
    <t xml:space="preserve">F052-1</t>
  </si>
  <si>
    <t xml:space="preserve">C052</t>
  </si>
  <si>
    <t xml:space="preserve">Petición verbal y entre autoridades</t>
  </si>
  <si>
    <t xml:space="preserve">En un mismo día usted recibe una petición verbal en ventanilla y un oficio de otra entidad pública que solicita información para un trámite.</t>
  </si>
  <si>
    <t xml:space="preserve">Sobre la petición verbal, es correcto que</t>
  </si>
  <si>
    <t xml:space="preserve">es válida y debe recibirse y tramitarse, dejando constancia.</t>
  </si>
  <si>
    <t xml:space="preserve">solo es válida si se presenta por escrito.</t>
  </si>
  <si>
    <t xml:space="preserve">debe exigirse que el ciudadano la radique con abogado.</t>
  </si>
  <si>
    <t xml:space="preserve">La Ley 1755 de 2015 permite presentar peticiones en forma verbal.</t>
  </si>
  <si>
    <t xml:space="preserve">F052-2</t>
  </si>
  <si>
    <t xml:space="preserve">Cuando una autoridad pide información a otra, el término para responder es de</t>
  </si>
  <si>
    <t xml:space="preserve">quince (15) días hábiles, igual que cualquier petición.</t>
  </si>
  <si>
    <t xml:space="preserve">El artículo 30 del CPACA establece diez días para las peticiones entre autoridades.</t>
  </si>
  <si>
    <t xml:space="preserve">Ley 1437 de 2011, art. 30 (Ley 1755 de 2015)</t>
  </si>
  <si>
    <t xml:space="preserve">F052-3</t>
  </si>
  <si>
    <t xml:space="preserve">Por regla general, presentar una petición</t>
  </si>
  <si>
    <t xml:space="preserve">requiere pagar una estampilla.</t>
  </si>
  <si>
    <t xml:space="preserve">es gratuito, salvo el costo de las copias cuando aplique.</t>
  </si>
  <si>
    <t xml:space="preserve">tiene un costo fijado por cada entidad.</t>
  </si>
  <si>
    <t xml:space="preserve">El ejercicio del derecho de petición es gratuito.</t>
  </si>
  <si>
    <t xml:space="preserve">F053-1</t>
  </si>
  <si>
    <t xml:space="preserve">C053</t>
  </si>
  <si>
    <t xml:space="preserve">Instrumentos de transparencia</t>
  </si>
  <si>
    <t xml:space="preserve">La oficina de planeación le pide apoyar la actualización de los instrumentos de gestión de información pública.</t>
  </si>
  <si>
    <t xml:space="preserve">El principio según el cual toda información en poder de los sujetos obligados se presume pública es el de</t>
  </si>
  <si>
    <t xml:space="preserve">máxima publicidad.</t>
  </si>
  <si>
    <t xml:space="preserve">reserva legal.</t>
  </si>
  <si>
    <t xml:space="preserve">confidencialidad.</t>
  </si>
  <si>
    <t xml:space="preserve">La Ley 1712 de 2014 consagra el principio de máxima publicidad.</t>
  </si>
  <si>
    <t xml:space="preserve">Ley 1712 de 2014, art. 2</t>
  </si>
  <si>
    <t xml:space="preserve">F053-2</t>
  </si>
  <si>
    <t xml:space="preserve">La reserva de una información pública reservada puede extenderse por un término máximo de</t>
  </si>
  <si>
    <t xml:space="preserve">cincuenta (50) años.</t>
  </si>
  <si>
    <t xml:space="preserve">cinco (5) años.</t>
  </si>
  <si>
    <t xml:space="preserve">quince (15) años.</t>
  </si>
  <si>
    <t xml:space="preserve">La Ley 1712 de 2014 fija un máximo de quince años para la reserva.</t>
  </si>
  <si>
    <t xml:space="preserve">Ley 1712 de 2014, art. 22</t>
  </si>
  <si>
    <t xml:space="preserve">F053-3</t>
  </si>
  <si>
    <t xml:space="preserve">El instrumento que identifica la información que la entidad clasifica o reserva es</t>
  </si>
  <si>
    <t xml:space="preserve">el índice de información clasificada y reservada.</t>
  </si>
  <si>
    <t xml:space="preserve">el mapa de procesos.</t>
  </si>
  <si>
    <t xml:space="preserve">La Ley 1712 de 2014 exige a los sujetos obligados mantener este índice.</t>
  </si>
  <si>
    <t xml:space="preserve">Ley 1712 de 2014, art. 20</t>
  </si>
  <si>
    <t xml:space="preserve">F054-1</t>
  </si>
  <si>
    <t xml:space="preserve">C054</t>
  </si>
  <si>
    <t xml:space="preserve">Código de integridad</t>
  </si>
  <si>
    <t xml:space="preserve">Su entidad lanza una campaña para apropiar los valores del servicio público.</t>
  </si>
  <si>
    <t xml:space="preserve">Los valores del Código de Integridad del servicio público son</t>
  </si>
  <si>
    <t xml:space="preserve">eficiencia, eficacia, efectividad, economía y equidad.</t>
  </si>
  <si>
    <t xml:space="preserve">honestidad, respeto, compromiso, diligencia y justicia.</t>
  </si>
  <si>
    <t xml:space="preserve">lealtad, obediencia, discreción, rapidez y austeridad.</t>
  </si>
  <si>
    <t xml:space="preserve">El Código de Integridad adoptado por Función Pública define esos cinco valores.</t>
  </si>
  <si>
    <t xml:space="preserve">Código de Integridad del Servicio Público</t>
  </si>
  <si>
    <t xml:space="preserve">F054-2</t>
  </si>
  <si>
    <t xml:space="preserve">Actuar con imparcialidad y equidad en las decisiones corresponde al valor de</t>
  </si>
  <si>
    <t xml:space="preserve">justicia.</t>
  </si>
  <si>
    <t xml:space="preserve">compromiso.</t>
  </si>
  <si>
    <t xml:space="preserve">diligencia.</t>
  </si>
  <si>
    <t xml:space="preserve">El valor de justicia se asocia a actuar con imparcialidad y equidad.</t>
  </si>
  <si>
    <t xml:space="preserve">F054-3</t>
  </si>
  <si>
    <t xml:space="preserve">La publicación de la declaración de bienes y rentas y del registro de conflictos de interés de los servidores obligados la ordena</t>
  </si>
  <si>
    <t xml:space="preserve">el Decreto 111 de 1996.</t>
  </si>
  <si>
    <t xml:space="preserve">la Ley 2013 de 2019.</t>
  </si>
  <si>
    <t xml:space="preserve">La Ley 2013 de 2019 regula esa publicación para promover la transparencia.</t>
  </si>
  <si>
    <t xml:space="preserve">Ley 2013 de 2019</t>
  </si>
  <si>
    <t xml:space="preserve">F055-1</t>
  </si>
  <si>
    <t xml:space="preserve">C055</t>
  </si>
  <si>
    <t xml:space="preserve">Alcance del régimen disciplinario</t>
  </si>
  <si>
    <t xml:space="preserve">En una capacitación le preguntan a quién se aplica el Código General Disciplinario y qué pasa con las faltas más graves.</t>
  </si>
  <si>
    <t xml:space="preserve">El Código General Disciplinario se aplica a</t>
  </si>
  <si>
    <t xml:space="preserve">los servidores públicos y a los particulares que ejercen funciones públicas, en los casos previstos.</t>
  </si>
  <si>
    <t xml:space="preserve">solo a los empleados de carrera administrativa.</t>
  </si>
  <si>
    <t xml:space="preserve">solo a los contratistas de prestación de servicios.</t>
  </si>
  <si>
    <t xml:space="preserve">La Ley 1952 de 2019 incluye a servidores públicos y a ciertos particulares.</t>
  </si>
  <si>
    <t xml:space="preserve">Ley 1952 de 2019</t>
  </si>
  <si>
    <t xml:space="preserve">F055-2</t>
  </si>
  <si>
    <t xml:space="preserve">Para las faltas gravísimas dolosas, la sanción es</t>
  </si>
  <si>
    <t xml:space="preserve">multa.</t>
  </si>
  <si>
    <t xml:space="preserve">La Ley 1952 de 2019 sanciona las faltas gravísimas dolosas con destitución e inhabilidad general.</t>
  </si>
  <si>
    <t xml:space="preserve">F055-3</t>
  </si>
  <si>
    <t xml:space="preserve">Para las faltas leves dolosas, la sanción es</t>
  </si>
  <si>
    <t xml:space="preserve">destitución.</t>
  </si>
  <si>
    <t xml:space="preserve">suspensión e inhabilidad especial.</t>
  </si>
  <si>
    <t xml:space="preserve">La Ley 1952 de 2019 asigna multa a las faltas leves dolosas.</t>
  </si>
  <si>
    <t xml:space="preserve">F056-1</t>
  </si>
  <si>
    <t xml:space="preserve">Control y responsabilidad de los servidores</t>
  </si>
  <si>
    <t xml:space="preserve">C056</t>
  </si>
  <si>
    <t xml:space="preserve">Tres tipos de control</t>
  </si>
  <si>
    <t xml:space="preserve">Un contrato de su entidad presentó sobrecostos y un funcionario habría recibido dinero del contratista.</t>
  </si>
  <si>
    <t xml:space="preserve">La investigación del posible daño al patrimonio público le corresponde a</t>
  </si>
  <si>
    <t xml:space="preserve">la Procuraduría, mediante un proceso fiscal.</t>
  </si>
  <si>
    <t xml:space="preserve">la CNSC.</t>
  </si>
  <si>
    <t xml:space="preserve">la Contraloría, mediante el proceso de responsabilidad fiscal.</t>
  </si>
  <si>
    <t xml:space="preserve">El control fiscal y la responsabilidad fiscal son competencia de las contralorías.</t>
  </si>
  <si>
    <t xml:space="preserve">Constitución Política, art. 267</t>
  </si>
  <si>
    <t xml:space="preserve">F056-2</t>
  </si>
  <si>
    <t xml:space="preserve">La conducta del funcionario que recibió dinero puede generar, además, responsabilidad</t>
  </si>
  <si>
    <t xml:space="preserve">solo disciplinaria.</t>
  </si>
  <si>
    <t xml:space="preserve">solo civil.</t>
  </si>
  <si>
    <t xml:space="preserve">disciplinaria y penal, que se investigan por separado.</t>
  </si>
  <si>
    <t xml:space="preserve">Una misma conducta puede tener consecuencias fiscales, disciplinarias y penales independientes.</t>
  </si>
  <si>
    <t xml:space="preserve">Constitución Política; Ley 1952 de 2019</t>
  </si>
  <si>
    <t xml:space="preserve">F056-3</t>
  </si>
  <si>
    <t xml:space="preserve">El ejercicio preferente del poder disciplinario corresponde a</t>
  </si>
  <si>
    <t xml:space="preserve">la Contraloría General de la República.</t>
  </si>
  <si>
    <t xml:space="preserve">la Fiscalía General de la Nación.</t>
  </si>
  <si>
    <t xml:space="preserve">la Procuraduría General de la Nación.</t>
  </si>
  <si>
    <t xml:space="preserve">La Constitución asigna a la Procuraduría el poder disciplinario preferente.</t>
  </si>
  <si>
    <t xml:space="preserve">Constitución Política, art. 277</t>
  </si>
  <si>
    <t xml:space="preserve">F057-1</t>
  </si>
  <si>
    <t xml:space="preserve">C057</t>
  </si>
  <si>
    <t xml:space="preserve">Acción popular y de cumplimiento</t>
  </si>
  <si>
    <t xml:space="preserve">Una asociación de vecinos denuncia que una fábrica genera un riesgo para la salud de la comunidad y que una autoridad no cumple una norma.</t>
  </si>
  <si>
    <t xml:space="preserve">Para proteger derechos colectivos como la salubridad pública, la acción adecuada es la</t>
  </si>
  <si>
    <t xml:space="preserve">acción popular.</t>
  </si>
  <si>
    <t xml:space="preserve">acción de tutela.</t>
  </si>
  <si>
    <t xml:space="preserve">acción de nulidad electoral.</t>
  </si>
  <si>
    <t xml:space="preserve">La Ley 472 de 1998 regula las acciones populares para derechos e intereses colectivos.</t>
  </si>
  <si>
    <t xml:space="preserve">Ley 472 de 1998</t>
  </si>
  <si>
    <t xml:space="preserve">F057-2</t>
  </si>
  <si>
    <t xml:space="preserve">Para exigir a una autoridad que cumpla una norma con fuerza material de ley o un acto administrativo, procede la</t>
  </si>
  <si>
    <t xml:space="preserve">acción de grupo.</t>
  </si>
  <si>
    <t xml:space="preserve">acción de repetición.</t>
  </si>
  <si>
    <t xml:space="preserve">acción de cumplimiento.</t>
  </si>
  <si>
    <t xml:space="preserve">La Ley 393 de 1997 regula la acción de cumplimiento.</t>
  </si>
  <si>
    <t xml:space="preserve">Ley 393 de 1997</t>
  </si>
  <si>
    <t xml:space="preserve">F057-3</t>
  </si>
  <si>
    <t xml:space="preserve">Antes de presentar la acción de cumplimiento, por regla general, el interesado debe</t>
  </si>
  <si>
    <t xml:space="preserve">presentar una tutela.</t>
  </si>
  <si>
    <t xml:space="preserve">haber reclamado el cumplimiento a la autoridad y que esta se ratifique en el incumplimiento o no conteste.</t>
  </si>
  <si>
    <t xml:space="preserve">pedir concepto a la Procuraduría.</t>
  </si>
  <si>
    <t xml:space="preserve">La Ley 393 de 1997 exige constituir en renuencia a la autoridad.</t>
  </si>
  <si>
    <t xml:space="preserve">Ley 393 de 1997, art. 8</t>
  </si>
  <si>
    <t xml:space="preserve">F058-1</t>
  </si>
  <si>
    <t xml:space="preserve">C058</t>
  </si>
  <si>
    <t xml:space="preserve">Evaluación del desempeño</t>
  </si>
  <si>
    <t xml:space="preserve">Usted ya es empleado de carrera y su jefe le explica cómo será evaluado.</t>
  </si>
  <si>
    <t xml:space="preserve">La evaluación del desempeño laboral se basa en</t>
  </si>
  <si>
    <t xml:space="preserve">compromisos laborales y comportamentales fijados para el período.</t>
  </si>
  <si>
    <t xml:space="preserve">la opinión de los compañeros.</t>
  </si>
  <si>
    <t xml:space="preserve">la antigüedad en el cargo.</t>
  </si>
  <si>
    <t xml:space="preserve">El sistema tipo de evaluación mide compromisos funcionales y comportamentales.</t>
  </si>
  <si>
    <t xml:space="preserve">Ley 909 de 2004; Acuerdo CNSC sistema tipo</t>
  </si>
  <si>
    <t xml:space="preserve">F058-2</t>
  </si>
  <si>
    <t xml:space="preserve">Si un empleado de carrera obtiene una calificación no satisfactoria en firme,</t>
  </si>
  <si>
    <t xml:space="preserve">su nombramiento debe declararse insubsistente.</t>
  </si>
  <si>
    <t xml:space="preserve">conserva el cargo sin consecuencias.</t>
  </si>
  <si>
    <t xml:space="preserve">debe trasladarse a otra dependencia.</t>
  </si>
  <si>
    <t xml:space="preserve">La Ley 909 de 2004 ordena la insubsistencia por calificación no satisfactoria.</t>
  </si>
  <si>
    <t xml:space="preserve">Ley 909 de 2004, art. 43</t>
  </si>
  <si>
    <t xml:space="preserve">F058-3</t>
  </si>
  <si>
    <t xml:space="preserve">Un empleado de carrera que desempeña temporalmente un empleo de superior jerarquía mientras conserva el suyo está en</t>
  </si>
  <si>
    <t xml:space="preserve">licencia no remunerada.</t>
  </si>
  <si>
    <t xml:space="preserve">comisión de estudios.</t>
  </si>
  <si>
    <t xml:space="preserve">encargo.</t>
  </si>
  <si>
    <t xml:space="preserve">El encargo permite desempeñar otro empleo sin perder el propio.</t>
  </si>
  <si>
    <t xml:space="preserve">Decreto 1083 de 2015</t>
  </si>
  <si>
    <t xml:space="preserve">F059-1</t>
  </si>
  <si>
    <t xml:space="preserve">Talento humano y bienestar</t>
  </si>
  <si>
    <t xml:space="preserve">C059</t>
  </si>
  <si>
    <t xml:space="preserve">Acoso laboral</t>
  </si>
  <si>
    <t xml:space="preserve">Una compañera le cuenta que su superior la ridiculiza en reuniones y le asigna tareas imposibles de cumplir.</t>
  </si>
  <si>
    <t xml:space="preserve">Las conductas descritas pueden constituir acoso laboral, regulado por</t>
  </si>
  <si>
    <t xml:space="preserve">la Ley 1712 de 2014.</t>
  </si>
  <si>
    <t xml:space="preserve">la Ley 1010 de 2006.</t>
  </si>
  <si>
    <t xml:space="preserve">la Ley 80 de 1993.</t>
  </si>
  <si>
    <t xml:space="preserve">La Ley 1010 de 2006 define y previene el acoso laboral.</t>
  </si>
  <si>
    <t xml:space="preserve">Ley 1010 de 2006</t>
  </si>
  <si>
    <t xml:space="preserve">F059-2</t>
  </si>
  <si>
    <t xml:space="preserve">La instancia interna a la que puede acudir es</t>
  </si>
  <si>
    <t xml:space="preserve">el Comité de Contratación.</t>
  </si>
  <si>
    <t xml:space="preserve">la Oficina de Control Interno.</t>
  </si>
  <si>
    <t xml:space="preserve">el Comité de Convivencia Laboral.</t>
  </si>
  <si>
    <t xml:space="preserve">El Comité de Convivencia Laboral atiende las quejas de posible acoso.</t>
  </si>
  <si>
    <t xml:space="preserve">Ley 1010 de 2006; Resolución 652 de 2012</t>
  </si>
  <si>
    <t xml:space="preserve">F059-3</t>
  </si>
  <si>
    <t xml:space="preserve">Las acciones derivadas del acoso laboral caducan</t>
  </si>
  <si>
    <t xml:space="preserve">cinco (5) años después.</t>
  </si>
  <si>
    <t xml:space="preserve">seis (6) meses después de ocurridas las conductas.</t>
  </si>
  <si>
    <t xml:space="preserve">nunca.</t>
  </si>
  <si>
    <t xml:space="preserve">La Ley 1010 de 2006 fija una caducidad de seis meses.</t>
  </si>
  <si>
    <t xml:space="preserve">Ley 1010 de 2006, art. 18</t>
  </si>
  <si>
    <t xml:space="preserve">F060-1</t>
  </si>
  <si>
    <t xml:space="preserve">C060</t>
  </si>
  <si>
    <t xml:space="preserve">Accidente en una visita</t>
  </si>
  <si>
    <t xml:space="preserve">Durante una visita de inspección, un compañero se cae y se lesiona el brazo en las instalaciones del vigilado.</t>
  </si>
  <si>
    <t xml:space="preserve">Como ocurrió con ocasión del trabajo, el evento debe reportarse a la ARL</t>
  </si>
  <si>
    <t xml:space="preserve">dentro de los dos (2) días hábiles siguientes.</t>
  </si>
  <si>
    <t xml:space="preserve">dentro del mes siguiente.</t>
  </si>
  <si>
    <t xml:space="preserve">solo si la incapacidad supera 30 días.</t>
  </si>
  <si>
    <t xml:space="preserve">El empleador debe reportar el accidente de trabajo dentro de los dos días hábiles siguientes.</t>
  </si>
  <si>
    <t xml:space="preserve">Normativa de riesgos laborales</t>
  </si>
  <si>
    <t xml:space="preserve">F060-2</t>
  </si>
  <si>
    <t xml:space="preserve">El comité paritario que promueve y vigila las normas de seguridad y salud en el trabajo es el</t>
  </si>
  <si>
    <t xml:space="preserve">Comité de Gestión y Desempeño.</t>
  </si>
  <si>
    <t xml:space="preserve">COPASST.</t>
  </si>
  <si>
    <t xml:space="preserve">Comité de Convivencia Laboral.</t>
  </si>
  <si>
    <t xml:space="preserve">El COPASST vigila el Sistema de Gestión de Seguridad y Salud en el Trabajo.</t>
  </si>
  <si>
    <t xml:space="preserve">Decreto 1072 de 2015</t>
  </si>
  <si>
    <t xml:space="preserve">F060-3</t>
  </si>
  <si>
    <t xml:space="preserve">Para prevenir nuevos eventos, lo más útil es</t>
  </si>
  <si>
    <t xml:space="preserve">sancionar al compañero por descuidado.</t>
  </si>
  <si>
    <t xml:space="preserve">prohibir las visitas de campo.</t>
  </si>
  <si>
    <t xml:space="preserve">investigar el accidente, identificar causas y definir medidas de control.</t>
  </si>
  <si>
    <t xml:space="preserve">La investigación de accidentes busca causas y controles, no culpables.</t>
  </si>
  <si>
    <t xml:space="preserve">F061-1</t>
  </si>
  <si>
    <t xml:space="preserve">C061</t>
  </si>
  <si>
    <t xml:space="preserve">Dimensiones de MIPG</t>
  </si>
  <si>
    <t xml:space="preserve">Le piden explicar a un equipo nuevo cómo está organizado el Modelo Integrado de Planeación y Gestión.</t>
  </si>
  <si>
    <t xml:space="preserve">MIPG se organiza en</t>
  </si>
  <si>
    <t xml:space="preserve">doce objetivos de desarrollo sostenible.</t>
  </si>
  <si>
    <t xml:space="preserve">tres niveles de autoridad.</t>
  </si>
  <si>
    <t xml:space="preserve">siete dimensiones operativas.</t>
  </si>
  <si>
    <t xml:space="preserve">MIPG opera a través de siete dimensiones.</t>
  </si>
  <si>
    <t xml:space="preserve">Decreto 1499 de 2017; Manual Operativo MIPG</t>
  </si>
  <si>
    <t xml:space="preserve">F061-2</t>
  </si>
  <si>
    <t xml:space="preserve">La dimensión que MIPG considera el corazón del modelo es</t>
  </si>
  <si>
    <t xml:space="preserve">talento humano.</t>
  </si>
  <si>
    <t xml:space="preserve">información y comunicación.</t>
  </si>
  <si>
    <t xml:space="preserve">gestión presupuestal.</t>
  </si>
  <si>
    <t xml:space="preserve">MIPG ubica al talento humano como el corazón del modelo.</t>
  </si>
  <si>
    <t xml:space="preserve">Manual Operativo MIPG</t>
  </si>
  <si>
    <t xml:space="preserve">F061-3</t>
  </si>
  <si>
    <t xml:space="preserve">El instrumento con el que se mide anualmente el avance de las entidades en MIPG es</t>
  </si>
  <si>
    <t xml:space="preserve">el FURAG.</t>
  </si>
  <si>
    <t xml:space="preserve">el SIGEP.</t>
  </si>
  <si>
    <t xml:space="preserve">el SECOP.</t>
  </si>
  <si>
    <t xml:space="preserve">El Formulario Único de Reporte de Avance de la Gestión (FURAG) mide la implementación de MIPG.</t>
  </si>
  <si>
    <t xml:space="preserve">Función Pública, FURAG</t>
  </si>
  <si>
    <t xml:space="preserve">F062-1</t>
  </si>
  <si>
    <t xml:space="preserve">C062</t>
  </si>
  <si>
    <t xml:space="preserve">Plan de mejoramiento</t>
  </si>
  <si>
    <t xml:space="preserve">La Contraloría dejó hallazgos en una auditoría a su proceso y le piden formular el plan de mejoramiento.</t>
  </si>
  <si>
    <t xml:space="preserve">Una acción de mejora bien formulada debe atacar</t>
  </si>
  <si>
    <t xml:space="preserve">a la persona responsable.</t>
  </si>
  <si>
    <t xml:space="preserve">la causa raíz del hallazgo.</t>
  </si>
  <si>
    <t xml:space="preserve">solo el síntoma visible.</t>
  </si>
  <si>
    <t xml:space="preserve">Las acciones efectivas eliminan la causa que originó el hallazgo.</t>
  </si>
  <si>
    <t xml:space="preserve">Guía de auditoría y mejora</t>
  </si>
  <si>
    <t xml:space="preserve">F062-2</t>
  </si>
  <si>
    <t xml:space="preserve">Cada acción del plan debe tener</t>
  </si>
  <si>
    <t xml:space="preserve">solo una descripción general.</t>
  </si>
  <si>
    <t xml:space="preserve">responsable, fecha, meta e indicador verificable.</t>
  </si>
  <si>
    <t xml:space="preserve">la firma de todos los funcionarios.</t>
  </si>
  <si>
    <t xml:space="preserve">Un plan verificable define responsables, plazos y metas medibles.</t>
  </si>
  <si>
    <t xml:space="preserve">F062-3</t>
  </si>
  <si>
    <t xml:space="preserve">El sistema de control interno de las entidades públicas se regula principalmente por</t>
  </si>
  <si>
    <t xml:space="preserve">la Ley 472 de 1998.</t>
  </si>
  <si>
    <t xml:space="preserve">la Ley 87 de 1993.</t>
  </si>
  <si>
    <t xml:space="preserve">La Ley 87 de 1993 establece normas para el control interno en las entidades del Estado.</t>
  </si>
  <si>
    <t xml:space="preserve">Ley 87 de 1993</t>
  </si>
  <si>
    <t xml:space="preserve">F063-1</t>
  </si>
  <si>
    <t xml:space="preserve">C063</t>
  </si>
  <si>
    <t xml:space="preserve">Supervisión o interventoría</t>
  </si>
  <si>
    <t xml:space="preserve">Su entidad firmará un contrato de obra complejo y otro de suministro sencillo.</t>
  </si>
  <si>
    <t xml:space="preserve">Cuando el seguimiento requiere conocimiento especializado o la complejidad lo justifica, se puede contratar</t>
  </si>
  <si>
    <t xml:space="preserve">una interventoría con una persona natural o jurídica.</t>
  </si>
  <si>
    <t xml:space="preserve">un supervisor ad honorem.</t>
  </si>
  <si>
    <t xml:space="preserve">a otro contratista del mismo contrato.</t>
  </si>
  <si>
    <t xml:space="preserve">La Ley 1474 de 2011 distingue supervisión (entidad) de interventoría (contratada).</t>
  </si>
  <si>
    <t xml:space="preserve">Ley 1474 de 2011, art. 83</t>
  </si>
  <si>
    <t xml:space="preserve">F063-2</t>
  </si>
  <si>
    <t xml:space="preserve">La mínima cuantía corresponde a contratos cuyo valor no excede</t>
  </si>
  <si>
    <t xml:space="preserve">el 10 % de la menor cuantía de la entidad.</t>
  </si>
  <si>
    <t xml:space="preserve">cien salarios mínimos en todos los casos.</t>
  </si>
  <si>
    <t xml:space="preserve">el 50 % del presupuesto anual.</t>
  </si>
  <si>
    <t xml:space="preserve">La modalidad de mínima cuantía aplica hasta el 10 % de la menor cuantía.</t>
  </si>
  <si>
    <t xml:space="preserve">Ley 1150 de 2007, art. 2 (Ley 1474 de 2011)</t>
  </si>
  <si>
    <t xml:space="preserve">F063-3</t>
  </si>
  <si>
    <t xml:space="preserve">La plataforma donde se publican los procesos de contratación pública es</t>
  </si>
  <si>
    <t xml:space="preserve">el SUIT.</t>
  </si>
  <si>
    <t xml:space="preserve">El Sistema Electrónico de Contratación Pública (SECOP) da publicidad a la contratación.</t>
  </si>
  <si>
    <t xml:space="preserve">F064-1</t>
  </si>
  <si>
    <t xml:space="preserve">C064</t>
  </si>
  <si>
    <t xml:space="preserve">Liquidación del contrato</t>
  </si>
  <si>
    <t xml:space="preserve">Terminó un contrato de suministro y su jefe le pide adelantar la liquidación.</t>
  </si>
  <si>
    <t xml:space="preserve">A falta de término pactado, la liquidación de mutuo acuerdo se hace dentro de los</t>
  </si>
  <si>
    <t xml:space="preserve">cuatro (4) meses siguientes a la terminación.</t>
  </si>
  <si>
    <t xml:space="preserve">cinco (5) años siguientes.</t>
  </si>
  <si>
    <t xml:space="preserve">La Ley 1150 de 2007 fija cuatro meses para la liquidación bilateral cuando no se pactó otro plazo.</t>
  </si>
  <si>
    <t xml:space="preserve">Ley 1150 de 2007, art. 11</t>
  </si>
  <si>
    <t xml:space="preserve">F064-2</t>
  </si>
  <si>
    <t xml:space="preserve">Si el contratista no se presenta a liquidar, la entidad puede</t>
  </si>
  <si>
    <t xml:space="preserve">pedir al juez que liquide de inmediato.</t>
  </si>
  <si>
    <t xml:space="preserve">liquidar unilateralmente dentro de los dos meses siguientes.</t>
  </si>
  <si>
    <t xml:space="preserve">abstenerse de liquidar indefinidamente.</t>
  </si>
  <si>
    <t xml:space="preserve">La Ley 1150 de 2007 permite la liquidación unilateral en ese evento.</t>
  </si>
  <si>
    <t xml:space="preserve">F064-3</t>
  </si>
  <si>
    <t xml:space="preserve">El documento que respalda la necesidad, el objeto y el valor del contrato antes de iniciar el proceso es</t>
  </si>
  <si>
    <t xml:space="preserve">el acta de liquidación.</t>
  </si>
  <si>
    <t xml:space="preserve">el informe de supervisión.</t>
  </si>
  <si>
    <t xml:space="preserve">el estudio previo.</t>
  </si>
  <si>
    <t xml:space="preserve">Los estudios previos sustentan la necesidad y condiciones del contrato.</t>
  </si>
  <si>
    <t xml:space="preserve">F065-1</t>
  </si>
  <si>
    <t xml:space="preserve">C065</t>
  </si>
  <si>
    <t xml:space="preserve">Carta de trato digno</t>
  </si>
  <si>
    <t xml:space="preserve">La entidad actualizará los documentos que informan a los ciudadanos sus derechos.</t>
  </si>
  <si>
    <t xml:space="preserve">La carta de trato digno al usuario debe</t>
  </si>
  <si>
    <t xml:space="preserve">informar los derechos de los usuarios y los medios para garantizarlos.</t>
  </si>
  <si>
    <t xml:space="preserve">limitarse a listar los horarios de atención.</t>
  </si>
  <si>
    <t xml:space="preserve">publicarse solo para los funcionarios.</t>
  </si>
  <si>
    <t xml:space="preserve">El artículo 7 del CPACA obliga a expedir y hacer visible la carta de trato digno.</t>
  </si>
  <si>
    <t xml:space="preserve">Ley 1437 de 2011, art. 7</t>
  </si>
  <si>
    <t xml:space="preserve">F065-2</t>
  </si>
  <si>
    <t xml:space="preserve">Dentro de los deberes de las autoridades en la atención al público está</t>
  </si>
  <si>
    <t xml:space="preserve">atender a todas las personas que hubieran ingresado a sus oficinas dentro del horario normal.</t>
  </si>
  <si>
    <t xml:space="preserve">cerrar las puertas a la hora exacta sin atender a quienes esperan.</t>
  </si>
  <si>
    <t xml:space="preserve">atender solo a quienes tienen cita.</t>
  </si>
  <si>
    <t xml:space="preserve">El CPACA ordena atender a quienes ingresaron dentro del horario.</t>
  </si>
  <si>
    <t xml:space="preserve">F065-3</t>
  </si>
  <si>
    <t xml:space="preserve">Las personas en situación de discapacidad, niños y adultos mayores tienen derecho a</t>
  </si>
  <si>
    <t xml:space="preserve">ser atendidos solo por escrito.</t>
  </si>
  <si>
    <t xml:space="preserve">esperar su turno como los demás, sin excepción.</t>
  </si>
  <si>
    <t xml:space="preserve">atención especial y preferente.</t>
  </si>
  <si>
    <t xml:space="preserve">El CPACA reconoce la atención prioritaria a sujetos de especial protección.</t>
  </si>
  <si>
    <t xml:space="preserve">Ley 1437 de 2011, art. 5</t>
  </si>
  <si>
    <t xml:space="preserve">F066-1</t>
  </si>
  <si>
    <t xml:space="preserve">C066</t>
  </si>
  <si>
    <t xml:space="preserve">Derechos del titular</t>
  </si>
  <si>
    <t xml:space="preserve">Un ciudadano pide saber qué datos suyos tiene la entidad y solicita corregir su dirección.</t>
  </si>
  <si>
    <t xml:space="preserve">Entre los derechos del titular de datos personales está</t>
  </si>
  <si>
    <t xml:space="preserve">vender sus datos a la entidad.</t>
  </si>
  <si>
    <t xml:space="preserve">conocer, actualizar y rectificar sus datos.</t>
  </si>
  <si>
    <t xml:space="preserve">exigir que se publiquen sus datos.</t>
  </si>
  <si>
    <t xml:space="preserve">La Ley 1581 de 2012 reconoce los derechos de conocer, actualizar y rectificar.</t>
  </si>
  <si>
    <t xml:space="preserve">Ley 1581 de 2012, art. 8</t>
  </si>
  <si>
    <t xml:space="preserve">F066-2</t>
  </si>
  <si>
    <t xml:space="preserve">La autoridad de protección de datos personales en Colombia es</t>
  </si>
  <si>
    <t xml:space="preserve">la Superintendencia de Industria y Comercio.</t>
  </si>
  <si>
    <t xml:space="preserve">la Registraduría Nacional.</t>
  </si>
  <si>
    <t xml:space="preserve">La Delegatura de Protección de Datos de la SIC vigila el cumplimiento de la Ley 1581.</t>
  </si>
  <si>
    <t xml:space="preserve">F066-3</t>
  </si>
  <si>
    <t xml:space="preserve">Para tratar datos personales, por regla general se requiere</t>
  </si>
  <si>
    <t xml:space="preserve">autorización previa e informada del titular, salvo las excepciones legales.</t>
  </si>
  <si>
    <t xml:space="preserve">la aprobación del jefe inmediato.</t>
  </si>
  <si>
    <t xml:space="preserve">solo que la entidad los necesite.</t>
  </si>
  <si>
    <t xml:space="preserve">La Ley 1581 de 2012 exige autorización previa, con excepciones como las funciones legales de la entidad.</t>
  </si>
  <si>
    <t xml:space="preserve">Ley 1581 de 2012, arts. 9 y 10</t>
  </si>
  <si>
    <t xml:space="preserve">F067-1</t>
  </si>
  <si>
    <t xml:space="preserve">C067</t>
  </si>
  <si>
    <t xml:space="preserve">Participación y rendición de cuentas</t>
  </si>
  <si>
    <t xml:space="preserve">Su entidad prepara la audiencia de rendición de cuentas del año.</t>
  </si>
  <si>
    <t xml:space="preserve">La rendición de cuentas es un proceso</t>
  </si>
  <si>
    <t xml:space="preserve">permanente de diálogo con la ciudadanía sobre la gestión y sus resultados.</t>
  </si>
  <si>
    <t xml:space="preserve">que se cumple con publicar un informe financiero.</t>
  </si>
  <si>
    <t xml:space="preserve">exclusivo para los organismos de control.</t>
  </si>
  <si>
    <t xml:space="preserve">La Ley 1757 de 2015 concibe la rendición de cuentas como un proceso de información, diálogo y responsabilidad.</t>
  </si>
  <si>
    <t xml:space="preserve">Ley 1757 de 2015</t>
  </si>
  <si>
    <t xml:space="preserve">F067-2</t>
  </si>
  <si>
    <t xml:space="preserve">La ley estatutaria que regula la participación democrática es</t>
  </si>
  <si>
    <t xml:space="preserve">la Ley 1757 de 2015.</t>
  </si>
  <si>
    <t xml:space="preserve">la Ley 1581 de 2012.</t>
  </si>
  <si>
    <t xml:space="preserve">La Ley 1757 de 2015 dicta disposiciones sobre la promoción y protección del derecho a la participación.</t>
  </si>
  <si>
    <t xml:space="preserve">F067-3</t>
  </si>
  <si>
    <t xml:space="preserve">Una buena práctica para la audiencia es</t>
  </si>
  <si>
    <t xml:space="preserve">limitar la asistencia a los funcionarios.</t>
  </si>
  <si>
    <t xml:space="preserve">presentar solo los logros.</t>
  </si>
  <si>
    <t xml:space="preserve">publicar el informe con antelación y recoger las preguntas de la ciudadanía.</t>
  </si>
  <si>
    <t xml:space="preserve">El diálogo requiere información previa y espacios para la participación.</t>
  </si>
  <si>
    <t xml:space="preserve">Manual Único de Rendición de Cuentas</t>
  </si>
  <si>
    <t xml:space="preserve">F068-1</t>
  </si>
  <si>
    <t xml:space="preserve">Salud pública y sistema de salud</t>
  </si>
  <si>
    <t xml:space="preserve">C068</t>
  </si>
  <si>
    <t xml:space="preserve">Normas del sector salud</t>
  </si>
  <si>
    <t xml:space="preserve">Un compañero nuevo en el sector pregunta dónde buscar las normas reglamentarias del sector salud.</t>
  </si>
  <si>
    <t xml:space="preserve">El decreto único reglamentario del sector salud y protección social es</t>
  </si>
  <si>
    <t xml:space="preserve">el Decreto 780 de 2016.</t>
  </si>
  <si>
    <t xml:space="preserve">el Decreto 1083 de 2015.</t>
  </si>
  <si>
    <t xml:space="preserve">el Decreto 1082 de 2015.</t>
  </si>
  <si>
    <t xml:space="preserve">El Decreto 780 de 2016 compila las normas reglamentarias del sector salud.</t>
  </si>
  <si>
    <t xml:space="preserve">Decreto 780 de 2016</t>
  </si>
  <si>
    <t xml:space="preserve">F068-2</t>
  </si>
  <si>
    <t xml:space="preserve">La ley conocida como Código Sanitario Nacional es</t>
  </si>
  <si>
    <t xml:space="preserve">la Ley 1122 de 2007.</t>
  </si>
  <si>
    <t xml:space="preserve">La Ley 9 de 1979 contiene las medidas sanitarias generales.</t>
  </si>
  <si>
    <t xml:space="preserve">F068-3</t>
  </si>
  <si>
    <t xml:space="preserve">La norma que asigna competencias exclusivas al Invima en inocuidad de alimentos en puertos, aeropuertos y pasos fronterizos es</t>
  </si>
  <si>
    <t xml:space="preserve">El artículo 34 de la Ley 1122 de 2007 fija esas competencias.</t>
  </si>
  <si>
    <t xml:space="preserve">Ley 1122 de 2007, art. 34</t>
  </si>
  <si>
    <t xml:space="preserve">F069-1</t>
  </si>
  <si>
    <t xml:space="preserve">C069</t>
  </si>
  <si>
    <t xml:space="preserve">Programa de transparencia</t>
  </si>
  <si>
    <t xml:space="preserve">Su entidad debe actualizar las acciones institucionales contra la corrupción.</t>
  </si>
  <si>
    <t xml:space="preserve">La Ley 2195 de 2022 ordenó a las entidades públicas implementar</t>
  </si>
  <si>
    <t xml:space="preserve">Programas de Transparencia y Ética Pública.</t>
  </si>
  <si>
    <t xml:space="preserve">planes de vacaciones colectivas.</t>
  </si>
  <si>
    <t xml:space="preserve">comités de convivencia vecinal.</t>
  </si>
  <si>
    <t xml:space="preserve">La Ley 2195 de 2022 creó los Programas de Transparencia y Ética Pública.</t>
  </si>
  <si>
    <t xml:space="preserve">Ley 2195 de 2022, art. 31</t>
  </si>
  <si>
    <t xml:space="preserve">F069-2</t>
  </si>
  <si>
    <t xml:space="preserve">Un componente típico de estos programas es</t>
  </si>
  <si>
    <t xml:space="preserve">la reducción de la planta de personal.</t>
  </si>
  <si>
    <t xml:space="preserve">la eliminación de la atención presencial.</t>
  </si>
  <si>
    <t xml:space="preserve">la gestión de riesgos de corrupción y los canales de denuncia.</t>
  </si>
  <si>
    <t xml:space="preserve">Los programas integran gestión de riesgos, canales de denuncia y acciones de integridad.</t>
  </si>
  <si>
    <t xml:space="preserve">Ley 2195 de 2022</t>
  </si>
  <si>
    <t xml:space="preserve">F069-3</t>
  </si>
  <si>
    <t xml:space="preserve">Si un servidor denuncia un hecho de corrupción de buena fe, la entidad debe</t>
  </si>
  <si>
    <t xml:space="preserve">publicar su nombre para dar transparencia.</t>
  </si>
  <si>
    <t xml:space="preserve">abrirle investigación por la denuncia.</t>
  </si>
  <si>
    <t xml:space="preserve">proteger su identidad y evitar represalias.</t>
  </si>
  <si>
    <t xml:space="preserve">La protección del denunciante es clave para que los canales funcionen.</t>
  </si>
  <si>
    <t xml:space="preserve">F070-1</t>
  </si>
  <si>
    <t xml:space="preserve">Naturaleza y estructura del Invima</t>
  </si>
  <si>
    <t xml:space="preserve">C070</t>
  </si>
  <si>
    <t xml:space="preserve">Naturaleza jurídica del Invima</t>
  </si>
  <si>
    <t xml:space="preserve">Durante la inducción de nuevos servidores, le piden explicar qué es el Invima y cómo está organizado.</t>
  </si>
  <si>
    <t xml:space="preserve">El Invima es</t>
  </si>
  <si>
    <t xml:space="preserve">un establecimiento público del orden nacional, de carácter científico y tecnológico, adscrito al Ministerio de Salud y Protección Social.</t>
  </si>
  <si>
    <t xml:space="preserve">una empresa industrial y comercial del Estado.</t>
  </si>
  <si>
    <t xml:space="preserve">una superintendencia del sector salud.</t>
  </si>
  <si>
    <t xml:space="preserve">El Decreto 2078 de 2012 define su naturaleza jurídica.</t>
  </si>
  <si>
    <t xml:space="preserve">Decreto 2078 de 2012, art. 1</t>
  </si>
  <si>
    <t xml:space="preserve">F070-2</t>
  </si>
  <si>
    <t xml:space="preserve">El Invima fue creado por</t>
  </si>
  <si>
    <t xml:space="preserve">el artículo 245 de la Ley 100 de 1993.</t>
  </si>
  <si>
    <t xml:space="preserve">La Ley 100 de 1993, artículo 245, creó el Invima.</t>
  </si>
  <si>
    <t xml:space="preserve">Ley 100 de 1993, art. 245</t>
  </si>
  <si>
    <t xml:space="preserve">F070-3</t>
  </si>
  <si>
    <t xml:space="preserve">La jurisdicción del Invima es</t>
  </si>
  <si>
    <t xml:space="preserve">solo el Distrito Capital.</t>
  </si>
  <si>
    <t xml:space="preserve">los departamentos que suscriban convenio.</t>
  </si>
  <si>
    <t xml:space="preserve">todo el territorio nacional, con sede principal en Bogotá.</t>
  </si>
  <si>
    <t xml:space="preserve">El Decreto 2078 de 2012 le asigna jurisdicción nacional.</t>
  </si>
  <si>
    <t xml:space="preserve">Decreto 2078 de 2012, art. 3</t>
  </si>
  <si>
    <t xml:space="preserve">F071-1</t>
  </si>
  <si>
    <t xml:space="preserve">C071</t>
  </si>
  <si>
    <t xml:space="preserve">Dependencias misionales</t>
  </si>
  <si>
    <t xml:space="preserve">Un ciudadano pregunta qué dependencia del Invima se encarga de cada asunto.</t>
  </si>
  <si>
    <t xml:space="preserve">La dependencia que ejecuta las acciones de IVC y aplica las medidas sanitarias de seguridad es</t>
  </si>
  <si>
    <t xml:space="preserve">la Dirección de Operaciones Sanitarias.</t>
  </si>
  <si>
    <t xml:space="preserve">la Dirección de Responsabilidad Sanitaria.</t>
  </si>
  <si>
    <t xml:space="preserve">la Secretaría General.</t>
  </si>
  <si>
    <t xml:space="preserve">El Decreto 2078 de 2012 asigna esas funciones a la Dirección de Operaciones Sanitarias.</t>
  </si>
  <si>
    <t xml:space="preserve">Decreto 2078 de 2012</t>
  </si>
  <si>
    <t xml:space="preserve">F071-2</t>
  </si>
  <si>
    <t xml:space="preserve">Los procesos sancionatorios derivados de las actividades de IVC los adelanta</t>
  </si>
  <si>
    <t xml:space="preserve">la Oficina Asesora de Planeación.</t>
  </si>
  <si>
    <t xml:space="preserve">La Dirección de Responsabilidad Sanitaria tramita los procesos sancionatorios.</t>
  </si>
  <si>
    <t xml:space="preserve">F071-3</t>
  </si>
  <si>
    <t xml:space="preserve">Si en un proceso sancionatorio se advierte una posible conducta delictiva, la Dirección de Responsabilidad Sanitaria debe</t>
  </si>
  <si>
    <t xml:space="preserve">informarla de manera inmediata a las autoridades competentes.</t>
  </si>
  <si>
    <t xml:space="preserve">archivar el proceso sanitario.</t>
  </si>
  <si>
    <t xml:space="preserve">esperar la sanción para informar.</t>
  </si>
  <si>
    <t xml:space="preserve">El Decreto 2078 de 2012 le ordena informar de inmediato las posibles conductas delictivas.</t>
  </si>
  <si>
    <t xml:space="preserve">F072-1</t>
  </si>
  <si>
    <t xml:space="preserve">C072</t>
  </si>
  <si>
    <t xml:space="preserve">Comisión Revisora y laboratorios</t>
  </si>
  <si>
    <t xml:space="preserve">Un laboratorio pregunta quién conceptúa sobre la inclusión de un principio activo en las normas farmacológicas y quién analiza las muestras.</t>
  </si>
  <si>
    <t xml:space="preserve">Dentro de la estructura del Invima, la Comisión Revisora es</t>
  </si>
  <si>
    <t xml:space="preserve">una dirección misional.</t>
  </si>
  <si>
    <t xml:space="preserve">un órgano de asesoría y coordinación.</t>
  </si>
  <si>
    <t xml:space="preserve">una entidad externa del Ministerio.</t>
  </si>
  <si>
    <t xml:space="preserve">El Decreto 2078 de 2012 la ubica entre los órganos de asesoría y coordinación.</t>
  </si>
  <si>
    <t xml:space="preserve">Decreto 2078 de 2012, art. 7</t>
  </si>
  <si>
    <t xml:space="preserve">F072-2</t>
  </si>
  <si>
    <t xml:space="preserve">Establecer y modificar la composición y funciones de la Comisión Revisora le corresponde al</t>
  </si>
  <si>
    <t xml:space="preserve">Director de Operaciones Sanitarias.</t>
  </si>
  <si>
    <t xml:space="preserve">Consejo Directivo.</t>
  </si>
  <si>
    <t xml:space="preserve">Ministro de Hacienda.</t>
  </si>
  <si>
    <t xml:space="preserve">Es función del Consejo Directivo del Invima.</t>
  </si>
  <si>
    <t xml:space="preserve">Decreto 2078 de 2012, art. 9</t>
  </si>
  <si>
    <t xml:space="preserve">F072-3</t>
  </si>
  <si>
    <t xml:space="preserve">La dependencia que dirige los análisis de laboratorio y el control de calidad es</t>
  </si>
  <si>
    <t xml:space="preserve">la Oficina de Atención al Ciudadano.</t>
  </si>
  <si>
    <t xml:space="preserve">la Oficina Asesora Jurídica.</t>
  </si>
  <si>
    <t xml:space="preserve">la Oficina de Laboratorios y Control de Calidad.</t>
  </si>
  <si>
    <t xml:space="preserve">La estructura del Invima incluye la Oficina de Laboratorios y Control de Calidad.</t>
  </si>
  <si>
    <t xml:space="preserve">F073-1</t>
  </si>
  <si>
    <t xml:space="preserve">Competencias sanitarias</t>
  </si>
  <si>
    <t xml:space="preserve">C073</t>
  </si>
  <si>
    <t xml:space="preserve">Invima o entidad territorial</t>
  </si>
  <si>
    <t xml:space="preserve">Llegan tres quejas: una sobre una planta de procesamiento de leche, otra sobre un restaurante y otra sobre un contenedor de alimentos en un puerto.</t>
  </si>
  <si>
    <t xml:space="preserve">La IVC de las plantas de procesamiento de leche y de los centros de acopio le corresponde, de forma exclusiva, a</t>
  </si>
  <si>
    <t xml:space="preserve">el Invima.</t>
  </si>
  <si>
    <t xml:space="preserve">la secretaría municipal de salud.</t>
  </si>
  <si>
    <t xml:space="preserve">el ICA.</t>
  </si>
  <si>
    <t xml:space="preserve">La Ley 1122 de 2007 asigna esa competencia exclusiva al Invima.</t>
  </si>
  <si>
    <t xml:space="preserve">F073-2</t>
  </si>
  <si>
    <t xml:space="preserve">La vigilancia de la distribución y comercialización de alimentos, como en restaurantes, le corresponde a</t>
  </si>
  <si>
    <t xml:space="preserve">los departamentos, distritos y municipios de categorías especial, 1.ª, 2.ª y 3.ª.</t>
  </si>
  <si>
    <t xml:space="preserve">el Invima de forma exclusiva.</t>
  </si>
  <si>
    <t xml:space="preserve">La Ley 1122 de 2007 asigna esa vigilancia a las entidades territoriales.</t>
  </si>
  <si>
    <t xml:space="preserve">F073-3</t>
  </si>
  <si>
    <t xml:space="preserve">La inocuidad de los alimentos importados en el puerto la vigila</t>
  </si>
  <si>
    <t xml:space="preserve">la Policía Fiscal y Aduanera.</t>
  </si>
  <si>
    <t xml:space="preserve">el Invima, sin perjuicio de las competencias del ICA.</t>
  </si>
  <si>
    <t xml:space="preserve">la DIAN de forma exclusiva.</t>
  </si>
  <si>
    <t xml:space="preserve">La Ley 1122 de 2007 da al Invima esa competencia en puertos, aeropuertos y pasos fronterizos.</t>
  </si>
  <si>
    <t xml:space="preserve">F074-1</t>
  </si>
  <si>
    <t xml:space="preserve">C074</t>
  </si>
  <si>
    <t xml:space="preserve">Tipos de medidas sanitarias</t>
  </si>
  <si>
    <t xml:space="preserve">Prepara una capacitación para inspectores nuevos sobre las medidas sanitarias de seguridad de la Ley 9 de 1979.</t>
  </si>
  <si>
    <t xml:space="preserve">De las siguientes, NO es una medida sanitaria de seguridad:</t>
  </si>
  <si>
    <t xml:space="preserve">la clausura temporal del establecimiento.</t>
  </si>
  <si>
    <t xml:space="preserve">la multa.</t>
  </si>
  <si>
    <t xml:space="preserve">el decomiso de productos.</t>
  </si>
  <si>
    <t xml:space="preserve">La multa es una sanción; las medidas del artículo 576 son preventivas.</t>
  </si>
  <si>
    <t xml:space="preserve">Ley 9 de 1979, arts. 576 y 577</t>
  </si>
  <si>
    <t xml:space="preserve">F074-2</t>
  </si>
  <si>
    <t xml:space="preserve">La congelación consiste en</t>
  </si>
  <si>
    <t xml:space="preserve">refrigerar los productos para conservarlos.</t>
  </si>
  <si>
    <t xml:space="preserve">destruir los productos de inmediato.</t>
  </si>
  <si>
    <t xml:space="preserve">suspender temporalmente la venta o el empleo de productos mientras se toma una decisión definitiva.</t>
  </si>
  <si>
    <t xml:space="preserve">La Ley 9 de 1979 define la congelación como suspensión temporal de venta o empleo.</t>
  </si>
  <si>
    <t xml:space="preserve">Ley 9 de 1979, art. 576</t>
  </si>
  <si>
    <t xml:space="preserve">F074-3</t>
  </si>
  <si>
    <t xml:space="preserve">La clausura temporal del establecimiento puede ser</t>
  </si>
  <si>
    <t xml:space="preserve">total o parcial.</t>
  </si>
  <si>
    <t xml:space="preserve">solo nocturna.</t>
  </si>
  <si>
    <t xml:space="preserve">solo total.</t>
  </si>
  <si>
    <t xml:space="preserve">El artículo 576 permite la clausura temporal total o parcial.</t>
  </si>
  <si>
    <t xml:space="preserve">F075-1</t>
  </si>
  <si>
    <t xml:space="preserve">C075</t>
  </si>
  <si>
    <t xml:space="preserve">Sanciones sanitarias</t>
  </si>
  <si>
    <t xml:space="preserve">Concluyó un proceso sancionatorio y usted proyecta la decisión.</t>
  </si>
  <si>
    <t xml:space="preserve">Según la Ley 9 de 1979, modificada por el Decreto Ley 2106 de 2019, la multa sanitaria puede llegar hasta</t>
  </si>
  <si>
    <t xml:space="preserve">1.000 salarios mínimos diarios.</t>
  </si>
  <si>
    <t xml:space="preserve">10.000 salarios mínimos legales mensuales vigentes.</t>
  </si>
  <si>
    <t xml:space="preserve">100 salarios mínimos legales mensuales vigentes.</t>
  </si>
  <si>
    <t xml:space="preserve">El artículo 577 permite multas sucesivas hasta 10.000 SMLMV.</t>
  </si>
  <si>
    <t xml:space="preserve">Ley 9 de 1979, art. 577 (Decreto Ley 2106 de 2019)</t>
  </si>
  <si>
    <t xml:space="preserve">F075-2</t>
  </si>
  <si>
    <t xml:space="preserve">Además de la multa, son sanciones sanitarias</t>
  </si>
  <si>
    <t xml:space="preserve">el arresto y la prisión.</t>
  </si>
  <si>
    <t xml:space="preserve">la amonestación, el decomiso, la suspensión o cancelación del registro o licencia y el cierre temporal o definitivo.</t>
  </si>
  <si>
    <t xml:space="preserve">la destitución y la inhabilidad general.</t>
  </si>
  <si>
    <t xml:space="preserve">El artículo 577 enumera las sanciones sanitarias.</t>
  </si>
  <si>
    <t xml:space="preserve">Ley 9 de 1979, art. 577</t>
  </si>
  <si>
    <t xml:space="preserve">F075-3</t>
  </si>
  <si>
    <t xml:space="preserve">Para productos o establecimientos de bajo riesgo, el proceso sancionatorio se abre cuando, además de la presunta infracción,</t>
  </si>
  <si>
    <t xml:space="preserve">el vigilado lo solicita.</t>
  </si>
  <si>
    <t xml:space="preserve">hay indicios de que el producto se liberó al mercado o se incumplieron las medidas sanitarias.</t>
  </si>
  <si>
    <t xml:space="preserve">se completan tres visitas.</t>
  </si>
  <si>
    <t xml:space="preserve">El Decreto Ley 2106 de 2019 introdujo esa condición para el bajo riesgo.</t>
  </si>
  <si>
    <t xml:space="preserve">F076-1</t>
  </si>
  <si>
    <t xml:space="preserve">C076</t>
  </si>
  <si>
    <t xml:space="preserve">Después de la sanción</t>
  </si>
  <si>
    <t xml:space="preserve">Una empresa sancionada paga la multa y pregunta si con eso termina todo.</t>
  </si>
  <si>
    <t xml:space="preserve">El pago de la multa</t>
  </si>
  <si>
    <t xml:space="preserve">no exime al infractor de ejecutar las obras o medidas sanitarias ordenadas.</t>
  </si>
  <si>
    <t xml:space="preserve">libera al infractor de cualquier otra obligación.</t>
  </si>
  <si>
    <t xml:space="preserve">reemplaza la medida sanitaria.</t>
  </si>
  <si>
    <t xml:space="preserve">La Ley 9 de 1979 aclara que la multa no exime de las medidas ordenadas.</t>
  </si>
  <si>
    <t xml:space="preserve">Ley 9 de 1979, art. 579</t>
  </si>
  <si>
    <t xml:space="preserve">F076-2</t>
  </si>
  <si>
    <t xml:space="preserve">Las sanciones administrativas sanitarias</t>
  </si>
  <si>
    <t xml:space="preserve">no eximen de la responsabilidad civil o penal a que haya lugar.</t>
  </si>
  <si>
    <t xml:space="preserve">extinguen la responsabilidad civil.</t>
  </si>
  <si>
    <t xml:space="preserve">impiden cualquier proceso penal por los mismos hechos.</t>
  </si>
  <si>
    <t xml:space="preserve">La Ley 9 de 1979 mantiene la responsabilidad civil y penal.</t>
  </si>
  <si>
    <t xml:space="preserve">Ley 9 de 1979, art. 580</t>
  </si>
  <si>
    <t xml:space="preserve">F076-3</t>
  </si>
  <si>
    <t xml:space="preserve">Cuando el incumplimiento genera riesgos para la salud de las personas, la autoridad debe</t>
  </si>
  <si>
    <t xml:space="preserve">mantenerlo en reserva hasta la sanción.</t>
  </si>
  <si>
    <t xml:space="preserve">dar publicidad al hecho para prevenir a los usuarios.</t>
  </si>
  <si>
    <t xml:space="preserve">informarlo solo al infractor.</t>
  </si>
  <si>
    <t xml:space="preserve">La Ley 9 de 1979 ordena dar publicidad para prevenir a los usuarios.</t>
  </si>
  <si>
    <t xml:space="preserve">Ley 9 de 1979, art. 578</t>
  </si>
  <si>
    <t xml:space="preserve">F077-1</t>
  </si>
  <si>
    <t xml:space="preserve">C077</t>
  </si>
  <si>
    <t xml:space="preserve">Pruebas y alegatos</t>
  </si>
  <si>
    <t xml:space="preserve">En un proceso contra cuatro empresas, se deben practicar pruebas, incluida una en el exterior.</t>
  </si>
  <si>
    <t xml:space="preserve">Por regla general, el período probatorio no puede ser mayor a</t>
  </si>
  <si>
    <t xml:space="preserve">noventa (90) días.</t>
  </si>
  <si>
    <t xml:space="preserve">El artículo 48 del CPACA fija hasta treinta días.</t>
  </si>
  <si>
    <t xml:space="preserve">Ley 1437 de 2011, art. 48</t>
  </si>
  <si>
    <t xml:space="preserve">F077-2</t>
  </si>
  <si>
    <t xml:space="preserve">Como hay tres o más investigados y una prueba en el exterior, el término probatorio puede ser hasta de</t>
  </si>
  <si>
    <t xml:space="preserve">ciento veinte (120) días.</t>
  </si>
  <si>
    <t xml:space="preserve">sesenta (60) días.</t>
  </si>
  <si>
    <t xml:space="preserve">El CPACA permite hasta sesenta días en esos casos.</t>
  </si>
  <si>
    <t xml:space="preserve">F077-3</t>
  </si>
  <si>
    <t xml:space="preserve">Vencido el período probatorio, se da traslado a los investigados para alegar por</t>
  </si>
  <si>
    <t xml:space="preserve">El artículo 48 del CPACA otorga diez días para alegatos.</t>
  </si>
  <si>
    <t xml:space="preserve">F078-1</t>
  </si>
  <si>
    <t xml:space="preserve">C078</t>
  </si>
  <si>
    <t xml:space="preserve">Decisión y caducidad</t>
  </si>
  <si>
    <t xml:space="preserve">Los alegatos ya se presentaron y usted debe proyectar la decisión final.</t>
  </si>
  <si>
    <t xml:space="preserve">El acto definitivo debe expedirse dentro de los</t>
  </si>
  <si>
    <t xml:space="preserve">seis (6) meses siguientes.</t>
  </si>
  <si>
    <t xml:space="preserve">treinta (30) días siguientes a la presentación de los alegatos.</t>
  </si>
  <si>
    <t xml:space="preserve">El artículo 49 del CPACA fija treinta días para decidir.</t>
  </si>
  <si>
    <t xml:space="preserve">Ley 1437 de 2011, art. 49</t>
  </si>
  <si>
    <t xml:space="preserve">F078-2</t>
  </si>
  <si>
    <t xml:space="preserve">El acto que pone fin al procedimiento debe contener, entre otros,</t>
  </si>
  <si>
    <t xml:space="preserve">solo el valor de la multa.</t>
  </si>
  <si>
    <t xml:space="preserve">la opinión personal del funcionario.</t>
  </si>
  <si>
    <t xml:space="preserve">la individualización del sancionado, el análisis de hechos y pruebas, las normas infringidas y la decisión fundamentada.</t>
  </si>
  <si>
    <t xml:space="preserve">El artículo 49 del CPACA fija el contenido mínimo de la decisión.</t>
  </si>
  <si>
    <t xml:space="preserve">F078-3</t>
  </si>
  <si>
    <t xml:space="preserve">Los recursos contra el acto sancionatorio deben decidirse en el término de</t>
  </si>
  <si>
    <t xml:space="preserve">un (1) año desde su interposición, so pena de pérdida de competencia.</t>
  </si>
  <si>
    <t xml:space="preserve">tres (3) años desde el hecho.</t>
  </si>
  <si>
    <t xml:space="preserve">El artículo 52 del CPACA fija un año para resolver los recursos.</t>
  </si>
  <si>
    <t xml:space="preserve">Ley 1437 de 2011, art. 52</t>
  </si>
  <si>
    <t xml:space="preserve">F079-1</t>
  </si>
  <si>
    <t xml:space="preserve">C079</t>
  </si>
  <si>
    <t xml:space="preserve">Formulación de cargos: reglas</t>
  </si>
  <si>
    <t xml:space="preserve">Proyecta un auto de formulación de cargos y el abogado de la empresa anuncia un recurso.</t>
  </si>
  <si>
    <t xml:space="preserve">Contra el acto de formulación de cargos</t>
  </si>
  <si>
    <t xml:space="preserve">no procede recurso.</t>
  </si>
  <si>
    <t xml:space="preserve">procede apelación.</t>
  </si>
  <si>
    <t xml:space="preserve">procede reposición.</t>
  </si>
  <si>
    <t xml:space="preserve">El artículo 47 del CPACA dispone que contra la formulación de cargos no procede recurso.</t>
  </si>
  <si>
    <t xml:space="preserve">Ley 1437 de 2011, art. 47</t>
  </si>
  <si>
    <t xml:space="preserve">F079-2</t>
  </si>
  <si>
    <t xml:space="preserve">La formulación de cargos debe notificarse</t>
  </si>
  <si>
    <t xml:space="preserve">por estado en cartelera.</t>
  </si>
  <si>
    <t xml:space="preserve">por correo simple.</t>
  </si>
  <si>
    <t xml:space="preserve">personalmente a los investigados.</t>
  </si>
  <si>
    <t xml:space="preserve">El CPACA exige notificación personal de la formulación de cargos.</t>
  </si>
  <si>
    <t xml:space="preserve">F079-3</t>
  </si>
  <si>
    <t xml:space="preserve">Las pruebas solicitadas que sean inconducentes, impertinentes o superfluas</t>
  </si>
  <si>
    <t xml:space="preserve">se practican de todas formas.</t>
  </si>
  <si>
    <t xml:space="preserve">se rechazan de manera motivada.</t>
  </si>
  <si>
    <t xml:space="preserve">se archivan sin decisión.</t>
  </si>
  <si>
    <t xml:space="preserve">El CPACA ordena rechazarlas motivadamente.</t>
  </si>
  <si>
    <t xml:space="preserve">F080-1</t>
  </si>
  <si>
    <t xml:space="preserve">C080</t>
  </si>
  <si>
    <t xml:space="preserve">Graduación de la sanción</t>
  </si>
  <si>
    <t xml:space="preserve">Al dosificar una sanción, usted revisa las circunstancias del caso.</t>
  </si>
  <si>
    <t xml:space="preserve">Es un criterio para graduar la sanción según el CPACA</t>
  </si>
  <si>
    <t xml:space="preserve">el tamaño de la oficina del investigado.</t>
  </si>
  <si>
    <t xml:space="preserve">la antigüedad del funcionario que investiga.</t>
  </si>
  <si>
    <t xml:space="preserve">la reincidencia en la comisión de la infracción.</t>
  </si>
  <si>
    <t xml:space="preserve">El artículo 50 del CPACA enumera los criterios de graduación.</t>
  </si>
  <si>
    <t xml:space="preserve">Ley 1437 de 2011, art. 50</t>
  </si>
  <si>
    <t xml:space="preserve">F080-2</t>
  </si>
  <si>
    <t xml:space="preserve">El reconocimiento o aceptación expresa de la infracción se tiene en cuenta si ocurre</t>
  </si>
  <si>
    <t xml:space="preserve">antes del decreto de pruebas.</t>
  </si>
  <si>
    <t xml:space="preserve">en cualquier momento, incluso tras el recurso.</t>
  </si>
  <si>
    <t xml:space="preserve">después de la sanción.</t>
  </si>
  <si>
    <t xml:space="preserve">El artículo 50 del CPACA considera la aceptación antes del decreto de pruebas.</t>
  </si>
  <si>
    <t xml:space="preserve">F080-3</t>
  </si>
  <si>
    <t xml:space="preserve">También agrava la situación del investigado</t>
  </si>
  <si>
    <t xml:space="preserve">haber presentado descargos.</t>
  </si>
  <si>
    <t xml:space="preserve">haber pedido pruebas.</t>
  </si>
  <si>
    <t xml:space="preserve">la resistencia u obstrucción a la acción investigadora.</t>
  </si>
  <si>
    <t xml:space="preserve">La obstrucción a la investigación es criterio de graduación.</t>
  </si>
  <si>
    <t xml:space="preserve">F081-1</t>
  </si>
  <si>
    <t xml:space="preserve">C081</t>
  </si>
  <si>
    <t xml:space="preserve">Renuencia a entregar información</t>
  </si>
  <si>
    <t xml:space="preserve">Un vigilado se niega a entregar los registros de producción que usted solicitó en una investigación.</t>
  </si>
  <si>
    <t xml:space="preserve">Esa conducta puede sancionarse con multa de hasta</t>
  </si>
  <si>
    <t xml:space="preserve">cien (100) salarios mínimos mensuales.</t>
  </si>
  <si>
    <t xml:space="preserve">un (1) salario mínimo mensual.</t>
  </si>
  <si>
    <t xml:space="preserve">diez mil (10.000) salarios mínimos mensuales.</t>
  </si>
  <si>
    <t xml:space="preserve">El artículo 51 del CPACA fija multas por renuencia hasta cien SMLMV.</t>
  </si>
  <si>
    <t xml:space="preserve">Ley 1437 de 2011, art. 51</t>
  </si>
  <si>
    <t xml:space="preserve">F081-2</t>
  </si>
  <si>
    <t xml:space="preserve">Antes de imponer esa multa, se debe dar traslado al renuente para que presente explicaciones en</t>
  </si>
  <si>
    <t xml:space="preserve">veinticuatro (24) horas.</t>
  </si>
  <si>
    <t xml:space="preserve">El artículo 51 del CPACA otorga diez días para las explicaciones.</t>
  </si>
  <si>
    <t xml:space="preserve">F081-3</t>
  </si>
  <si>
    <t xml:space="preserve">La actuación por renuencia</t>
  </si>
  <si>
    <t xml:space="preserve">suspende el proceso principal hasta que se resuelva.</t>
  </si>
  <si>
    <t xml:space="preserve">no suspende ni interrumpe el proceso sancionatorio principal.</t>
  </si>
  <si>
    <t xml:space="preserve">reemplaza el proceso principal.</t>
  </si>
  <si>
    <t xml:space="preserve">El parágrafo del artículo 51 lo aclara expresamente.</t>
  </si>
  <si>
    <t xml:space="preserve">F082-1</t>
  </si>
  <si>
    <t xml:space="preserve">C082</t>
  </si>
  <si>
    <t xml:space="preserve">Vigencia actual del registro de medicamentos</t>
  </si>
  <si>
    <t xml:space="preserve">Un laboratorio pregunta si debe tramitar la renovación de un registro sanitario de medicamento expedido hace años.</t>
  </si>
  <si>
    <t xml:space="preserve">Con la modificación del Decreto 1474 de 2023, la vigencia de los registros sanitarios de medicamentos es</t>
  </si>
  <si>
    <t xml:space="preserve">indefinida.</t>
  </si>
  <si>
    <t xml:space="preserve">de diez (10) años.</t>
  </si>
  <si>
    <t xml:space="preserve">de cinco (5) años.</t>
  </si>
  <si>
    <t xml:space="preserve">El Decreto 1474 de 2023 modificó el Decreto 677 de 1995 y estableció vigencia indefinida.</t>
  </si>
  <si>
    <t xml:space="preserve">Decreto 677 de 1995, art. 16 (Decreto 1474 de 2023)</t>
  </si>
  <si>
    <t xml:space="preserve">F082-2</t>
  </si>
  <si>
    <t xml:space="preserve">La vigencia indefinida del registro</t>
  </si>
  <si>
    <t xml:space="preserve">exime al titular de reportar cambios.</t>
  </si>
  <si>
    <t xml:space="preserve">no impide que el Invima adopte medidas si hay incumplimientos o riesgos de farmacovigilancia.</t>
  </si>
  <si>
    <t xml:space="preserve">impide cualquier revisión posterior.</t>
  </si>
  <si>
    <t xml:space="preserve">El mismo artículo conserva las facultades de IVC del Invima.</t>
  </si>
  <si>
    <t xml:space="preserve">F082-3</t>
  </si>
  <si>
    <t xml:space="preserve">Contra el acto que concede o niega el registro sanitario proceden</t>
  </si>
  <si>
    <t xml:space="preserve">solo la acción de tutela.</t>
  </si>
  <si>
    <t xml:space="preserve">los recursos previstos en el CPACA.</t>
  </si>
  <si>
    <t xml:space="preserve">ningún recurso.</t>
  </si>
  <si>
    <t xml:space="preserve">El Decreto 1474 de 2023 remite a los recursos del CPACA.</t>
  </si>
  <si>
    <t xml:space="preserve">F083-1</t>
  </si>
  <si>
    <t xml:space="preserve">C083</t>
  </si>
  <si>
    <t xml:space="preserve">Producto alterado o fraudulento</t>
  </si>
  <si>
    <t xml:space="preserve">En un operativo se hallan medicamentos fabricados por un laboratorio sin licencia y otros almacenados a pleno sol.</t>
  </si>
  <si>
    <t xml:space="preserve">Un medicamento elaborado por un laboratorio que no tiene licencia sanitaria de funcionamiento se considera</t>
  </si>
  <si>
    <t xml:space="preserve">fraudulento.</t>
  </si>
  <si>
    <t xml:space="preserve">genérico.</t>
  </si>
  <si>
    <t xml:space="preserve">alterado.</t>
  </si>
  <si>
    <t xml:space="preserve">El Decreto 677 de 1995 lo define como producto farmacéutico fraudulento.</t>
  </si>
  <si>
    <t xml:space="preserve">Decreto 677 de 1995, art. 2</t>
  </si>
  <si>
    <t xml:space="preserve">F083-2</t>
  </si>
  <si>
    <t xml:space="preserve">Un medicamento que no se almacenó ni conservó con las debidas precauciones se considera</t>
  </si>
  <si>
    <t xml:space="preserve">esencial.</t>
  </si>
  <si>
    <t xml:space="preserve">El Decreto 677 de 1995 incluye esa situación en la definición de alterado.</t>
  </si>
  <si>
    <t xml:space="preserve">F083-3</t>
  </si>
  <si>
    <t xml:space="preserve">Un medicamento al que se le sustituyeron componentes de la fórmula aprobada es</t>
  </si>
  <si>
    <t xml:space="preserve">un medicamento nuevo.</t>
  </si>
  <si>
    <t xml:space="preserve">La sustitución de elementos constitutivos es causal de alteración.</t>
  </si>
  <si>
    <t xml:space="preserve">F084-1</t>
  </si>
  <si>
    <t xml:space="preserve">C084</t>
  </si>
  <si>
    <t xml:space="preserve">Control posterior de la publicidad</t>
  </si>
  <si>
    <t xml:space="preserve">Un titular publica en redes un anuncio de un medicamento de venta libre y pregunta si debía pedir autorización.</t>
  </si>
  <si>
    <t xml:space="preserve">Según el Decreto 334 de 2022, la publicidad de medicamentos</t>
  </si>
  <si>
    <t xml:space="preserve">está prohibida en redes sociales.</t>
  </si>
  <si>
    <t xml:space="preserve">requiere aprobación previa en todos los casos.</t>
  </si>
  <si>
    <t xml:space="preserve">no requiere aprobación previa del Invima, que ejerce control posterior.</t>
  </si>
  <si>
    <t xml:space="preserve">El Decreto 334 de 2022 eliminó la aprobación previa y estableció control posterior.</t>
  </si>
  <si>
    <t xml:space="preserve">Decreto 334 de 2022, art. 10</t>
  </si>
  <si>
    <t xml:space="preserve">F084-2</t>
  </si>
  <si>
    <t xml:space="preserve">La publicidad debe sujetarse a</t>
  </si>
  <si>
    <t xml:space="preserve">las condiciones aprobadas en el registro sanitario.</t>
  </si>
  <si>
    <t xml:space="preserve">las tendencias de las redes sociales.</t>
  </si>
  <si>
    <t xml:space="preserve">lo que prefiera el área de mercadeo.</t>
  </si>
  <si>
    <t xml:space="preserve">La información promocional debe ajustarse a lo aprobado en el registro.</t>
  </si>
  <si>
    <t xml:space="preserve">F084-3</t>
  </si>
  <si>
    <t xml:space="preserve">Si en el control posterior el Invima encuentra incumplimientos, procede</t>
  </si>
  <si>
    <t xml:space="preserve">felicitar al titular por su creatividad.</t>
  </si>
  <si>
    <t xml:space="preserve">aplicar las medidas sanitarias de seguridad que correspondan.</t>
  </si>
  <si>
    <t xml:space="preserve">archivar sin actuación.</t>
  </si>
  <si>
    <t xml:space="preserve">El artículo 9 del Decreto 334 de 2022 prevé esa consecuencia.</t>
  </si>
  <si>
    <t xml:space="preserve">F085-1</t>
  </si>
  <si>
    <t xml:space="preserve">Suplementos dietarios y productos especiales</t>
  </si>
  <si>
    <t xml:space="preserve">C085</t>
  </si>
  <si>
    <t xml:space="preserve">Suplemento en la calle</t>
  </si>
  <si>
    <t xml:space="preserve">Un vendedor ambulante ofrece un suplemento dietario sin registro sanitario frente a un gimnasio.</t>
  </si>
  <si>
    <t xml:space="preserve">Los suplementos dietarios requieren, para su fabricación, importación y comercialización,</t>
  </si>
  <si>
    <t xml:space="preserve">notificación a la cámara de comercio.</t>
  </si>
  <si>
    <t xml:space="preserve">solo el permiso del alcalde.</t>
  </si>
  <si>
    <t xml:space="preserve">registro sanitario expedido por el Invima.</t>
  </si>
  <si>
    <t xml:space="preserve">El Decreto 3249 de 2006 exige registro sanitario del Invima.</t>
  </si>
  <si>
    <t xml:space="preserve">Decreto 3249 de 2006, art. 9</t>
  </si>
  <si>
    <t xml:space="preserve">F085-2</t>
  </si>
  <si>
    <t xml:space="preserve">La venta ambulante de suplementos dietarios</t>
  </si>
  <si>
    <t xml:space="preserve">está prohibida.</t>
  </si>
  <si>
    <t xml:space="preserve">está permitida en eventos deportivos.</t>
  </si>
  <si>
    <t xml:space="preserve">está permitida si el vendedor tiene factura.</t>
  </si>
  <si>
    <t xml:space="preserve">El Decreto 3249 de 2006 prohíbe la venta ambulante de estos productos.</t>
  </si>
  <si>
    <t xml:space="preserve">F085-3</t>
  </si>
  <si>
    <t xml:space="preserve">Un suplemento dietario es un producto cuyo propósito es</t>
  </si>
  <si>
    <t xml:space="preserve">adicionar la dieta normal, como fuente concentrada de nutrientes.</t>
  </si>
  <si>
    <t xml:space="preserve">reemplazar los medicamentos formulados.</t>
  </si>
  <si>
    <t xml:space="preserve">curar enfermedades.</t>
  </si>
  <si>
    <t xml:space="preserve">Así lo define el Decreto 3249 de 2006.</t>
  </si>
  <si>
    <t xml:space="preserve">Decreto 3249 de 2006, art. 2</t>
  </si>
  <si>
    <t xml:space="preserve">F086-1</t>
  </si>
  <si>
    <t xml:space="preserve">C086</t>
  </si>
  <si>
    <t xml:space="preserve">Registro de dispositivos</t>
  </si>
  <si>
    <t xml:space="preserve">Una empresa importará guantes de examen (bajo riesgo) y un marcapasos (muy alto riesgo).</t>
  </si>
  <si>
    <t xml:space="preserve">Los dispositivos de clases I y IIa que no son de tecnología controlada requieren</t>
  </si>
  <si>
    <t xml:space="preserve">registro sanitario automático.</t>
  </si>
  <si>
    <t xml:space="preserve">ningún registro.</t>
  </si>
  <si>
    <t xml:space="preserve">registro con evaluación clínica de cinco años.</t>
  </si>
  <si>
    <t xml:space="preserve">El Decreto 4725 de 2005 prevé registro sanitario automático para esas clases.</t>
  </si>
  <si>
    <t xml:space="preserve">F086-2</t>
  </si>
  <si>
    <t xml:space="preserve">Los registros sanitarios y permisos de comercialización de dispositivos médicos tienen una vigencia de</t>
  </si>
  <si>
    <t xml:space="preserve">diez (10) años.</t>
  </si>
  <si>
    <t xml:space="preserve">El Decreto 4725 de 2005 fija diez años de vigencia.</t>
  </si>
  <si>
    <t xml:space="preserve">F086-3</t>
  </si>
  <si>
    <t xml:space="preserve">Un dispositivo destinado a proteger o mantener la vida, de muy alto riesgo, pertenece a la clase</t>
  </si>
  <si>
    <t xml:space="preserve">El Decreto 4725 de 2005 define así la clase III.</t>
  </si>
  <si>
    <t xml:space="preserve">Decreto 4725 de 2005, art. 7</t>
  </si>
  <si>
    <t xml:space="preserve">F087-1</t>
  </si>
  <si>
    <t xml:space="preserve">C087</t>
  </si>
  <si>
    <t xml:space="preserve">Programa de tecnovigilancia</t>
  </si>
  <si>
    <t xml:space="preserve">Una IPS le pregunta cómo reportar los incidentes con dispositivos médicos.</t>
  </si>
  <si>
    <t xml:space="preserve">El Programa Nacional de Tecnovigilancia está reglamentado por</t>
  </si>
  <si>
    <t xml:space="preserve">la Resolución 4816 de 2008.</t>
  </si>
  <si>
    <t xml:space="preserve">la Resolución 1478 de 2006.</t>
  </si>
  <si>
    <t xml:space="preserve">La Resolución 4816 de 2008 reglamenta el programa.</t>
  </si>
  <si>
    <t xml:space="preserve">F087-2</t>
  </si>
  <si>
    <t xml:space="preserve">Los eventos o incidentes adversos serios se reportan</t>
  </si>
  <si>
    <t xml:space="preserve">de forma inmediata.</t>
  </si>
  <si>
    <t xml:space="preserve">solo si el fabricante lo autoriza.</t>
  </si>
  <si>
    <t xml:space="preserve">en el informe anual.</t>
  </si>
  <si>
    <t xml:space="preserve">La norma distingue reportes inmediatos para lo serio y reportes periódicos trimestrales.</t>
  </si>
  <si>
    <t xml:space="preserve">F087-3</t>
  </si>
  <si>
    <t xml:space="preserve">Los eventos e incidentes no serios se consolidan en reportes</t>
  </si>
  <si>
    <t xml:space="preserve">trimestrales.</t>
  </si>
  <si>
    <t xml:space="preserve">diarios.</t>
  </si>
  <si>
    <t xml:space="preserve">quinquenales.</t>
  </si>
  <si>
    <t xml:space="preserve">La Resolución 4816 de 2008 prevé informes periódicos trimestrales.</t>
  </si>
  <si>
    <t xml:space="preserve">F088-1</t>
  </si>
  <si>
    <t xml:space="preserve">C088</t>
  </si>
  <si>
    <t xml:space="preserve">Evento adverso serio</t>
  </si>
  <si>
    <t xml:space="preserve">Un paciente fue hospitalizado tras una reacción a un medicamento, y el hospital pregunta si debe reportarlo como serio.</t>
  </si>
  <si>
    <t xml:space="preserve">Un evento adverso se considera serio cuando, entre otros,</t>
  </si>
  <si>
    <t xml:space="preserve">el paciente se queja del sabor.</t>
  </si>
  <si>
    <t xml:space="preserve">el medicamento es costoso.</t>
  </si>
  <si>
    <t xml:space="preserve">causa la muerte, amenaza la vida, requiere hospitalización o produce discapacidad.</t>
  </si>
  <si>
    <t xml:space="preserve">Esos desenlaces caracterizan la seriedad en farmacovigilancia.</t>
  </si>
  <si>
    <t xml:space="preserve">F088-2</t>
  </si>
  <si>
    <t xml:space="preserve">El objetivo de la farmacovigilancia es</t>
  </si>
  <si>
    <t xml:space="preserve">fijar precios de medicamentos.</t>
  </si>
  <si>
    <t xml:space="preserve">detectar, evaluar, entender y prevenir los efectos adversos y otros problemas relacionados con medicamentos.</t>
  </si>
  <si>
    <t xml:space="preserve">aumentar las ventas de medicamentos.</t>
  </si>
  <si>
    <t xml:space="preserve">Esa es la definición aceptada de farmacovigilancia.</t>
  </si>
  <si>
    <t xml:space="preserve">F088-3</t>
  </si>
  <si>
    <t xml:space="preserve">Para evaluar la relación entre el medicamento y la reacción se realiza</t>
  </si>
  <si>
    <t xml:space="preserve">un análisis de causalidad.</t>
  </si>
  <si>
    <t xml:space="preserve">una encuesta de satisfacción.</t>
  </si>
  <si>
    <t xml:space="preserve">una auditoría financiera.</t>
  </si>
  <si>
    <t xml:space="preserve">La causalidad establece la probabilidad de relación entre fármaco y evento.</t>
  </si>
  <si>
    <t xml:space="preserve">F089-1</t>
  </si>
  <si>
    <t xml:space="preserve">C089</t>
  </si>
  <si>
    <t xml:space="preserve">Vigencia de NSA, PSA y RSA</t>
  </si>
  <si>
    <t xml:space="preserve">Una empresa de alimentos pregunta cuánto duran sus autorizaciones sanitarias.</t>
  </si>
  <si>
    <t xml:space="preserve">El registro sanitario (RSA) y el permiso sanitario (PSA) de alimentos tienen una vigencia de</t>
  </si>
  <si>
    <t xml:space="preserve">La Resolución 2674 de 2013 fija cinco años para RSA y PSA.</t>
  </si>
  <si>
    <t xml:space="preserve">Resolución 2674 de 2013, art. 39</t>
  </si>
  <si>
    <t xml:space="preserve">F089-2</t>
  </si>
  <si>
    <t xml:space="preserve">La notificación sanitaria (NSA) tiene una vigencia de</t>
  </si>
  <si>
    <t xml:space="preserve">dos (2) años.</t>
  </si>
  <si>
    <t xml:space="preserve">La Resolución 2674 de 2013 fija diez años para la NSA.</t>
  </si>
  <si>
    <t xml:space="preserve">Resolución 2674 de 2013, art. 41</t>
  </si>
  <si>
    <t xml:space="preserve">F089-3</t>
  </si>
  <si>
    <t xml:space="preserve">Frutas y hortalizas frescas que no se someten a transformación</t>
  </si>
  <si>
    <t xml:space="preserve">no requieren NSA, PSA ni RSA.</t>
  </si>
  <si>
    <t xml:space="preserve">requieren permiso sanitario.</t>
  </si>
  <si>
    <t xml:space="preserve">requieren registro sanitario.</t>
  </si>
  <si>
    <t xml:space="preserve">La Resolución 2674 de 2013 exceptúa a los alimentos naturales sin transformación.</t>
  </si>
  <si>
    <t xml:space="preserve">Resolución 2674 de 2013, art. 37</t>
  </si>
  <si>
    <t xml:space="preserve">F090-1</t>
  </si>
  <si>
    <t xml:space="preserve">C090</t>
  </si>
  <si>
    <t xml:space="preserve">Manipuladores de alimentos</t>
  </si>
  <si>
    <t xml:space="preserve">Durante una visita, usted revisa las prácticas higiénicas del personal de una planta.</t>
  </si>
  <si>
    <t xml:space="preserve">El reconocimiento médico del personal manipulador debe hacerse, como mínimo,</t>
  </si>
  <si>
    <t xml:space="preserve">solo al momento de contratarlo.</t>
  </si>
  <si>
    <t xml:space="preserve">cada cinco años.</t>
  </si>
  <si>
    <t xml:space="preserve">una vez al año.</t>
  </si>
  <si>
    <t xml:space="preserve">La Resolución 2674 de 2013 exige reconocimiento médico al menos una vez al año.</t>
  </si>
  <si>
    <t xml:space="preserve">Resolución 2674 de 2013, art. 11</t>
  </si>
  <si>
    <t xml:space="preserve">F090-2</t>
  </si>
  <si>
    <t xml:space="preserve">Sobre las uñas del manipulador, la norma exige que estén</t>
  </si>
  <si>
    <t xml:space="preserve">de cualquier longitud si usa guantes.</t>
  </si>
  <si>
    <t xml:space="preserve">cortas y con esmalte transparente.</t>
  </si>
  <si>
    <t xml:space="preserve">cortas, limpias y sin esmalte.</t>
  </si>
  <si>
    <t xml:space="preserve">La Resolución 2674 de 2013 lo establece entre las prácticas higiénicas.</t>
  </si>
  <si>
    <t xml:space="preserve">Resolución 2674 de 2013, art. 14</t>
  </si>
  <si>
    <t xml:space="preserve">F090-3</t>
  </si>
  <si>
    <t xml:space="preserve">Mientras realiza sus labores, el manipulador</t>
  </si>
  <si>
    <t xml:space="preserve">puede usar anillos si son lisos.</t>
  </si>
  <si>
    <t xml:space="preserve">puede usar reloj si es resistente al agua.</t>
  </si>
  <si>
    <t xml:space="preserve">no puede usar reloj, anillos, aretes ni joyas.</t>
  </si>
  <si>
    <t xml:space="preserve">La Resolución 2674 de 2013 prohíbe esos accesorios.</t>
  </si>
  <si>
    <t xml:space="preserve">F091-1</t>
  </si>
  <si>
    <t xml:space="preserve">C091</t>
  </si>
  <si>
    <t xml:space="preserve">Vestimenta de trabajo</t>
  </si>
  <si>
    <t xml:space="preserve">Usted observa que algunos operarios usan dotación gris y salen a la calle con el uniforme.</t>
  </si>
  <si>
    <t xml:space="preserve">La vestimenta de trabajo del manipulador debe ser</t>
  </si>
  <si>
    <t xml:space="preserve">de color claro, para visualizar su limpieza.</t>
  </si>
  <si>
    <t xml:space="preserve">gris, para disimular manchas.</t>
  </si>
  <si>
    <t xml:space="preserve">de cualquier color oscuro.</t>
  </si>
  <si>
    <t xml:space="preserve">La Resolución 2674 de 2013 exige colores claros y prohíbe el gris.</t>
  </si>
  <si>
    <t xml:space="preserve">F091-2</t>
  </si>
  <si>
    <t xml:space="preserve">Respecto a salir del establecimiento con la vestimenta de trabajo,</t>
  </si>
  <si>
    <t xml:space="preserve">no está permitido.</t>
  </si>
  <si>
    <t xml:space="preserve">está permitido en la hora de almuerzo.</t>
  </si>
  <si>
    <t xml:space="preserve">está permitido si usan chaqueta encima.</t>
  </si>
  <si>
    <t xml:space="preserve">La norma prohíbe salir e ingresar con la vestimenta de trabajo.</t>
  </si>
  <si>
    <t xml:space="preserve">F091-3</t>
  </si>
  <si>
    <t xml:space="preserve">La vestimenta debe tener</t>
  </si>
  <si>
    <t xml:space="preserve">cierres o broches en lugar de botones y sin bolsillos por encima de la cintura.</t>
  </si>
  <si>
    <t xml:space="preserve">botones decorativos.</t>
  </si>
  <si>
    <t xml:space="preserve">bolsillos en el pecho para llevar esferos.</t>
  </si>
  <si>
    <t xml:space="preserve">Así se evita que objetos caigan en el alimento.</t>
  </si>
  <si>
    <t xml:space="preserve">F092-1</t>
  </si>
  <si>
    <t xml:space="preserve">C092</t>
  </si>
  <si>
    <t xml:space="preserve">Plan de capacitación</t>
  </si>
  <si>
    <t xml:space="preserve">Revisa el plan de capacitación de una fábrica de alimentos.</t>
  </si>
  <si>
    <t xml:space="preserve">El plan de capacitación debe contener, al menos,</t>
  </si>
  <si>
    <t xml:space="preserve">el presupuesto de mercadeo.</t>
  </si>
  <si>
    <t xml:space="preserve">metodología, duración, docentes, cronograma y temas.</t>
  </si>
  <si>
    <t xml:space="preserve">solo la lista de asistentes.</t>
  </si>
  <si>
    <t xml:space="preserve">La Resolución 2674 de 2013 define el contenido mínimo del plan.</t>
  </si>
  <si>
    <t xml:space="preserve">Resolución 2674 de 2013, art. 13</t>
  </si>
  <si>
    <t xml:space="preserve">F092-2</t>
  </si>
  <si>
    <t xml:space="preserve">La capacitación de los manipuladores debe ser</t>
  </si>
  <si>
    <t xml:space="preserve">continua y permanente.</t>
  </si>
  <si>
    <t xml:space="preserve">única, al ingresar.</t>
  </si>
  <si>
    <t xml:space="preserve">opcional.</t>
  </si>
  <si>
    <t xml:space="preserve">La Resolución 2674 de 2013 exige un plan continuo y permanente.</t>
  </si>
  <si>
    <t xml:space="preserve">Resolución 2674 de 2013, art. 12</t>
  </si>
  <si>
    <t xml:space="preserve">F092-3</t>
  </si>
  <si>
    <t xml:space="preserve">La efectividad de la capacitación se demuestra con</t>
  </si>
  <si>
    <t xml:space="preserve">el desempeño de los operarios y la condición sanitaria del establecimiento.</t>
  </si>
  <si>
    <t xml:space="preserve">el número de certificados colgados en la pared.</t>
  </si>
  <si>
    <t xml:space="preserve">la firma de las listas de asistencia.</t>
  </si>
  <si>
    <t xml:space="preserve">La Resolución 2674 de 2013 exige demostrar efectividad e impacto.</t>
  </si>
  <si>
    <t xml:space="preserve">F093-1</t>
  </si>
  <si>
    <t xml:space="preserve">C093</t>
  </si>
  <si>
    <t xml:space="preserve">Plan de saneamiento: exigencias</t>
  </si>
  <si>
    <t xml:space="preserve">El gerente de una planta dice que su plan de saneamiento 'lo tiene en la cabeza'.</t>
  </si>
  <si>
    <t xml:space="preserve">El plan de saneamiento debe estar</t>
  </si>
  <si>
    <t xml:space="preserve">en poder del proveedor de aseo.</t>
  </si>
  <si>
    <t xml:space="preserve">escrito y a disposición de la autoridad sanitaria.</t>
  </si>
  <si>
    <t xml:space="preserve">solo en la memoria del jefe de planta.</t>
  </si>
  <si>
    <t xml:space="preserve">La Resolución 2674 de 2013 exige que el plan esté escrito y disponible.</t>
  </si>
  <si>
    <t xml:space="preserve">Resolución 2674 de 2013, art. 26</t>
  </si>
  <si>
    <t xml:space="preserve">F093-2</t>
  </si>
  <si>
    <t xml:space="preserve">Cada programa del plan debe incluir, como mínimo,</t>
  </si>
  <si>
    <t xml:space="preserve">procedimientos, cronogramas, registros, listas de chequeo y responsables.</t>
  </si>
  <si>
    <t xml:space="preserve">solo el nombre del programa.</t>
  </si>
  <si>
    <t xml:space="preserve">fotografías de la planta.</t>
  </si>
  <si>
    <t xml:space="preserve">La Resolución 2674 de 2013 fija ese contenido mínimo.</t>
  </si>
  <si>
    <t xml:space="preserve">F093-3</t>
  </si>
  <si>
    <t xml:space="preserve">El objetivo del plan de saneamiento es</t>
  </si>
  <si>
    <t xml:space="preserve">reducir los costos de nómina.</t>
  </si>
  <si>
    <t xml:space="preserve">disminuir los riesgos de contaminación de los alimentos.</t>
  </si>
  <si>
    <t xml:space="preserve">aumentar la producción.</t>
  </si>
  <si>
    <t xml:space="preserve">Así lo define la Resolución 2674 de 2013.</t>
  </si>
  <si>
    <t xml:space="preserve">F094-1</t>
  </si>
  <si>
    <t xml:space="preserve">C094</t>
  </si>
  <si>
    <t xml:space="preserve">Sellos frontales de advertencia</t>
  </si>
  <si>
    <t xml:space="preserve">Una empresa pregunta si su producto necesita sellos frontales.</t>
  </si>
  <si>
    <t xml:space="preserve">El sello frontal de advertencia aplica a productos</t>
  </si>
  <si>
    <t xml:space="preserve">procesados o ultraprocesados envasados a los que se les adicionó el nutriente y superan el límite.</t>
  </si>
  <si>
    <t xml:space="preserve">vendidos a granel sin envase.</t>
  </si>
  <si>
    <t xml:space="preserve">naturales sin ningún proceso.</t>
  </si>
  <si>
    <t xml:space="preserve">La Resolución 810 de 2021, art. 32, fija esas condiciones.</t>
  </si>
  <si>
    <t xml:space="preserve">Resolución 810 de 2021, art. 32 (Resolución 254 de 2023)</t>
  </si>
  <si>
    <t xml:space="preserve">F094-2</t>
  </si>
  <si>
    <t xml:space="preserve">Para sólidos, el sello de sodio aplica, entre otros criterios, cuando el contenido es igual o superior a</t>
  </si>
  <si>
    <t xml:space="preserve">300 mg por cada 100 g.</t>
  </si>
  <si>
    <t xml:space="preserve">3 mg por cada 100 g.</t>
  </si>
  <si>
    <t xml:space="preserve">3.000 mg por cada 100 g.</t>
  </si>
  <si>
    <t xml:space="preserve">La Tabla 17 de la Resolución 810 de 2021 fija ese límite.</t>
  </si>
  <si>
    <t xml:space="preserve">Resolución 810 de 2021, Tabla 17</t>
  </si>
  <si>
    <t xml:space="preserve">F094-3</t>
  </si>
  <si>
    <t xml:space="preserve">Si a un producto no se le adicionó azúcar, el sello de azúcares</t>
  </si>
  <si>
    <t xml:space="preserve">le aplica solo si es bebida.</t>
  </si>
  <si>
    <t xml:space="preserve">le aplica siempre.</t>
  </si>
  <si>
    <t xml:space="preserve">no le aplica por ese nutriente, según la regla de adición.</t>
  </si>
  <si>
    <t xml:space="preserve">El artículo 32 condiciona el sello a que el nutriente haya sido adicionado.</t>
  </si>
  <si>
    <t xml:space="preserve">F095-1</t>
  </si>
  <si>
    <t xml:space="preserve">C095</t>
  </si>
  <si>
    <t xml:space="preserve">Nombre del alimento</t>
  </si>
  <si>
    <t xml:space="preserve">Una etiqueta dice solo 'Delicia Tropical', sin indicar qué producto es.</t>
  </si>
  <si>
    <t xml:space="preserve">El nombre del alimento en la etiqueta debe</t>
  </si>
  <si>
    <t xml:space="preserve">ser siempre un nombre de fantasía.</t>
  </si>
  <si>
    <t xml:space="preserve">indicar la verdadera naturaleza del alimento.</t>
  </si>
  <si>
    <t xml:space="preserve">ser el nombre del fabricante.</t>
  </si>
  <si>
    <t xml:space="preserve">La Resolución 5109 de 2005 lo exige en el numeral 5.1.</t>
  </si>
  <si>
    <t xml:space="preserve">Resolución 5109 de 2005, art. 5</t>
  </si>
  <si>
    <t xml:space="preserve">F095-2</t>
  </si>
  <si>
    <t xml:space="preserve">Un nombre de fantasía o marca puede usarse</t>
  </si>
  <si>
    <t xml:space="preserve">solo en la parte posterior.</t>
  </si>
  <si>
    <t xml:space="preserve">sin ninguna otra indicación.</t>
  </si>
  <si>
    <t xml:space="preserve">siempre que vaya junto con la denominación del alimento en la cara principal.</t>
  </si>
  <si>
    <t xml:space="preserve">La Resolución 5109 de 2005 permite nombres de fantasía acompañados de la denominación.</t>
  </si>
  <si>
    <t xml:space="preserve">F095-3</t>
  </si>
  <si>
    <t xml:space="preserve">La etiqueta no puede contener</t>
  </si>
  <si>
    <t xml:space="preserve">información que induzca a error o engaño al consumidor.</t>
  </si>
  <si>
    <t xml:space="preserve">el contenido neto.</t>
  </si>
  <si>
    <t xml:space="preserve">la lista de ingredientes.</t>
  </si>
  <si>
    <t xml:space="preserve">La norma de rotulado prohíbe información engañosa.</t>
  </si>
  <si>
    <t xml:space="preserve">F096-1</t>
  </si>
  <si>
    <t xml:space="preserve">C096</t>
  </si>
  <si>
    <t xml:space="preserve">Planta de beneficio</t>
  </si>
  <si>
    <t xml:space="preserve">Le asignan la inspección oficial en una planta de beneficio animal.</t>
  </si>
  <si>
    <t xml:space="preserve">Una planta de beneficio animal es un establecimiento</t>
  </si>
  <si>
    <t xml:space="preserve">un expendio de carne al detal.</t>
  </si>
  <si>
    <t xml:space="preserve">cualquier lugar donde se sacrifiquen animales.</t>
  </si>
  <si>
    <t xml:space="preserve">registrado y autorizado donde se benefician animales declarados aptos para consumo humano.</t>
  </si>
  <si>
    <t xml:space="preserve">Así la define el Decreto 1500 de 2007.</t>
  </si>
  <si>
    <t xml:space="preserve">Decreto 1500 de 2007, art. 3</t>
  </si>
  <si>
    <t xml:space="preserve">F096-2</t>
  </si>
  <si>
    <t xml:space="preserve">El decomiso durante la inspección ante mortem se aplica a</t>
  </si>
  <si>
    <t xml:space="preserve">el animal.</t>
  </si>
  <si>
    <t xml:space="preserve">solo a las vísceras.</t>
  </si>
  <si>
    <t xml:space="preserve">el vehículo de transporte.</t>
  </si>
  <si>
    <t xml:space="preserve">El Decreto 1500 de 2007 incluye al animal en la definición de decomiso ante mortem.</t>
  </si>
  <si>
    <t xml:space="preserve">F096-3</t>
  </si>
  <si>
    <t xml:space="preserve">La IVC de las plantas de beneficio le corresponde de forma exclusiva a</t>
  </si>
  <si>
    <t xml:space="preserve">las gobernaciones.</t>
  </si>
  <si>
    <t xml:space="preserve">los municipios.</t>
  </si>
  <si>
    <t xml:space="preserve">F097-1</t>
  </si>
  <si>
    <t xml:space="preserve">C097</t>
  </si>
  <si>
    <t xml:space="preserve">Certificado de inspección sanitaria</t>
  </si>
  <si>
    <t xml:space="preserve">Un importador pregunta qué documento necesita para nacionalizar alimentos.</t>
  </si>
  <si>
    <t xml:space="preserve">El procedimiento sanitario vigente para importación y exportación de alimentos está en</t>
  </si>
  <si>
    <t xml:space="preserve">la Resolución 5109 de 2005.</t>
  </si>
  <si>
    <t xml:space="preserve">el Decreto 2478 de 2018.</t>
  </si>
  <si>
    <t xml:space="preserve">el Decreto 539 de 2014, que sigue vigente sin cambios.</t>
  </si>
  <si>
    <t xml:space="preserve">El Decreto 2478 de 2018 derogó el Decreto 539 de 2014 y regula estos procedimientos.</t>
  </si>
  <si>
    <t xml:space="preserve">Decreto 2478 de 2018</t>
  </si>
  <si>
    <t xml:space="preserve">F097-2</t>
  </si>
  <si>
    <t xml:space="preserve">El Certificado de Inspección Sanitaria (CIS) es el documento que</t>
  </si>
  <si>
    <t xml:space="preserve">expide la DIAN para el pago de aranceles.</t>
  </si>
  <si>
    <t xml:space="preserve">expide el exportador en su país.</t>
  </si>
  <si>
    <t xml:space="preserve">expide el Invima para hacer constar la inocuidad de los alimentos o materias primas.</t>
  </si>
  <si>
    <t xml:space="preserve">Así lo define el Decreto 2478 de 2018.</t>
  </si>
  <si>
    <t xml:space="preserve">Decreto 2478 de 2018, art. 3</t>
  </si>
  <si>
    <t xml:space="preserve">F097-3</t>
  </si>
  <si>
    <t xml:space="preserve">Para expedir el CIS, el Invima verifica, entre otros,</t>
  </si>
  <si>
    <t xml:space="preserve">la marca del contenedor.</t>
  </si>
  <si>
    <t xml:space="preserve">el certificado sanitario del país de origen y la trazabilidad del producto.</t>
  </si>
  <si>
    <t xml:space="preserve">el precio de compra.</t>
  </si>
  <si>
    <t xml:space="preserve">El artículo 6 del Decreto 2478 de 2018 describe el procedimiento.</t>
  </si>
  <si>
    <t xml:space="preserve">Decreto 2478 de 2018, art. 6</t>
  </si>
  <si>
    <t xml:space="preserve">F098-1</t>
  </si>
  <si>
    <t xml:space="preserve">C098</t>
  </si>
  <si>
    <t xml:space="preserve">Registro y clasificación de bebidas</t>
  </si>
  <si>
    <t xml:space="preserve">Una destilería artesanal pregunta por sus obligaciones sanitarias.</t>
  </si>
  <si>
    <t xml:space="preserve">El registro sanitario de bebidas alcohólicas tiene una vigencia de</t>
  </si>
  <si>
    <t xml:space="preserve">El Decreto 1686 de 2012 fija diez años de vigencia.</t>
  </si>
  <si>
    <t xml:space="preserve">Decreto 1686 de 2012</t>
  </si>
  <si>
    <t xml:space="preserve">F098-2</t>
  </si>
  <si>
    <t xml:space="preserve">Una bebida alcohólica que no posee registro sanitario se considera</t>
  </si>
  <si>
    <t xml:space="preserve">artesanal permitida.</t>
  </si>
  <si>
    <t xml:space="preserve">fraudulenta.</t>
  </si>
  <si>
    <t xml:space="preserve">alterada.</t>
  </si>
  <si>
    <t xml:space="preserve">El Decreto 1686 de 2012 la define como fraudulenta.</t>
  </si>
  <si>
    <t xml:space="preserve">Decreto 1686 de 2012, art. 3</t>
  </si>
  <si>
    <t xml:space="preserve">F098-3</t>
  </si>
  <si>
    <t xml:space="preserve">Una bebida que sufre degradación de sus constituyentes por agentes físicos, químicos o biológicos se considera</t>
  </si>
  <si>
    <t xml:space="preserve">falsificada.</t>
  </si>
  <si>
    <t xml:space="preserve">Así la define el Decreto 1686 de 2012.</t>
  </si>
  <si>
    <t xml:space="preserve">F099-1</t>
  </si>
  <si>
    <t xml:space="preserve">C099</t>
  </si>
  <si>
    <t xml:space="preserve">Control en el expendio</t>
  </si>
  <si>
    <t xml:space="preserve">En un bar se encuentran botellas con fecha de vencimiento expirada y rótulos que inducen a engaño sobre el origen.</t>
  </si>
  <si>
    <t xml:space="preserve">La IVC del expendio, almacenamiento, distribución y transporte de bebidas alcohólicas corresponde a</t>
  </si>
  <si>
    <t xml:space="preserve">las direcciones territoriales de salud.</t>
  </si>
  <si>
    <t xml:space="preserve">la DIAN.</t>
  </si>
  <si>
    <t xml:space="preserve">El Decreto 1686 de 2012 asigna esas actividades a las entidades territoriales.</t>
  </si>
  <si>
    <t xml:space="preserve">F099-2</t>
  </si>
  <si>
    <t xml:space="preserve">Comercializar una bebida que requiere fecha de vencimiento cuando esta ya expiró la hace</t>
  </si>
  <si>
    <t xml:space="preserve">válida si está sellada.</t>
  </si>
  <si>
    <t xml:space="preserve">El Decreto 1686 de 2012 incluye este supuesto en la definición de fraudulenta.</t>
  </si>
  <si>
    <t xml:space="preserve">F099-3</t>
  </si>
  <si>
    <t xml:space="preserve">Ante el incumplimiento, las autoridades sanitarias aplican medidas sanitarias y sanciones con fundamento en</t>
  </si>
  <si>
    <t xml:space="preserve">el Código de Tránsito.</t>
  </si>
  <si>
    <t xml:space="preserve">los artículos 576 y siguientes de la Ley 9 de 1979.</t>
  </si>
  <si>
    <t xml:space="preserve">El Decreto 1686 de 2012 remite a la Ley 9 de 1979.</t>
  </si>
  <si>
    <t xml:space="preserve">F100-1</t>
  </si>
  <si>
    <t xml:space="preserve">C100</t>
  </si>
  <si>
    <t xml:space="preserve">Operativos contra la ilegalidad</t>
  </si>
  <si>
    <t xml:space="preserve">Se conforma un grupo interinstitucional para atacar el contrabando de medicamentos.</t>
  </si>
  <si>
    <t xml:space="preserve">La participación del Invima en estos grupos se hace, entre otras, a través de</t>
  </si>
  <si>
    <t xml:space="preserve">las unidades de reacción inmediata de la Dirección de Operaciones Sanitarias.</t>
  </si>
  <si>
    <t xml:space="preserve">la Comisión de Personal.</t>
  </si>
  <si>
    <t xml:space="preserve">El Decreto 2078 de 2012 prevé esa participación.</t>
  </si>
  <si>
    <t xml:space="preserve">F100-2</t>
  </si>
  <si>
    <t xml:space="preserve">La coordinación con entidades nacionales y territoriales para culminar la IVC es función de</t>
  </si>
  <si>
    <t xml:space="preserve">El Decreto 2078 de 2012 le asigna esa coordinación.</t>
  </si>
  <si>
    <t xml:space="preserve">F100-3</t>
  </si>
  <si>
    <t xml:space="preserve">En el operativo, el hallazgo de productos ilegales debe</t>
  </si>
  <si>
    <t xml:space="preserve">entregarse a la comunidad.</t>
  </si>
  <si>
    <t xml:space="preserve">documentarse con acta, aplicar medidas y comunicarse a las autoridades para lo de su competencia.</t>
  </si>
  <si>
    <t xml:space="preserve">resolverse con una advertencia verbal.</t>
  </si>
  <si>
    <t xml:space="preserve">La actuación sanitaria se documenta y se articula con las autoridades.</t>
  </si>
  <si>
    <t xml:space="preserve">Ley 9 de 1979; Decreto 2078 de 2012</t>
  </si>
  <si>
    <t xml:space="preserve">F101-1</t>
  </si>
  <si>
    <t xml:space="preserve">Naturaleza y funciones del FNE</t>
  </si>
  <si>
    <t xml:space="preserve">C101</t>
  </si>
  <si>
    <t xml:space="preserve">Qué es el Fondo Nacional de Estupefacientes</t>
  </si>
  <si>
    <t xml:space="preserve">En la inducción le piden explicar la naturaleza del Fondo.</t>
  </si>
  <si>
    <t xml:space="preserve">El Fondo Nacional de Estupefacientes es</t>
  </si>
  <si>
    <t xml:space="preserve">una dependencia de la Policía Nacional.</t>
  </si>
  <si>
    <t xml:space="preserve">una unidad administrativa especial del Ministerio de Salud y Protección Social.</t>
  </si>
  <si>
    <t xml:space="preserve">un establecimiento público independiente.</t>
  </si>
  <si>
    <t xml:space="preserve">El Decreto 4107 de 2011 lo mantiene como UAE del Ministerio de Salud.</t>
  </si>
  <si>
    <t xml:space="preserve">Decreto 4107 de 2011, art. 26</t>
  </si>
  <si>
    <t xml:space="preserve">F101-2</t>
  </si>
  <si>
    <t xml:space="preserve">Dentro del Ministerio, el Fondo depende de</t>
  </si>
  <si>
    <t xml:space="preserve">la Dirección de Epidemiología y Demografía.</t>
  </si>
  <si>
    <t xml:space="preserve">la Dirección de Medicamentos y Tecnologías en Salud.</t>
  </si>
  <si>
    <t xml:space="preserve">El Decreto 4107 de 2011 lo ubica en esa dirección.</t>
  </si>
  <si>
    <t xml:space="preserve">F101-3</t>
  </si>
  <si>
    <t xml:space="preserve">El Fondo tiene su origen en</t>
  </si>
  <si>
    <t xml:space="preserve">la Ley 36 de 1939.</t>
  </si>
  <si>
    <t xml:space="preserve">El Decreto 4107 de 2011 menciona la Ley 36 de 1939 y el Decreto Ley 257 de 1969.</t>
  </si>
  <si>
    <t xml:space="preserve">F102-1</t>
  </si>
  <si>
    <t xml:space="preserve">C102</t>
  </si>
  <si>
    <t xml:space="preserve">Objeto del Fondo</t>
  </si>
  <si>
    <t xml:space="preserve">Un periodista pregunta para qué existe el Fondo.</t>
  </si>
  <si>
    <t xml:space="preserve">El objeto del Fondo incluye</t>
  </si>
  <si>
    <t xml:space="preserve">la expedición de registros sanitarios.</t>
  </si>
  <si>
    <t xml:space="preserve">el control de precios de todos los medicamentos.</t>
  </si>
  <si>
    <t xml:space="preserve">la vigilancia y control de la importación, exportación, distribución y venta de sustancias fiscalizadas y medicamentos que las contengan.</t>
  </si>
  <si>
    <t xml:space="preserve">Así lo describe la Resolución 1478 de 2006 con base en el Decreto 205 de 2003.</t>
  </si>
  <si>
    <t xml:space="preserve">Resolución 1478 de 2006, considerandos</t>
  </si>
  <si>
    <t xml:space="preserve">F102-2</t>
  </si>
  <si>
    <t xml:space="preserve">Además, el Fondo debe</t>
  </si>
  <si>
    <t xml:space="preserve">otorgar licencias de cultivo de coca.</t>
  </si>
  <si>
    <t xml:space="preserve">apoyar los programas para prevenir la farmacodependencia.</t>
  </si>
  <si>
    <t xml:space="preserve">investigar penalmente el narcotráfico.</t>
  </si>
  <si>
    <t xml:space="preserve">El apoyo a la prevención de la farmacodependencia hace parte de su objeto.</t>
  </si>
  <si>
    <t xml:space="preserve">F102-3</t>
  </si>
  <si>
    <t xml:space="preserve">La competencia para dictar las normas que rigen a los Fondos Rotatorios de Estupefacientes la tiene</t>
  </si>
  <si>
    <t xml:space="preserve">cada gobernador de forma autónoma.</t>
  </si>
  <si>
    <t xml:space="preserve">La Resolución 1478 de 2006 lo reconoce en sus considerandos.</t>
  </si>
  <si>
    <t xml:space="preserve">Resolución 1478 de 2006</t>
  </si>
  <si>
    <t xml:space="preserve">F103-1</t>
  </si>
  <si>
    <t xml:space="preserve">C103</t>
  </si>
  <si>
    <t xml:space="preserve">Alcance del monopolio</t>
  </si>
  <si>
    <t xml:space="preserve">Una EPS quiere abrir su propia licitación para comprar morfina.</t>
  </si>
  <si>
    <t xml:space="preserve">El monopolio del Estado sobre estas sustancias se entiende como</t>
  </si>
  <si>
    <t xml:space="preserve">la exclusividad para la importación, adquisición y venta.</t>
  </si>
  <si>
    <t xml:space="preserve">la prohibición total de su uso.</t>
  </si>
  <si>
    <t xml:space="preserve">la fijación de precios máximos.</t>
  </si>
  <si>
    <t xml:space="preserve">Así lo precisó la Corte Constitucional en la Sentencia C-697 de 2008, citada en la Resolución 315 de 2020.</t>
  </si>
  <si>
    <t xml:space="preserve">Resolución 315 de 2020, considerandos</t>
  </si>
  <si>
    <t xml:space="preserve">F103-2</t>
  </si>
  <si>
    <t xml:space="preserve">La licitación de medicamentos monopolio del Estado por una entidad distinta al Fondo</t>
  </si>
  <si>
    <t xml:space="preserve">está permitida si la EPS es pública.</t>
  </si>
  <si>
    <t xml:space="preserve">requiere solo aviso previo.</t>
  </si>
  <si>
    <t xml:space="preserve">La Resolución 1478 de 2006, art. 5, lo prohíbe.</t>
  </si>
  <si>
    <t xml:space="preserve">Resolución 1478 de 2006, art. 5</t>
  </si>
  <si>
    <t xml:space="preserve">F103-3</t>
  </si>
  <si>
    <t xml:space="preserve">La distribución y comercialización interdepartamental de medicamentos monopolio del Estado</t>
  </si>
  <si>
    <t xml:space="preserve">es libre.</t>
  </si>
  <si>
    <t xml:space="preserve">requiere solo factura.</t>
  </si>
  <si>
    <t xml:space="preserve">La Resolución 1478 de 2006, art. 5, la prohíbe.</t>
  </si>
  <si>
    <t xml:space="preserve">F104-1</t>
  </si>
  <si>
    <t xml:space="preserve">C104</t>
  </si>
  <si>
    <t xml:space="preserve">Distribución y venta</t>
  </si>
  <si>
    <t xml:space="preserve">Una IPS no tiene servicio farmacéutico para dispensar medicamentos monopolio del Estado.</t>
  </si>
  <si>
    <t xml:space="preserve">La distribución y venta de medicamentos monopolio del Estado se hace a través de</t>
  </si>
  <si>
    <t xml:space="preserve">el Fondo Nacional o los Fondos Rotatorios, y excepcionalmente por establecimientos facultados por el Fondo.</t>
  </si>
  <si>
    <t xml:space="preserve">las EPS directamente.</t>
  </si>
  <si>
    <t xml:space="preserve">cualquier droguería del país.</t>
  </si>
  <si>
    <t xml:space="preserve">Así lo dispone la Resolución 1478 de 2006.</t>
  </si>
  <si>
    <t xml:space="preserve">Resolución 1478 de 2006, art. 74</t>
  </si>
  <si>
    <t xml:space="preserve">F104-2</t>
  </si>
  <si>
    <t xml:space="preserve">Si la IPS no dispensa estos medicamentos, para garantizarlos debe</t>
  </si>
  <si>
    <t xml:space="preserve">solicitar permiso para suscribir un convenio con un tercero.</t>
  </si>
  <si>
    <t xml:space="preserve">comprarlos en el exterior.</t>
  </si>
  <si>
    <t xml:space="preserve">dejar de formularlos.</t>
  </si>
  <si>
    <t xml:space="preserve">La Resolución 1478 de 2006, art. 76, prevé el convenio con un tercero autorizado.</t>
  </si>
  <si>
    <t xml:space="preserve">Resolución 1478 de 2006, art. 76</t>
  </si>
  <si>
    <t xml:space="preserve">F104-3</t>
  </si>
  <si>
    <t xml:space="preserve">Si el paciente cambia de terapia o fallece y quedan sobrantes,</t>
  </si>
  <si>
    <t xml:space="preserve">el familiar debe devolverlos al lugar donde se adquirieron.</t>
  </si>
  <si>
    <t xml:space="preserve">se desechan en la basura.</t>
  </si>
  <si>
    <t xml:space="preserve">el familiar puede venderlos.</t>
  </si>
  <si>
    <t xml:space="preserve">La Resolución 1478 de 2006, art. 76, ordena su devolución.</t>
  </si>
  <si>
    <t xml:space="preserve">F105-1</t>
  </si>
  <si>
    <t xml:space="preserve">C105</t>
  </si>
  <si>
    <t xml:space="preserve">Prohibiciones</t>
  </si>
  <si>
    <t xml:space="preserve">Un laboratorio propone una campaña de mercadeo para un medicamento de control especial.</t>
  </si>
  <si>
    <t xml:space="preserve">La comercialización de medicamentos sometidos a fiscalización por Internet o correo</t>
  </si>
  <si>
    <t xml:space="preserve">está permitida para pacientes crónicos.</t>
  </si>
  <si>
    <t xml:space="preserve">está permitida con factura electrónica.</t>
  </si>
  <si>
    <t xml:space="preserve">F105-2</t>
  </si>
  <si>
    <t xml:space="preserve">Entregar muestras de medicamentos de franja violeta al personal de salud como estrategia de mercadeo</t>
  </si>
  <si>
    <t xml:space="preserve">está prohibido.</t>
  </si>
  <si>
    <t xml:space="preserve">está permitido con acta de entrega.</t>
  </si>
  <si>
    <t xml:space="preserve">está permitido en congresos médicos.</t>
  </si>
  <si>
    <t xml:space="preserve">F105-3</t>
  </si>
  <si>
    <t xml:space="preserve">La publicidad masiva de medicamentos de control especial de franja violeta</t>
  </si>
  <si>
    <t xml:space="preserve">está permitida en redes sociales.</t>
  </si>
  <si>
    <t xml:space="preserve">está permitida en horario nocturno.</t>
  </si>
  <si>
    <t xml:space="preserve">F106-1</t>
  </si>
  <si>
    <t xml:space="preserve">C106</t>
  </si>
  <si>
    <t xml:space="preserve">Conceptos básicos</t>
  </si>
  <si>
    <t xml:space="preserve">Prepara un glosario para nuevos funcionarios del Fondo.</t>
  </si>
  <si>
    <t xml:space="preserve">La característica que identifica a los medicamentos de control especial es</t>
  </si>
  <si>
    <t xml:space="preserve">la franja verde.</t>
  </si>
  <si>
    <t xml:space="preserve">el sello de venta libre.</t>
  </si>
  <si>
    <t xml:space="preserve">la franja violeta.</t>
  </si>
  <si>
    <t xml:space="preserve">La Resolución 1478 de 2006 define la franja violeta.</t>
  </si>
  <si>
    <t xml:space="preserve">Resolución 1478 de 2006, art. 2</t>
  </si>
  <si>
    <t xml:space="preserve">F106-2</t>
  </si>
  <si>
    <t xml:space="preserve">La previsión es</t>
  </si>
  <si>
    <t xml:space="preserve">el cupo asignado de sustancias o productos fiscalizados que se podrán importar, previa autorización del Fondo.</t>
  </si>
  <si>
    <t xml:space="preserve">la reserva presupuestal del Fondo.</t>
  </si>
  <si>
    <t xml:space="preserve">el pronóstico del clima para el transporte.</t>
  </si>
  <si>
    <t xml:space="preserve">Así la define la Resolución 1478 de 2006.</t>
  </si>
  <si>
    <t xml:space="preserve">F106-3</t>
  </si>
  <si>
    <t xml:space="preserve">El recetario oficial es un documento</t>
  </si>
  <si>
    <t xml:space="preserve">personal e intransferible que usan los prescriptores para formular medicamentos de control especial y monopolio del Estado.</t>
  </si>
  <si>
    <t xml:space="preserve">que expide cada droguería.</t>
  </si>
  <si>
    <t xml:space="preserve">que puede compartirse entre médicos de la misma IPS sin control.</t>
  </si>
  <si>
    <t xml:space="preserve">La Resolución 1478 de 2006 lo define como personal e intransferible.</t>
  </si>
  <si>
    <t xml:space="preserve">F107-1</t>
  </si>
  <si>
    <t xml:space="preserve">C107</t>
  </si>
  <si>
    <t xml:space="preserve">Inscripción ante la autoridad</t>
  </si>
  <si>
    <t xml:space="preserve">Tres entidades consultan: un importador de materia prima, un distribuidor mayorista nacional y una droguería de un municipio.</t>
  </si>
  <si>
    <t xml:space="preserve">Para cualquier actividad con sustancias sometidas a fiscalización, las entidades deben estar</t>
  </si>
  <si>
    <t xml:space="preserve">registradas solo ante la DIAN.</t>
  </si>
  <si>
    <t xml:space="preserve">afiliadas a una cámara de comercio.</t>
  </si>
  <si>
    <t xml:space="preserve">inscritas ante el Fondo Nacional o los Fondos Rotatorios, según la modalidad.</t>
  </si>
  <si>
    <t xml:space="preserve">La Resolución 1478 de 2006, art. 11, exige la inscripción.</t>
  </si>
  <si>
    <t xml:space="preserve">Resolución 1478 de 2006, art. 11</t>
  </si>
  <si>
    <t xml:space="preserve">F107-2</t>
  </si>
  <si>
    <t xml:space="preserve">La dispensación o distribución dentro de un mismo departamento se inscribe ante</t>
  </si>
  <si>
    <t xml:space="preserve">la alcaldía municipal.</t>
  </si>
  <si>
    <t xml:space="preserve">La Resolución 1478 de 2006, art. 14, lo dispone.</t>
  </si>
  <si>
    <t xml:space="preserve">Resolución 1478 de 2006, art. 14</t>
  </si>
  <si>
    <t xml:space="preserve">F107-3</t>
  </si>
  <si>
    <t xml:space="preserve">Los distribuidores mayoristas nacionales se inscriben primero ante el Fondo Nacional y luego deben</t>
  </si>
  <si>
    <t xml:space="preserve">inscribirse ante la Procuraduría.</t>
  </si>
  <si>
    <t xml:space="preserve">legalizar su inscripción en cada Fondo Rotatorio donde distribuyan.</t>
  </si>
  <si>
    <t xml:space="preserve">esperar cinco años para operar.</t>
  </si>
  <si>
    <t xml:space="preserve">La Resolución 1478 de 2006, art. 13, lo establece.</t>
  </si>
  <si>
    <t xml:space="preserve">Resolución 1478 de 2006, art. 13</t>
  </si>
  <si>
    <t xml:space="preserve">F108-1</t>
  </si>
  <si>
    <t xml:space="preserve">C108</t>
  </si>
  <si>
    <t xml:space="preserve">Vigencia de la inscripción</t>
  </si>
  <si>
    <t xml:space="preserve">Una empresa inscrita hace casi cinco años no ha tramitado la renovación y no ha tenido movimientos en el último año.</t>
  </si>
  <si>
    <t xml:space="preserve">La inscripción tiene una vigencia de</t>
  </si>
  <si>
    <t xml:space="preserve">cinco (5) años, renovable.</t>
  </si>
  <si>
    <t xml:space="preserve">La Resolución 1478 de 2006, art. 30, fija cinco años.</t>
  </si>
  <si>
    <t xml:space="preserve">Resolución 1478 de 2006, art. 30</t>
  </si>
  <si>
    <t xml:space="preserve">F108-2</t>
  </si>
  <si>
    <t xml:space="preserve">La renovación debe solicitarse con una anticipación de</t>
  </si>
  <si>
    <t xml:space="preserve">tres (3) meses; si no, la inscripción se cancela automáticamente.</t>
  </si>
  <si>
    <t xml:space="preserve">un (1) día.</t>
  </si>
  <si>
    <t xml:space="preserve">La Resolución 1478 de 2006, art. 30, así lo establece.</t>
  </si>
  <si>
    <t xml:space="preserve">F108-3</t>
  </si>
  <si>
    <t xml:space="preserve">Si una entidad inscrita no presenta movimiento durante un año,</t>
  </si>
  <si>
    <t xml:space="preserve">su inscripción se cancela automáticamente.</t>
  </si>
  <si>
    <t xml:space="preserve">su inscripción se duplica.</t>
  </si>
  <si>
    <t xml:space="preserve">no pasa nada.</t>
  </si>
  <si>
    <t xml:space="preserve">La Resolución 1478 de 2006, art. 32, prevé la cancelación automática.</t>
  </si>
  <si>
    <t xml:space="preserve">Resolución 1478 de 2006, art. 32</t>
  </si>
  <si>
    <t xml:space="preserve">F109-1</t>
  </si>
  <si>
    <t xml:space="preserve">C109</t>
  </si>
  <si>
    <t xml:space="preserve">Previsiones ordinarias</t>
  </si>
  <si>
    <t xml:space="preserve">Un importador pregunta cómo solicitar el cupo de importación para el próximo año.</t>
  </si>
  <si>
    <t xml:space="preserve">Los importadores inscritos deben presentar sus previsiones para el año siguiente a más tardar el</t>
  </si>
  <si>
    <t xml:space="preserve">1 de enero del año de uso.</t>
  </si>
  <si>
    <t xml:space="preserve">30 de marzo de cada año.</t>
  </si>
  <si>
    <t xml:space="preserve">31 de diciembre de cada año.</t>
  </si>
  <si>
    <t xml:space="preserve">La Resolución 1478 de 2006, art. 59, fija esa fecha.</t>
  </si>
  <si>
    <t xml:space="preserve">Resolución 1478 de 2006, art. 59</t>
  </si>
  <si>
    <t xml:space="preserve">F109-2</t>
  </si>
  <si>
    <t xml:space="preserve">La solicitud debe acompañarse de estudios médico-científicos y de mercadeo, y de los consumos históricos de los</t>
  </si>
  <si>
    <t xml:space="preserve">tres (3) últimos años.</t>
  </si>
  <si>
    <t xml:space="preserve">diez (10) últimos años.</t>
  </si>
  <si>
    <t xml:space="preserve">últimos seis (6) meses.</t>
  </si>
  <si>
    <t xml:space="preserve">La Resolución 1478 de 2006, art. 59, lo exige.</t>
  </si>
  <si>
    <t xml:space="preserve">F109-3</t>
  </si>
  <si>
    <t xml:space="preserve">Las previsiones ordinarias las aprueba</t>
  </si>
  <si>
    <t xml:space="preserve">el Comité Técnico de la Dirección del Fondo.</t>
  </si>
  <si>
    <t xml:space="preserve">La Resolución 1478 de 2006, art. 61, lo dispone.</t>
  </si>
  <si>
    <t xml:space="preserve">Resolución 1478 de 2006, art. 61</t>
  </si>
  <si>
    <t xml:space="preserve">F110-1</t>
  </si>
  <si>
    <t xml:space="preserve">C110</t>
  </si>
  <si>
    <t xml:space="preserve">Previsiones suplementarias</t>
  </si>
  <si>
    <t xml:space="preserve">Una empresa ganó una licitación pública y necesita más cupo del aprobado.</t>
  </si>
  <si>
    <t xml:space="preserve">Las previsiones suplementarias proceden, entre otros casos, por</t>
  </si>
  <si>
    <t xml:space="preserve">lanzamiento de nuevos productos, adjudicación de licitaciones o manejo de nuevas sustancias.</t>
  </si>
  <si>
    <t xml:space="preserve">aumento del precio del dólar.</t>
  </si>
  <si>
    <t xml:space="preserve">cambio de representante legal.</t>
  </si>
  <si>
    <t xml:space="preserve">La Resolución 1478 de 2006, art. 63, enumera esos casos.</t>
  </si>
  <si>
    <t xml:space="preserve">Resolución 1478 de 2006, art. 63</t>
  </si>
  <si>
    <t xml:space="preserve">F110-2</t>
  </si>
  <si>
    <t xml:space="preserve">Por regla general, las solicitudes de previsiones suplementarias se presentan</t>
  </si>
  <si>
    <t xml:space="preserve">solo en diciembre.</t>
  </si>
  <si>
    <t xml:space="preserve">únicamente en el mes de julio.</t>
  </si>
  <si>
    <t xml:space="preserve">en cualquier mes.</t>
  </si>
  <si>
    <t xml:space="preserve">La Resolución 1478 de 2006, art. 64, lo establece.</t>
  </si>
  <si>
    <t xml:space="preserve">Resolución 1478 de 2006, art. 64</t>
  </si>
  <si>
    <t xml:space="preserve">F110-3</t>
  </si>
  <si>
    <t xml:space="preserve">En el caso de la licitación adjudicada, la empresa debe allegar</t>
  </si>
  <si>
    <t xml:space="preserve">una carta de recomendación.</t>
  </si>
  <si>
    <t xml:space="preserve">el recibo de pago de la póliza únicamente.</t>
  </si>
  <si>
    <t xml:space="preserve">copia del contrato para el estudio del Fondo.</t>
  </si>
  <si>
    <t xml:space="preserve">El parágrafo del art. 63 lo exige.</t>
  </si>
  <si>
    <t xml:space="preserve">F111-1</t>
  </si>
  <si>
    <t xml:space="preserve">C111</t>
  </si>
  <si>
    <t xml:space="preserve">Recetario oficial</t>
  </si>
  <si>
    <t xml:space="preserve">Un médico pregunta dónde conseguir el recetario oficial y cómo se usa.</t>
  </si>
  <si>
    <t xml:space="preserve">Los únicos autorizados para emitir, distribuir y vender el recetario oficial para médicos son</t>
  </si>
  <si>
    <t xml:space="preserve">los Fondos Rotatorios de Estupefacientes (y Comvezcol para veterinarios).</t>
  </si>
  <si>
    <t xml:space="preserve">las EPS.</t>
  </si>
  <si>
    <t xml:space="preserve">las droguerías.</t>
  </si>
  <si>
    <t xml:space="preserve">La Resolución 1478 de 2006, art. 84, lo dispone.</t>
  </si>
  <si>
    <t xml:space="preserve">Resolución 1478 de 2006, art. 84</t>
  </si>
  <si>
    <t xml:space="preserve">F111-2</t>
  </si>
  <si>
    <t xml:space="preserve">El recetario oficial tiene</t>
  </si>
  <si>
    <t xml:space="preserve">solo un original.</t>
  </si>
  <si>
    <t xml:space="preserve">un original para quien dispensa y dos copias.</t>
  </si>
  <si>
    <t xml:space="preserve">tres originales.</t>
  </si>
  <si>
    <t xml:space="preserve">La Resolución 1478 de 2006, art. 86, lo establece.</t>
  </si>
  <si>
    <t xml:space="preserve">Resolución 1478 de 2006, art. 86</t>
  </si>
  <si>
    <t xml:space="preserve">F111-3</t>
  </si>
  <si>
    <t xml:space="preserve">En la fórmula del recetario oficial</t>
  </si>
  <si>
    <t xml:space="preserve">pueden incluirse otros medicamentos del tratamiento.</t>
  </si>
  <si>
    <t xml:space="preserve">solo se prescriben medicamentos de control especial.</t>
  </si>
  <si>
    <t xml:space="preserve">puede formularse cualquier producto.</t>
  </si>
  <si>
    <t xml:space="preserve">La Resolución 1478 de 2006, art. 90, exige fórmula única para control especial.</t>
  </si>
  <si>
    <t xml:space="preserve">Resolución 1478 de 2006, art. 90</t>
  </si>
  <si>
    <t xml:space="preserve">F112-1</t>
  </si>
  <si>
    <t xml:space="preserve">C112</t>
  </si>
  <si>
    <t xml:space="preserve">Contenido y extravío del recetario</t>
  </si>
  <si>
    <t xml:space="preserve">Una médica perdió su talonario de recetario oficial.</t>
  </si>
  <si>
    <t xml:space="preserve">Ante el extravío, la médica debe</t>
  </si>
  <si>
    <t xml:space="preserve">esperar a que aparezca.</t>
  </si>
  <si>
    <t xml:space="preserve">comprar otro sin informar.</t>
  </si>
  <si>
    <t xml:space="preserve">denunciar e informar de inmediato por escrito al Fondo Rotatorio, con copia de la denuncia.</t>
  </si>
  <si>
    <t xml:space="preserve">La Resolución 1478 de 2006, art. 87, lo ordena.</t>
  </si>
  <si>
    <t xml:space="preserve">Resolución 1478 de 2006, art. 87</t>
  </si>
  <si>
    <t xml:space="preserve">F112-2</t>
  </si>
  <si>
    <t xml:space="preserve">En la prescripción, la cantidad total del medicamento debe escribirse</t>
  </si>
  <si>
    <t xml:space="preserve">solo en números.</t>
  </si>
  <si>
    <t xml:space="preserve">de forma abreviada.</t>
  </si>
  <si>
    <t xml:space="preserve">en números y letras.</t>
  </si>
  <si>
    <t xml:space="preserve">La Resolución 1478 de 2006, art. 89, lo exige.</t>
  </si>
  <si>
    <t xml:space="preserve">Resolución 1478 de 2006, art. 89</t>
  </si>
  <si>
    <t xml:space="preserve">F112-3</t>
  </si>
  <si>
    <t xml:space="preserve">Las instituciones que compran recetarios para sus médicos</t>
  </si>
  <si>
    <t xml:space="preserve">pueden revenderlos.</t>
  </si>
  <si>
    <t xml:space="preserve">son solidariamente responsables de su manejo y buen uso.</t>
  </si>
  <si>
    <t xml:space="preserve">no tienen ninguna responsabilidad.</t>
  </si>
  <si>
    <t xml:space="preserve">El parágrafo del art. 84 lo establece.</t>
  </si>
  <si>
    <t xml:space="preserve">F113-1</t>
  </si>
  <si>
    <t xml:space="preserve">C113</t>
  </si>
  <si>
    <t xml:space="preserve">Cantidades prescritas</t>
  </si>
  <si>
    <t xml:space="preserve">Un farmacéutico duda sobre la cantidad máxima que puede formularse.</t>
  </si>
  <si>
    <t xml:space="preserve">Para analgésicos narcóticos y la mayoría de medicamentos de control especial, la prescripción puede cubrir hasta</t>
  </si>
  <si>
    <t xml:space="preserve">noventa (90) días calendario.</t>
  </si>
  <si>
    <t xml:space="preserve">treinta (30) días calendario.</t>
  </si>
  <si>
    <t xml:space="preserve">La Resolución 1478 de 2006, art. 80, fija ese límite.</t>
  </si>
  <si>
    <t xml:space="preserve">Resolución 1478 de 2006, art. 80</t>
  </si>
  <si>
    <t xml:space="preserve">F113-2</t>
  </si>
  <si>
    <t xml:space="preserve">Para fenobarbital, la prescripción puede cubrir hasta</t>
  </si>
  <si>
    <t xml:space="preserve">siete (7) días.</t>
  </si>
  <si>
    <t xml:space="preserve">La Resolución 1478 de 2006, art. 80, lo permite.</t>
  </si>
  <si>
    <t xml:space="preserve">F113-3</t>
  </si>
  <si>
    <t xml:space="preserve">Pueden prescribir medicamentos de control especial en el recetario oficial</t>
  </si>
  <si>
    <t xml:space="preserve">los regentes de farmacia.</t>
  </si>
  <si>
    <t xml:space="preserve">todos los profesionales de la salud.</t>
  </si>
  <si>
    <t xml:space="preserve">los médicos y los médicos veterinarios en ejercicio legal de su profesión.</t>
  </si>
  <si>
    <t xml:space="preserve">La Resolución 1478 de 2006, art. 81, lo establece.</t>
  </si>
  <si>
    <t xml:space="preserve">Resolución 1478 de 2006, art. 81</t>
  </si>
  <si>
    <t xml:space="preserve">F114-1</t>
  </si>
  <si>
    <t xml:space="preserve">C114</t>
  </si>
  <si>
    <t xml:space="preserve">Dispensación irregular</t>
  </si>
  <si>
    <t xml:space="preserve">En una visita se encuentra que una droguería dispensó una fórmula expedida hacía 20 días y otra sin recetario oficial.</t>
  </si>
  <si>
    <t xml:space="preserve">Dispensar con más de quince días de expedida la prescripción es, según la Resolución 1478,</t>
  </si>
  <si>
    <t xml:space="preserve">una infracción leve.</t>
  </si>
  <si>
    <t xml:space="preserve">una infracción muy grave.</t>
  </si>
  <si>
    <t xml:space="preserve">una conducta permitida.</t>
  </si>
  <si>
    <t xml:space="preserve">El art. 97, numeral 1, literal m, la tipifica como leve.</t>
  </si>
  <si>
    <t xml:space="preserve">Resolución 1478 de 2006, art. 97</t>
  </si>
  <si>
    <t xml:space="preserve">F114-2</t>
  </si>
  <si>
    <t xml:space="preserve">Dispensar medicamentos de control especial sin recetario oficial es una infracción</t>
  </si>
  <si>
    <t xml:space="preserve">leve.</t>
  </si>
  <si>
    <t xml:space="preserve">grave.</t>
  </si>
  <si>
    <t xml:space="preserve">que no tiene sanción.</t>
  </si>
  <si>
    <t xml:space="preserve">El art. 97, numeral 2, la tipifica como grave.</t>
  </si>
  <si>
    <t xml:space="preserve">F114-3</t>
  </si>
  <si>
    <t xml:space="preserve">Que un médico se autoformule medicamentos de control especial es</t>
  </si>
  <si>
    <t xml:space="preserve">una práctica autorizada.</t>
  </si>
  <si>
    <t xml:space="preserve">obligatorio para su tratamiento.</t>
  </si>
  <si>
    <t xml:space="preserve">una infracción.</t>
  </si>
  <si>
    <t xml:space="preserve">El art. 97 tipifica la autoformulación como infracción leve.</t>
  </si>
  <si>
    <t xml:space="preserve">F115-1</t>
  </si>
  <si>
    <t xml:space="preserve">C115</t>
  </si>
  <si>
    <t xml:space="preserve">Clasificación de infracciones</t>
  </si>
  <si>
    <t xml:space="preserve">Usted debe calificar varias conductas halladas en visitas.</t>
  </si>
  <si>
    <t xml:space="preserve">Desviar sustancias o medicamentos fiscalizados hacia canales ilícitos es una infracción</t>
  </si>
  <si>
    <t xml:space="preserve">muy grave.</t>
  </si>
  <si>
    <t xml:space="preserve">grave, solo si es reincidente.</t>
  </si>
  <si>
    <t xml:space="preserve">La Resolución 1478 de 2006, art. 97, la califica como muy grave.</t>
  </si>
  <si>
    <t xml:space="preserve">F115-2</t>
  </si>
  <si>
    <t xml:space="preserve">Tener faltantes de medicamentos de control especial sin justificación es una infracción</t>
  </si>
  <si>
    <t xml:space="preserve">no sancionable.</t>
  </si>
  <si>
    <t xml:space="preserve">La Resolución 1478 de 2006, art. 97, la califica como grave.</t>
  </si>
  <si>
    <t xml:space="preserve">F115-3</t>
  </si>
  <si>
    <t xml:space="preserve">Las infracciones se califican atendiendo, entre otros, a</t>
  </si>
  <si>
    <t xml:space="preserve">la antigüedad de la empresa.</t>
  </si>
  <si>
    <t xml:space="preserve">el riesgo para la salud, el beneficio obtenido, la intencionalidad y la reincidencia.</t>
  </si>
  <si>
    <t xml:space="preserve">el número de empleados.</t>
  </si>
  <si>
    <t xml:space="preserve">La Resolución 1478 de 2006, art. 96, fija esos criterios.</t>
  </si>
  <si>
    <t xml:space="preserve">Resolución 1478 de 2006, art. 96</t>
  </si>
  <si>
    <t xml:space="preserve">F116-1</t>
  </si>
  <si>
    <t xml:space="preserve">C116</t>
  </si>
  <si>
    <t xml:space="preserve">Informes mensuales</t>
  </si>
  <si>
    <t xml:space="preserve">Un establecimiento inscrito pregunta cuándo debe enviar sus informes.</t>
  </si>
  <si>
    <t xml:space="preserve">Los informes mensuales de movimientos se presentan dentro de los</t>
  </si>
  <si>
    <t xml:space="preserve">primeros diez (10) días calendario de cada mes.</t>
  </si>
  <si>
    <t xml:space="preserve">treinta días siguientes al trimestre.</t>
  </si>
  <si>
    <t xml:space="preserve">últimos cinco días del año.</t>
  </si>
  <si>
    <t xml:space="preserve">La Resolución 1478 de 2006 fija ese plazo para los informes mensuales.</t>
  </si>
  <si>
    <t xml:space="preserve">F116-2</t>
  </si>
  <si>
    <t xml:space="preserve">No aportar los informes obligatorios es una infracción</t>
  </si>
  <si>
    <t xml:space="preserve">que no se sanciona.</t>
  </si>
  <si>
    <t xml:space="preserve">El art. 97 la tipifica como leve.</t>
  </si>
  <si>
    <t xml:space="preserve">F116-3</t>
  </si>
  <si>
    <t xml:space="preserve">El Invima y el ICA deben informar de inmediato al Fondo sobre</t>
  </si>
  <si>
    <t xml:space="preserve">los registros sanitarios o licencias de productos que contengan sustancias fiscalizadas.</t>
  </si>
  <si>
    <t xml:space="preserve">sus procesos de contratación.</t>
  </si>
  <si>
    <t xml:space="preserve">sus estados financieros.</t>
  </si>
  <si>
    <t xml:space="preserve">La Resolución 1478 de 2006, art. 4, lo ordena.</t>
  </si>
  <si>
    <t xml:space="preserve">Resolución 1478 de 2006, art. 4</t>
  </si>
  <si>
    <t xml:space="preserve">F117-1</t>
  </si>
  <si>
    <t xml:space="preserve">C117</t>
  </si>
  <si>
    <t xml:space="preserve">Destrucción y baja</t>
  </si>
  <si>
    <t xml:space="preserve">Una clínica tiene medicamentos de control especial vencidos.</t>
  </si>
  <si>
    <t xml:space="preserve">Para dar de baja estos medicamentos se debe</t>
  </si>
  <si>
    <t xml:space="preserve">devolverlos al paciente.</t>
  </si>
  <si>
    <t xml:space="preserve">botarlos con los residuos comunes.</t>
  </si>
  <si>
    <t xml:space="preserve">pedir autorización al Fondo Nacional o al Fondo Rotatorio en el formato establecido.</t>
  </si>
  <si>
    <t xml:space="preserve">La Resolución 1478 de 2006, art. 78, exige autorización.</t>
  </si>
  <si>
    <t xml:space="preserve">Resolución 1478 de 2006, art. 78</t>
  </si>
  <si>
    <t xml:space="preserve">F117-2</t>
  </si>
  <si>
    <t xml:space="preserve">La destrucción debe solicitarse con una antelación mínima de</t>
  </si>
  <si>
    <t xml:space="preserve">diez (10) días calendario.</t>
  </si>
  <si>
    <t xml:space="preserve">La Resolución 1478 de 2006, art. 79, fija diez días calendario.</t>
  </si>
  <si>
    <t xml:space="preserve">Resolución 1478 de 2006, art. 79</t>
  </si>
  <si>
    <t xml:space="preserve">F117-3</t>
  </si>
  <si>
    <t xml:space="preserve">En la destrucción intervienen</t>
  </si>
  <si>
    <t xml:space="preserve">solo el portero de la clínica.</t>
  </si>
  <si>
    <t xml:space="preserve">un delegado de la entidad solicitante y un delegado del Fondo Nacional o del Fondo Rotatorio, y se levanta acta.</t>
  </si>
  <si>
    <t xml:space="preserve">la empresa de aseo, sin acta.</t>
  </si>
  <si>
    <t xml:space="preserve">La Resolución 1478 de 2006, art. 79, exige ambos delegados y acta.</t>
  </si>
  <si>
    <t xml:space="preserve">F118-1</t>
  </si>
  <si>
    <t xml:space="preserve">C118</t>
  </si>
  <si>
    <t xml:space="preserve">Pérdida de medicamentos</t>
  </si>
  <si>
    <t xml:space="preserve">Una droguería informa que le robaron medicamentos de control especial.</t>
  </si>
  <si>
    <t xml:space="preserve">En caso de pérdida, la droguería debe</t>
  </si>
  <si>
    <t xml:space="preserve">esperar el informe mensual para contarlo.</t>
  </si>
  <si>
    <t xml:space="preserve">reponer las unidades sin informar.</t>
  </si>
  <si>
    <t xml:space="preserve">informar de inmediato al Fondo Nacional o al Fondo Rotatorio, con copia de la denuncia.</t>
  </si>
  <si>
    <t xml:space="preserve">La Resolución 1478 de 2006, art. 77, lo ordena.</t>
  </si>
  <si>
    <t xml:space="preserve">Resolución 1478 de 2006, art. 77</t>
  </si>
  <si>
    <t xml:space="preserve">F118-2</t>
  </si>
  <si>
    <t xml:space="preserve">Además de la denuncia, la droguería debe enviar</t>
  </si>
  <si>
    <t xml:space="preserve">los avances de la investigación.</t>
  </si>
  <si>
    <t xml:space="preserve">nada adicional.</t>
  </si>
  <si>
    <t xml:space="preserve">una carta de disculpas.</t>
  </si>
  <si>
    <t xml:space="preserve">La Resolución 1478 de 2006, art. 77, lo exige.</t>
  </si>
  <si>
    <t xml:space="preserve">F118-3</t>
  </si>
  <si>
    <t xml:space="preserve">Si alguien conoce sustancias fiscalizadas en el mercado sin estar legalizadas, debe</t>
  </si>
  <si>
    <t xml:space="preserve">comprarlas para retirarlas.</t>
  </si>
  <si>
    <t xml:space="preserve">informar al Fondo, a los Fondos Rotatorios y a las autoridades competentes.</t>
  </si>
  <si>
    <t xml:space="preserve">ignorarlo.</t>
  </si>
  <si>
    <t xml:space="preserve">La Resolución 1478 de 2006, art. 3, lo ordena.</t>
  </si>
  <si>
    <t xml:space="preserve">Resolución 1478 de 2006, art. 3</t>
  </si>
  <si>
    <t xml:space="preserve">F119-1</t>
  </si>
  <si>
    <t xml:space="preserve">C119</t>
  </si>
  <si>
    <t xml:space="preserve">Condiciones de almacenamiento</t>
  </si>
  <si>
    <t xml:space="preserve">Usted visita el área de almacenamiento de un distribuidor autorizado.</t>
  </si>
  <si>
    <t xml:space="preserve">Los medicamentos sujetos a fiscalización se almacenan de acuerdo con</t>
  </si>
  <si>
    <t xml:space="preserve">el precio.</t>
  </si>
  <si>
    <t xml:space="preserve">la clasificación farmacológica y el orden alfabético.</t>
  </si>
  <si>
    <t xml:space="preserve">el color del empaque.</t>
  </si>
  <si>
    <t xml:space="preserve">La Resolución 1478 de 2006 lo establece.</t>
  </si>
  <si>
    <t xml:space="preserve">F119-2</t>
  </si>
  <si>
    <t xml:space="preserve">Respecto a temperatura y humedad, el establecimiento debe</t>
  </si>
  <si>
    <t xml:space="preserve">llevar registros permanentes con instrumentos adecuados.</t>
  </si>
  <si>
    <t xml:space="preserve">medirlas solo en verano.</t>
  </si>
  <si>
    <t xml:space="preserve">no registrarlas.</t>
  </si>
  <si>
    <t xml:space="preserve">La Resolución 1478 de 2006 exige registros permanentes.</t>
  </si>
  <si>
    <t xml:space="preserve">F119-3</t>
  </si>
  <si>
    <t xml:space="preserve">El almacenamiento de estas sustancias debe mantenerse bajo</t>
  </si>
  <si>
    <t xml:space="preserve">acceso libre al público.</t>
  </si>
  <si>
    <t xml:space="preserve">estrictas condiciones de seguridad.</t>
  </si>
  <si>
    <t xml:space="preserve">la custodia del proveedor.</t>
  </si>
  <si>
    <t xml:space="preserve">La Resolución 1478 de 2006 exige estrictas condiciones de seguridad.</t>
  </si>
  <si>
    <t xml:space="preserve">F120-1</t>
  </si>
  <si>
    <t xml:space="preserve">C120</t>
  </si>
  <si>
    <t xml:space="preserve">Viajero con tratamiento</t>
  </si>
  <si>
    <t xml:space="preserve">Un paciente con tratamiento opioide viajará al exterior y pregunta qué debe llevar.</t>
  </si>
  <si>
    <t xml:space="preserve">La cantidad máxima que puede transportar para uso personal corresponde a</t>
  </si>
  <si>
    <t xml:space="preserve">un tratamiento estándar de treinta (30) días.</t>
  </si>
  <si>
    <t xml:space="preserve">la cantidad que desee.</t>
  </si>
  <si>
    <t xml:space="preserve">un tratamiento de un año.</t>
  </si>
  <si>
    <t xml:space="preserve">La Resolución 1478 de 2006, art. 83, lo establece.</t>
  </si>
  <si>
    <t xml:space="preserve">Resolución 1478 de 2006, art. 83</t>
  </si>
  <si>
    <t xml:space="preserve">F120-2</t>
  </si>
  <si>
    <t xml:space="preserve">Al salir del país, el paciente debe llevar</t>
  </si>
  <si>
    <t xml:space="preserve">una carta de la EPS.</t>
  </si>
  <si>
    <t xml:space="preserve">solo el pasaporte.</t>
  </si>
  <si>
    <t xml:space="preserve">copia de la fórmula médica y revisar las restricciones del país de destino.</t>
  </si>
  <si>
    <t xml:space="preserve">La Resolución 1478 de 2006, art. 83, lo exige.</t>
  </si>
  <si>
    <t xml:space="preserve">F120-3</t>
  </si>
  <si>
    <t xml:space="preserve">Si el país de destino exige una certificación adicional, el Fondo puede expedirla con base en</t>
  </si>
  <si>
    <t xml:space="preserve">una declaración juramentada del paciente.</t>
  </si>
  <si>
    <t xml:space="preserve">la factura de compra.</t>
  </si>
  <si>
    <t xml:space="preserve">el resumen de la historia clínica expedido por la IPS o el médico tratante.</t>
  </si>
  <si>
    <t xml:space="preserve">La Resolución 1478 de 2006, art. 83, lo prevé.</t>
  </si>
  <si>
    <t xml:space="preserve">F121-1</t>
  </si>
  <si>
    <t xml:space="preserve">C121</t>
  </si>
  <si>
    <t xml:space="preserve">Productos con cannabis</t>
  </si>
  <si>
    <t xml:space="preserve">Un laboratorio consulta si su producto a base de cannabis es de control especial.</t>
  </si>
  <si>
    <t xml:space="preserve">Los medicamentos y preparaciones magistrales de cannabis son de control especial si contienen</t>
  </si>
  <si>
    <t xml:space="preserve">más de 50 mg de THC por empaque.</t>
  </si>
  <si>
    <t xml:space="preserve">2 mg o más de THC por unidad de dosis, o por gramo o mililitro en soluciones y cremas.</t>
  </si>
  <si>
    <t xml:space="preserve">cualquier cantidad de CBD.</t>
  </si>
  <si>
    <t xml:space="preserve">La Resolución 315 de 2020, art. 5, fija ese umbral.</t>
  </si>
  <si>
    <t xml:space="preserve">Resolución 315 de 2020, art. 5</t>
  </si>
  <si>
    <t xml:space="preserve">F121-2</t>
  </si>
  <si>
    <t xml:space="preserve">Por debajo de ese límite de THC, los productos</t>
  </si>
  <si>
    <t xml:space="preserve">siguen siendo monopolio del Estado.</t>
  </si>
  <si>
    <t xml:space="preserve">quedan prohibidos.</t>
  </si>
  <si>
    <t xml:space="preserve">se consideran no fiscalizados.</t>
  </si>
  <si>
    <t xml:space="preserve">La Resolución 315 de 2020, art. 5, lo aclara.</t>
  </si>
  <si>
    <t xml:space="preserve">F121-3</t>
  </si>
  <si>
    <t xml:space="preserve">La fiscalización de una sustancia listada se extiende a</t>
  </si>
  <si>
    <t xml:space="preserve">las mezclas y productos que la contengan, incluidos los medicamentos.</t>
  </si>
  <si>
    <t xml:space="preserve">solo la materia prima importada.</t>
  </si>
  <si>
    <t xml:space="preserve">solo la sustancia pura.</t>
  </si>
  <si>
    <t xml:space="preserve">La Resolución 315 de 2020, art. 3, lo dispone.</t>
  </si>
  <si>
    <t xml:space="preserve">Resolución 315 de 2020, art. 3</t>
  </si>
  <si>
    <t xml:space="preserve">F122-1</t>
  </si>
  <si>
    <t xml:space="preserve">C122</t>
  </si>
  <si>
    <t xml:space="preserve">Actualización de listados</t>
  </si>
  <si>
    <t xml:space="preserve">Naciones Unidas decide fiscalizar una nueva sustancia y le preguntan cómo se incorpora en Colombia.</t>
  </si>
  <si>
    <t xml:space="preserve">Una fuente para incluir o reclasificar sustancias es</t>
  </si>
  <si>
    <t xml:space="preserve">las encuestas de opinión.</t>
  </si>
  <si>
    <t xml:space="preserve">las decisiones de la Comisión de Estupefacientes de Naciones Unidas.</t>
  </si>
  <si>
    <t xml:space="preserve">las recomendaciones de un distribuidor privado.</t>
  </si>
  <si>
    <t xml:space="preserve">La Resolución 315 de 2020, art. 6, lo prevé.</t>
  </si>
  <si>
    <t xml:space="preserve">Resolución 315 de 2020, art. 6</t>
  </si>
  <si>
    <t xml:space="preserve">F122-2</t>
  </si>
  <si>
    <t xml:space="preserve">La inclusión, exclusión o reclasificación se hace mediante acto administrativo del</t>
  </si>
  <si>
    <t xml:space="preserve">Congreso de la República.</t>
  </si>
  <si>
    <t xml:space="preserve">Fondo Rotatorio del departamento.</t>
  </si>
  <si>
    <t xml:space="preserve">Ministerio de Salud y Protección Social, previo concepto técnico.</t>
  </si>
  <si>
    <t xml:space="preserve">La Resolución 315 de 2020, art. 7, lo establece.</t>
  </si>
  <si>
    <t xml:space="preserve">Resolución 315 de 2020, art. 7</t>
  </si>
  <si>
    <t xml:space="preserve">F122-3</t>
  </si>
  <si>
    <t xml:space="preserve">Con los 'listados tipo', para inscribirse o ampliar la inscripción,</t>
  </si>
  <si>
    <t xml:space="preserve">no se requiere inscripción.</t>
  </si>
  <si>
    <t xml:space="preserve">se deben adjuntar tres listados diferentes.</t>
  </si>
  <si>
    <t xml:space="preserve">no es necesario adjuntar el listado de medicamentos de control especial requeridos, en los casos previstos.</t>
  </si>
  <si>
    <t xml:space="preserve">La Resolución 315 de 2020, art. 8, simplificó el trámite.</t>
  </si>
  <si>
    <t xml:space="preserve">Resolución 315 de 2020, art. 8</t>
  </si>
  <si>
    <t xml:space="preserve">F123-1</t>
  </si>
  <si>
    <t xml:space="preserve">C123</t>
  </si>
  <si>
    <t xml:space="preserve">Precursores y órganos internacionales</t>
  </si>
  <si>
    <t xml:space="preserve">Le piden diferenciar conceptos para un informe internacional.</t>
  </si>
  <si>
    <t xml:space="preserve">Un precursor químico es</t>
  </si>
  <si>
    <t xml:space="preserve">la sustancia a partir de la cual se producen o sintetizan drogas que crean dependencia.</t>
  </si>
  <si>
    <t xml:space="preserve">un medicamento de venta libre.</t>
  </si>
  <si>
    <t xml:space="preserve">un dispositivo médico.</t>
  </si>
  <si>
    <t xml:space="preserve">La Resolución 1478 de 2006 lo define así.</t>
  </si>
  <si>
    <t xml:space="preserve">F123-2</t>
  </si>
  <si>
    <t xml:space="preserve">El órgano de Naciones Unidas que decide sobre la inclusión de sustancias en las listas de los tratados es</t>
  </si>
  <si>
    <t xml:space="preserve">la Organización Mundial del Comercio.</t>
  </si>
  <si>
    <t xml:space="preserve">el Consejo de Seguridad.</t>
  </si>
  <si>
    <t xml:space="preserve">la Comisión de Estupefacientes.</t>
  </si>
  <si>
    <t xml:space="preserve">La Comisión de Estupefacientes del ECOSOC decide sobre las listas.</t>
  </si>
  <si>
    <t xml:space="preserve">Convención Única de 1961; Convenio de 1971</t>
  </si>
  <si>
    <t xml:space="preserve">F123-3</t>
  </si>
  <si>
    <t xml:space="preserve">El órgano que vigila el cumplimiento de los tratados y administra el sistema de previsiones es</t>
  </si>
  <si>
    <t xml:space="preserve">la Interpol.</t>
  </si>
  <si>
    <t xml:space="preserve">el Fondo Monetario Internacional.</t>
  </si>
  <si>
    <t xml:space="preserve">la Junta Internacional de Fiscalización de Estupefacientes.</t>
  </si>
  <si>
    <t xml:space="preserve">La JIFE vigila la aplicación de los tratados de fiscalización.</t>
  </si>
  <si>
    <t xml:space="preserve">F124-1</t>
  </si>
  <si>
    <t xml:space="preserve">C124</t>
  </si>
  <si>
    <t xml:space="preserve">Principios presupuestales</t>
  </si>
  <si>
    <t xml:space="preserve">Se prepara el anteproyecto de presupuesto del próximo año.</t>
  </si>
  <si>
    <t xml:space="preserve">El principio según el cual con el total de los ingresos se atiende el pago oportuno de las apropiaciones es el de</t>
  </si>
  <si>
    <t xml:space="preserve">unidad de caja.</t>
  </si>
  <si>
    <t xml:space="preserve">anualidad.</t>
  </si>
  <si>
    <t xml:space="preserve">inembargabilidad.</t>
  </si>
  <si>
    <t xml:space="preserve">El Decreto 111 de 1996 define el principio de unidad de caja.</t>
  </si>
  <si>
    <t xml:space="preserve">Decreto 111 de 1996, art. 16</t>
  </si>
  <si>
    <t xml:space="preserve">F124-2</t>
  </si>
  <si>
    <t xml:space="preserve">El principio que exige que las apropiaciones se destinen exclusivamente al objeto para el que fueron programadas es el de</t>
  </si>
  <si>
    <t xml:space="preserve">planificación.</t>
  </si>
  <si>
    <t xml:space="preserve">universalidad.</t>
  </si>
  <si>
    <t xml:space="preserve">especialización.</t>
  </si>
  <si>
    <t xml:space="preserve">El Decreto 111 de 1996 define el principio de especialización.</t>
  </si>
  <si>
    <t xml:space="preserve">Decreto 111 de 1996, art. 18</t>
  </si>
  <si>
    <t xml:space="preserve">F124-3</t>
  </si>
  <si>
    <t xml:space="preserve">Para asumir compromisos que afecten presupuestos de años siguientes se requiere</t>
  </si>
  <si>
    <t xml:space="preserve">una carta del proveedor.</t>
  </si>
  <si>
    <t xml:space="preserve">solo la firma del supervisor.</t>
  </si>
  <si>
    <t xml:space="preserve">autorización de vigencias futuras.</t>
  </si>
  <si>
    <t xml:space="preserve">Las vigencias futuras permiten comprometer recursos de vigencias posteriores con autorización.</t>
  </si>
  <si>
    <t xml:space="preserve">Decreto 111 de 1996; Ley 819 de 2003</t>
  </si>
  <si>
    <t xml:space="preserve">F125-1</t>
  </si>
  <si>
    <t xml:space="preserve">C125</t>
  </si>
  <si>
    <t xml:space="preserve">Inventario y conciliación</t>
  </si>
  <si>
    <t xml:space="preserve">Usted participa en el cierre del inventario de medicamentos del Fondo.</t>
  </si>
  <si>
    <t xml:space="preserve">La herramienta que registra entradas, salidas y saldos de cada producto es</t>
  </si>
  <si>
    <t xml:space="preserve">el kárdex o sistema de inventario.</t>
  </si>
  <si>
    <t xml:space="preserve">El kárdex permite controlar el movimiento de inventarios.</t>
  </si>
  <si>
    <t xml:space="preserve">Control de inventarios</t>
  </si>
  <si>
    <t xml:space="preserve">F125-2</t>
  </si>
  <si>
    <t xml:space="preserve">Los conteos físicos periódicos sirven para</t>
  </si>
  <si>
    <t xml:space="preserve">verificar que las existencias reales coincidan con los registros.</t>
  </si>
  <si>
    <t xml:space="preserve">aumentar el inventario.</t>
  </si>
  <si>
    <t xml:space="preserve">reemplazar los registros.</t>
  </si>
  <si>
    <t xml:space="preserve">La toma física valida los saldos registrados.</t>
  </si>
  <si>
    <t xml:space="preserve">F125-3</t>
  </si>
  <si>
    <t xml:space="preserve">Si el conteo físico no coincide con el registro, lo correcto es</t>
  </si>
  <si>
    <t xml:space="preserve">ajustar el registro sin más.</t>
  </si>
  <si>
    <t xml:space="preserve">investigar la causa, documentarla y reportarla antes de cualquier ajuste.</t>
  </si>
  <si>
    <t xml:space="preserve">ocultar la diferencia.</t>
  </si>
  <si>
    <t xml:space="preserve">Las diferencias en productos fiscalizados requieren investigación y reporte.</t>
  </si>
  <si>
    <t xml:space="preserve">F126-1</t>
  </si>
  <si>
    <t xml:space="preserve">Precisión jurídica del verbo</t>
  </si>
  <si>
    <t xml:space="preserve">C126</t>
  </si>
  <si>
    <t xml:space="preserve">Citar, convocar o comunicar</t>
  </si>
  <si>
    <t xml:space="preserve">Debe surtir la notificación personal de una resolución a una empresa y, el mismo día, reunir al comité técnico que analizará otro caso.</t>
  </si>
  <si>
    <t xml:space="preserve">Para que la empresa comparezca a notificarse personalmente, el acto que corresponde es</t>
  </si>
  <si>
    <t xml:space="preserve">citarla, dentro de los cinco días siguientes a la expedición del acto.</t>
  </si>
  <si>
    <t xml:space="preserve">invitarla a acercarse cuando pueda.</t>
  </si>
  <si>
    <t xml:space="preserve">convocarla a una audiencia de notificación.</t>
  </si>
  <si>
    <t xml:space="preserve">Citar es el acto formal con el que la autoridad llama al interesado a notificarse personalmente, y el CPACA le fija cinco días.</t>
  </si>
  <si>
    <t xml:space="preserve">Convocar se reserva para audiencias e instancias colegiadas, no para la notificación individual; invitar no tiene efectos jurídicos ni hace correr términos.</t>
  </si>
  <si>
    <t xml:space="preserve">F126-2</t>
  </si>
  <si>
    <t xml:space="preserve">Para reunir al comité técnico, el verbo correcto es</t>
  </si>
  <si>
    <t xml:space="preserve">convocarlo, con el orden del día.</t>
  </si>
  <si>
    <t xml:space="preserve">citarlo mediante notificación personal.</t>
  </si>
  <si>
    <t xml:space="preserve">emplazarlo por edicto.</t>
  </si>
  <si>
    <t xml:space="preserve">Convocar es llamar a sesionar a un cuerpo colegiado, según su reglamento.</t>
  </si>
  <si>
    <t xml:space="preserve">Citar aplica a la notificación de un particular; emplazar es el llamado público a quien se desconoce, propio de otras actuaciones.</t>
  </si>
  <si>
    <t xml:space="preserve">Ley 1437 de 2011, arts. 68 y 69; reglamentos de comités</t>
  </si>
  <si>
    <t xml:space="preserve">F126-3</t>
  </si>
  <si>
    <t xml:space="preserve">Cuando solo quiere informar a un tercero interesado el contenido de una decisión que no lo afecta directamente, usted debe</t>
  </si>
  <si>
    <t xml:space="preserve">notificarle personalmente la decisión.</t>
  </si>
  <si>
    <t xml:space="preserve">publicar la decisión en el Diario Oficial.</t>
  </si>
  <si>
    <t xml:space="preserve">comunicarle la decisión.</t>
  </si>
  <si>
    <t xml:space="preserve">La comunicación informa sin abrir términos de recursos; la notificación se reserva a quien resulta afectado en un derecho.</t>
  </si>
  <si>
    <t xml:space="preserve">Notificar a quien no es titular del derecho confunde la actuación y puede generar nulidades; la publicación es para actos de carácter general.</t>
  </si>
  <si>
    <t xml:space="preserve">Ley 1437 de 2011, arts. 65 a 73</t>
  </si>
  <si>
    <t xml:space="preserve">F127-1</t>
  </si>
  <si>
    <t xml:space="preserve">C127</t>
  </si>
  <si>
    <t xml:space="preserve">Notificar, comunicar o publicar</t>
  </si>
  <si>
    <t xml:space="preserve">Su dependencia expide dos actos el mismo día: una resolución que sanciona a una empresa y una circular con reglas aplicables a todos los vigilados.</t>
  </si>
  <si>
    <t xml:space="preserve">La resolución que sanciona a la empresa debe</t>
  </si>
  <si>
    <t xml:space="preserve">publicarse en la página web.</t>
  </si>
  <si>
    <t xml:space="preserve">notificarse personalmente o por aviso.</t>
  </si>
  <si>
    <t xml:space="preserve">comunicarse por correo ordinario.</t>
  </si>
  <si>
    <t xml:space="preserve">Los actos de carácter particular y concreto se notifican, porque de ahí nacen los términos para recurrir.</t>
  </si>
  <si>
    <t xml:space="preserve">La publicación es para actos generales; la comunicación no abre términos ni acredita el conocimiento formal del afectado.</t>
  </si>
  <si>
    <t xml:space="preserve">Ley 1437 de 2011, arts. 66 a 69</t>
  </si>
  <si>
    <t xml:space="preserve">F127-2</t>
  </si>
  <si>
    <t xml:space="preserve">La circular con reglas para todos los vigilados debe</t>
  </si>
  <si>
    <t xml:space="preserve">notificarse a cada vigilado.</t>
  </si>
  <si>
    <t xml:space="preserve">archivarse hasta que alguien la solicite.</t>
  </si>
  <si>
    <t xml:space="preserve">publicarse, porque es un acto de carácter general.</t>
  </si>
  <si>
    <t xml:space="preserve">Los actos de carácter general rigen desde su publicación.</t>
  </si>
  <si>
    <t xml:space="preserve">Notificar uno por uno es imposible y no lo exige la ley; archivar impide que produzca efectos.</t>
  </si>
  <si>
    <t xml:space="preserve">Ley 1437 de 2011, art. 65</t>
  </si>
  <si>
    <t xml:space="preserve">F127-3</t>
  </si>
  <si>
    <t xml:space="preserve">Si la notificación personal de la resolución no fue posible, lo procedente es</t>
  </si>
  <si>
    <t xml:space="preserve">publicar la resolución en un periódico.</t>
  </si>
  <si>
    <t xml:space="preserve">notificar por aviso.</t>
  </si>
  <si>
    <t xml:space="preserve">dar por notificada a la empresa por conducta concluyente sin más trámite.</t>
  </si>
  <si>
    <t xml:space="preserve">Agotada la citación, el CPACA prevé la notificación por aviso con copia íntegra del acto.</t>
  </si>
  <si>
    <t xml:space="preserve">La conducta concluyente solo opera cuando el interesado actúa en el proceso demostrando que conoce el acto; la publicación en prensa no sustituye la notificación personal.</t>
  </si>
  <si>
    <t xml:space="preserve">F128-1</t>
  </si>
  <si>
    <t xml:space="preserve">C128</t>
  </si>
  <si>
    <t xml:space="preserve">Revocar, anular o suspender</t>
  </si>
  <si>
    <t xml:space="preserve">Una empresa afirma que un acto administrativo suyo es ilegal y pide dejarlo sin efectos.</t>
  </si>
  <si>
    <t xml:space="preserve">Si la propia administración concluye que el acto es manifiestamente contrario a la ley, lo que procede es</t>
  </si>
  <si>
    <t xml:space="preserve">anularlo mediante resolución.</t>
  </si>
  <si>
    <t xml:space="preserve">declararlo inexistente.</t>
  </si>
  <si>
    <t xml:space="preserve">revocarlo directamente.</t>
  </si>
  <si>
    <t xml:space="preserve">La revocatoria directa es la figura con la que la administración deja sin efectos sus propios actos por las causales del artículo 93.</t>
  </si>
  <si>
    <t xml:space="preserve">Anular es competencia del juez administrativo; la inexistencia no es una figura del procedimiento administrativo colombiano.</t>
  </si>
  <si>
    <t xml:space="preserve">F128-2</t>
  </si>
  <si>
    <t xml:space="preserve">Declarar la nulidad del acto le corresponde a</t>
  </si>
  <si>
    <t xml:space="preserve">la Procuraduría.</t>
  </si>
  <si>
    <t xml:space="preserve">el superior jerárquico de quien lo expidió.</t>
  </si>
  <si>
    <t xml:space="preserve">la jurisdicción de lo contencioso administrativo.</t>
  </si>
  <si>
    <t xml:space="preserve">La nulidad de los actos administrativos la declara el juez, mediante los medios de control correspondientes.</t>
  </si>
  <si>
    <t xml:space="preserve">El superior puede resolver recursos o revocar, pero no anular; la Procuraduría ejerce control disciplinario, no de legalidad de actos.</t>
  </si>
  <si>
    <t xml:space="preserve">Ley 1437 de 2011, arts. 137 y 138</t>
  </si>
  <si>
    <t xml:space="preserve">F128-3</t>
  </si>
  <si>
    <t xml:space="preserve">La suspensión provisional de los efectos del acto</t>
  </si>
  <si>
    <t xml:space="preserve">opera automáticamente con la presentación del recurso.</t>
  </si>
  <si>
    <t xml:space="preserve">la ordena el jefe de la oficina jurídica.</t>
  </si>
  <si>
    <t xml:space="preserve">la decreta el juez como medida cautelar dentro del proceso.</t>
  </si>
  <si>
    <t xml:space="preserve">La suspensión provisional es una medida cautelar judicial.</t>
  </si>
  <si>
    <t xml:space="preserve">Ningún funcionario la decreta por su cuenta; y los recursos no suspenden por sí solos los efectos del acto, salvo norma expresa.</t>
  </si>
  <si>
    <t xml:space="preserve">Ley 1437 de 2011, art. 231</t>
  </si>
  <si>
    <t xml:space="preserve">F129-1</t>
  </si>
  <si>
    <t xml:space="preserve">C129</t>
  </si>
  <si>
    <t xml:space="preserve">Impedirse, recusar o abstenerse</t>
  </si>
  <si>
    <t xml:space="preserve">Usted advierte que su jefe tiene un interés personal en un expediente y, al mismo tiempo, descubre que a usted lo afecta una causal en otro caso.</t>
  </si>
  <si>
    <t xml:space="preserve">Respecto de su propio caso, lo que corresponde es</t>
  </si>
  <si>
    <t xml:space="preserve">recusarse a sí mismo ante el juez.</t>
  </si>
  <si>
    <t xml:space="preserve">abstenerse en silencio de firmar.</t>
  </si>
  <si>
    <t xml:space="preserve">declararse impedido ante su superior, antes de actuar.</t>
  </si>
  <si>
    <t xml:space="preserve">El impedimento es la manifestación que hace el propio servidor cuando lo afecta una causal.</t>
  </si>
  <si>
    <t xml:space="preserve">La recusación la presenta un tercero, no uno mismo; abstenerse sin dejar constancia deja la actuación sin control y puede ser falta disciplinaria.</t>
  </si>
  <si>
    <t xml:space="preserve">Ley 1437 de 2011, art. 11</t>
  </si>
  <si>
    <t xml:space="preserve">F129-2</t>
  </si>
  <si>
    <t xml:space="preserve">Respecto del interés de su jefe, si él no se aparta, el interesado puede</t>
  </si>
  <si>
    <t xml:space="preserve">recusarlo.</t>
  </si>
  <si>
    <t xml:space="preserve">impedirlo.</t>
  </si>
  <si>
    <t xml:space="preserve">denunciarlo penalmente de inmediato, como único camino.</t>
  </si>
  <si>
    <t xml:space="preserve">La recusación es la solicitud del interesado para que se aparte el funcionario incurso en una causal.</t>
  </si>
  <si>
    <t xml:space="preserve">Impedirse es un acto propio del funcionario, no de un tercero; la denuncia penal exige un delito, y aquí lo procedente es la figura procesal.</t>
  </si>
  <si>
    <t xml:space="preserve">Ley 1437 de 2011, art. 12</t>
  </si>
  <si>
    <t xml:space="preserve">F129-3</t>
  </si>
  <si>
    <t xml:space="preserve">Mientras se resuelve la recusación, el funcionario recusado</t>
  </si>
  <si>
    <t xml:space="preserve">debe apartarse del conocimiento del asunto.</t>
  </si>
  <si>
    <t xml:space="preserve">puede delegar la decisión en su secretaria.</t>
  </si>
  <si>
    <t xml:space="preserve">continúa decidiendo hasta que se le notifique lo contrario.</t>
  </si>
  <si>
    <t xml:space="preserve">Planteada la causal, el funcionario se aparta y el superior decide quién continúa.</t>
  </si>
  <si>
    <t xml:space="preserve">Seguir decidiendo compromete la validez de lo actuado; la delegación no sanea el conflicto de interés.</t>
  </si>
  <si>
    <t xml:space="preserve">Ley 1437 de 2011, arts. 11 y 12</t>
  </si>
  <si>
    <t xml:space="preserve">F130-1</t>
  </si>
  <si>
    <t xml:space="preserve">C130</t>
  </si>
  <si>
    <t xml:space="preserve">Certificar, conceptuar o autorizar</t>
  </si>
  <si>
    <t xml:space="preserve">Le llegan tres solicitudes: una empresa pide constancia de un hecho registrado, otra pide su opinión técnica sobre cómo aplicar una norma y otra pide permiso para iniciar una actividad.</t>
  </si>
  <si>
    <t xml:space="preserve">Para hacer constar un hecho que reposa en los registros de la entidad, usted debe</t>
  </si>
  <si>
    <t xml:space="preserve">autorizarlo.</t>
  </si>
  <si>
    <t xml:space="preserve">certificarlo.</t>
  </si>
  <si>
    <t xml:space="preserve">conceptuarlo.</t>
  </si>
  <si>
    <t xml:space="preserve">Certificar es dar fe de un hecho o dato que consta en la entidad.</t>
  </si>
  <si>
    <t xml:space="preserve">Conceptuar es opinar técnicamente; autorizar es habilitar una conducta: ninguno acredita un hecho.</t>
  </si>
  <si>
    <t xml:space="preserve">Ley 1437 de 2011, arts. 5 y 14</t>
  </si>
  <si>
    <t xml:space="preserve">F130-2</t>
  </si>
  <si>
    <t xml:space="preserve">La opinión técnica sobre cómo se aplica la norma se materializa en un concepto, que</t>
  </si>
  <si>
    <t xml:space="preserve">no es de obligatorio cumplimiento, salvo que la ley disponga otra cosa.</t>
  </si>
  <si>
    <t xml:space="preserve">reemplaza la decisión del caso concreto.</t>
  </si>
  <si>
    <t xml:space="preserve">obliga a la entidad como si fuera un acto administrativo.</t>
  </si>
  <si>
    <t xml:space="preserve">Los conceptos no comprometen la responsabilidad de la entidad ni son de obligatorio cumplimiento.</t>
  </si>
  <si>
    <t xml:space="preserve">Un concepto no crea, modifica ni extingue derechos, y por eso no sustituye la decisión ni obliga como un acto.</t>
  </si>
  <si>
    <t xml:space="preserve">Ley 1437 de 2011, art. 28</t>
  </si>
  <si>
    <t xml:space="preserve">F130-3</t>
  </si>
  <si>
    <t xml:space="preserve">El permiso para iniciar la actividad se otorga mediante</t>
  </si>
  <si>
    <t xml:space="preserve">una autorización, que es un acto administrativo con efectos jurídicos.</t>
  </si>
  <si>
    <t xml:space="preserve">un concepto favorable de la dependencia.</t>
  </si>
  <si>
    <t xml:space="preserve">un certificado de buena conducta.</t>
  </si>
  <si>
    <t xml:space="preserve">La autorización habilita jurídicamente al particular para desarrollar la actividad.</t>
  </si>
  <si>
    <t xml:space="preserve">Un certificado solo acredita hechos y un concepto no habilita: sin acto autorizatorio, la actividad seguiría sin permiso.</t>
  </si>
  <si>
    <t xml:space="preserve">Ley 1437 de 2011, art. 43</t>
  </si>
  <si>
    <t xml:space="preserve">F131-1</t>
  </si>
  <si>
    <t xml:space="preserve">C131</t>
  </si>
  <si>
    <t xml:space="preserve">Requerir, ordenar o recomendar</t>
  </si>
  <si>
    <t xml:space="preserve">Después de una visita usted debe dejar por escrito tres cosas: pedir documentos faltantes, disponer una acción obligatoria y sugerir una mejora voluntaria.</t>
  </si>
  <si>
    <t xml:space="preserve">Para pedir los documentos faltantes, dentro de una actuación en curso, usted</t>
  </si>
  <si>
    <t xml:space="preserve">le recomienda enviarlos cuando pueda.</t>
  </si>
  <si>
    <t xml:space="preserve">requiere al vigilado, con plazo y advertencia de las consecuencias.</t>
  </si>
  <si>
    <t xml:space="preserve">le ordena entregarlos de inmediato y sin plazo.</t>
  </si>
  <si>
    <t xml:space="preserve">El requerimiento es la solicitud formal con plazo dentro de una actuación; su desatención puede acarrear multa por renuencia.</t>
  </si>
  <si>
    <t xml:space="preserve">Una orden sin plazo no es exigible ni permite defensa; una recomendación no obliga y no habilita ninguna consecuencia.</t>
  </si>
  <si>
    <t xml:space="preserve">F131-2</t>
  </si>
  <si>
    <t xml:space="preserve">Para disponer una acción obligatoria que elimina un riesgo sanitario, usted</t>
  </si>
  <si>
    <t xml:space="preserve">recomienda adoptarla.</t>
  </si>
  <si>
    <t xml:space="preserve">requiere que la evalúen.</t>
  </si>
  <si>
    <t xml:space="preserve">ordena la medida, mediante acto que la fundamenta.</t>
  </si>
  <si>
    <t xml:space="preserve">La orden impone un deber de hacer o no hacer y se sustenta en la norma que la habilita.</t>
  </si>
  <si>
    <t xml:space="preserve">Recomendar deja la decisión en manos del vigilado y requerir solo pide información: ninguno conjura un riesgo inminente.</t>
  </si>
  <si>
    <t xml:space="preserve">F131-3</t>
  </si>
  <si>
    <t xml:space="preserve">Para sugerir una mejora que la norma no exige, lo correcto es</t>
  </si>
  <si>
    <t xml:space="preserve">ordenarla como si fuera un requisito.</t>
  </si>
  <si>
    <t xml:space="preserve">recomendarla, dejando claro que no es obligatoria.</t>
  </si>
  <si>
    <t xml:space="preserve">requerirla con plazo perentorio.</t>
  </si>
  <si>
    <t xml:space="preserve">La recomendación orienta sin crear obligaciones y evita exigir lo que la norma no manda.</t>
  </si>
  <si>
    <t xml:space="preserve">Ordenar o requerir algo que la norma no exige es extralimitación de funciones y puede anularse.</t>
  </si>
  <si>
    <t xml:space="preserve">F132-1</t>
  </si>
  <si>
    <t xml:space="preserve">C132</t>
  </si>
  <si>
    <t xml:space="preserve">Caducar, prescribir o vencer</t>
  </si>
  <si>
    <t xml:space="preserve">En una reunión se discuten los tiempos de una investigación que lleva años abierta.</t>
  </si>
  <si>
    <t xml:space="preserve">Que la autoridad pierda la facultad de sancionar por el paso del tiempo desde el hecho se denomina</t>
  </si>
  <si>
    <t xml:space="preserve">caducidad de la facultad sancionatoria.</t>
  </si>
  <si>
    <t xml:space="preserve">vencimiento del expediente.</t>
  </si>
  <si>
    <t xml:space="preserve">prescripción de la sanción.</t>
  </si>
  <si>
    <t xml:space="preserve">La caducidad extingue la posibilidad de iniciar o decidir la actuación sancionatoria: tres años desde el hecho, salvo norma especial.</t>
  </si>
  <si>
    <t xml:space="preserve">La prescripción opera sobre la sanción ya impuesta; el vencimiento se predica de términos procesales, no del expediente.</t>
  </si>
  <si>
    <t xml:space="preserve">F132-2</t>
  </si>
  <si>
    <t xml:space="preserve">Que una sanción ya impuesta no pueda hacerse efectiva por el paso del tiempo corresponde a</t>
  </si>
  <si>
    <t xml:space="preserve">la revocatoria.</t>
  </si>
  <si>
    <t xml:space="preserve">la prescripción.</t>
  </si>
  <si>
    <t xml:space="preserve">la caducidad.</t>
  </si>
  <si>
    <t xml:space="preserve">La prescripción impide ejecutar la sanción en firme transcurrido el término legal.</t>
  </si>
  <si>
    <t xml:space="preserve">La caducidad se refiere al momento anterior, cuando aún no hay decisión; la revocatoria es una decisión de la administración, no un efecto del tiempo.</t>
  </si>
  <si>
    <t xml:space="preserve">F132-3</t>
  </si>
  <si>
    <t xml:space="preserve">Que se agote el plazo para presentar un recurso significa que el término</t>
  </si>
  <si>
    <t xml:space="preserve">venció, y el acto queda en firme.</t>
  </si>
  <si>
    <t xml:space="preserve">caducó la sanción.</t>
  </si>
  <si>
    <t xml:space="preserve">prescribió el proceso.</t>
  </si>
  <si>
    <t xml:space="preserve">El vencimiento de términos procesales produce la firmeza del acto.</t>
  </si>
  <si>
    <t xml:space="preserve">Caducidad y prescripción son figuras sustanciales distintas; no se usan para describir el simple agotamiento de un plazo procesal.</t>
  </si>
  <si>
    <t xml:space="preserve">Ley 1437 de 2011, art. 87</t>
  </si>
  <si>
    <t xml:space="preserve">F133-1</t>
  </si>
  <si>
    <t xml:space="preserve">C133</t>
  </si>
  <si>
    <t xml:space="preserve">Delegar, desconcentrar o descentralizar</t>
  </si>
  <si>
    <t xml:space="preserve">El director analiza cómo repartir funciones entre dependencias y territorios.</t>
  </si>
  <si>
    <t xml:space="preserve">Que el director transfiera el ejercicio de funciones a un subalterno mediante acto administrativo es</t>
  </si>
  <si>
    <t xml:space="preserve">delegación.</t>
  </si>
  <si>
    <t xml:space="preserve">desconcentración.</t>
  </si>
  <si>
    <t xml:space="preserve">La delegación transfiere el ejercicio de funciones a un subalterno, por acto del delegante y de forma revocable.</t>
  </si>
  <si>
    <t xml:space="preserve">La desconcentración la establece la ley o el reglamento con carácter permanente; la descentralización supone otra persona jurídica o nivel territorial.</t>
  </si>
  <si>
    <t xml:space="preserve">Ley 489 de 1998, arts. 9 a 12</t>
  </si>
  <si>
    <t xml:space="preserve">F133-2</t>
  </si>
  <si>
    <t xml:space="preserve">Que la ley radique funciones de manera permanente en dependencias regionales de la misma entidad es</t>
  </si>
  <si>
    <t xml:space="preserve">privatización.</t>
  </si>
  <si>
    <t xml:space="preserve">La desconcentración distribuye funciones dentro de la misma entidad, sin crear una persona jurídica nueva.</t>
  </si>
  <si>
    <t xml:space="preserve">La delegación depende de la voluntad del delegante y es revocable; la privatización traslada la actividad a particulares, que es otra cosa.</t>
  </si>
  <si>
    <t xml:space="preserve">Ley 489 de 1998, art. 8</t>
  </si>
  <si>
    <t xml:space="preserve">F133-3</t>
  </si>
  <si>
    <t xml:space="preserve">En la delegación, la responsabilidad</t>
  </si>
  <si>
    <t xml:space="preserve">desaparece para ambos.</t>
  </si>
  <si>
    <t xml:space="preserve">corresponde al delegatario, sin perjuicio de los deberes de dirección y control del delegante.</t>
  </si>
  <si>
    <t xml:space="preserve">permanece íntegramente en el delegante.</t>
  </si>
  <si>
    <t xml:space="preserve">El delegatario responde por sus decisiones y el delegante conserva la dirección y el control.</t>
  </si>
  <si>
    <t xml:space="preserve">Sostener que todo sigue en el delegante vacía la figura; afirmar que nadie responde es contrario al artículo 6 de la Constitución.</t>
  </si>
  <si>
    <t xml:space="preserve">Ley 489 de 1998, art. 12</t>
  </si>
  <si>
    <t xml:space="preserve">F134-1</t>
  </si>
  <si>
    <t xml:space="preserve">C134</t>
  </si>
  <si>
    <t xml:space="preserve">Congelar, decomisar o clausurar</t>
  </si>
  <si>
    <t xml:space="preserve">En una bodega encuentra tres situaciones: un lote sospechoso que espera análisis, un producto vencido y en descomposición, y un área de proceso con riesgo grave para la salud.</t>
  </si>
  <si>
    <t xml:space="preserve">Mientras llegan los resultados del análisis del lote sospechoso, la medida adecuada es</t>
  </si>
  <si>
    <t xml:space="preserve">la congelación, que suspende temporalmente la venta o el empleo del producto.</t>
  </si>
  <si>
    <t xml:space="preserve">la clausura del establecimiento.</t>
  </si>
  <si>
    <t xml:space="preserve">el decomiso del lote.</t>
  </si>
  <si>
    <t xml:space="preserve">La congelación suspende de forma temporal la venta o el empleo mientras se adopta una decisión definitiva.</t>
  </si>
  <si>
    <t xml:space="preserve">Decomisar retira definitivamente el producto de su tenedor y aún no hay resultado que lo justifique; clausurar cierra el establecimiento y sería desproporcionado para un solo lote en estudio.</t>
  </si>
  <si>
    <t xml:space="preserve">F134-2</t>
  </si>
  <si>
    <t xml:space="preserve">Para el producto vencido y en descomposición, lo procedente es</t>
  </si>
  <si>
    <t xml:space="preserve">la congelación indefinida.</t>
  </si>
  <si>
    <t xml:space="preserve">una recomendación de retiro voluntario.</t>
  </si>
  <si>
    <t xml:space="preserve">el decomiso, sin perjuicio de su destrucción o desnaturalización.</t>
  </si>
  <si>
    <t xml:space="preserve">El decomiso, con destrucción o desnaturalización, evita que un producto inservible vuelva al mercado.</t>
  </si>
  <si>
    <t xml:space="preserve">Congelar solo aplaza la decisión sobre algo que ya es inservible; una recomendación deja el producto en manos del vigilado.</t>
  </si>
  <si>
    <t xml:space="preserve">F134-3</t>
  </si>
  <si>
    <t xml:space="preserve">Frente al área de proceso con riesgo grave para la salud, la medida proporcional es</t>
  </si>
  <si>
    <t xml:space="preserve">el decomiso de toda la planta.</t>
  </si>
  <si>
    <t xml:space="preserve">la clausura temporal parcial del establecimiento.</t>
  </si>
  <si>
    <t xml:space="preserve">la suspensión del registro sanitario como medida de seguridad.</t>
  </si>
  <si>
    <t xml:space="preserve">La clausura temporal puede ser total o parcial, y permite cerrar solo el área que genera el riesgo.</t>
  </si>
  <si>
    <t xml:space="preserve">El decomiso recae sobre productos, no sobre inmuebles; la suspensión del registro es una sanción del artículo 577, no una medida de seguridad.</t>
  </si>
  <si>
    <t xml:space="preserve">F135-1</t>
  </si>
  <si>
    <t xml:space="preserve">C135</t>
  </si>
  <si>
    <t xml:space="preserve">Alertar, retirar o prohibir</t>
  </si>
  <si>
    <t xml:space="preserve">Se confirma que un lote de un producto representa un riesgo para quienes ya lo compraron.</t>
  </si>
  <si>
    <t xml:space="preserve">Para que la población y los profesionales conozcan el riesgo, la entidad debe</t>
  </si>
  <si>
    <t xml:space="preserve">guardar reserva hasta la decisión final.</t>
  </si>
  <si>
    <t xml:space="preserve">prohibir la actividad de la empresa.</t>
  </si>
  <si>
    <t xml:space="preserve">emitir una alerta sanitaria con el producto, el lote y las recomendaciones.</t>
  </si>
  <si>
    <t xml:space="preserve">La alerta es la herramienta de comunicación del riesgo y permite que la gente actúe a tiempo.</t>
  </si>
  <si>
    <t xml:space="preserve">Prohibir es una medida sobre la actividad, que exige su propio fundamento; guardar reserva contradice el deber de dar publicidad cuando hay riesgo para la salud.</t>
  </si>
  <si>
    <t xml:space="preserve">F135-2</t>
  </si>
  <si>
    <t xml:space="preserve">Para recuperar las unidades que ya salieron al mercado, corresponde</t>
  </si>
  <si>
    <t xml:space="preserve">esperar que los consumidores lo devuelvan por iniciativa propia.</t>
  </si>
  <si>
    <t xml:space="preserve">ordenar el retiro del producto del mercado.</t>
  </si>
  <si>
    <t xml:space="preserve">cambiar el rótulo del lote.</t>
  </si>
  <si>
    <t xml:space="preserve">El retiro busca recuperar las unidades distribuidas y se verifica comparando lo recogido con lo despachado.</t>
  </si>
  <si>
    <t xml:space="preserve">Confiar en la devolución espontánea deja producto riesgoso circulando; cambiar el rótulo no elimina el riesgo y puede constituir adulteración.</t>
  </si>
  <si>
    <t xml:space="preserve">Vigilancia poscomercialización; Ley 9 de 1979</t>
  </si>
  <si>
    <t xml:space="preserve">F135-3</t>
  </si>
  <si>
    <t xml:space="preserve">Si el riesgo proviene del proceso de fabricación y no de un lote puntual, procede además</t>
  </si>
  <si>
    <t xml:space="preserve">suspender la actividad o el registro, según la gravedad y con el debido proceso.</t>
  </si>
  <si>
    <t xml:space="preserve">emitir solo una recomendación de mejora.</t>
  </si>
  <si>
    <t xml:space="preserve">retirar únicamente el lote analizado.</t>
  </si>
  <si>
    <t xml:space="preserve">Cuando la causa es el proceso, la medida debe alcanzar la actividad o el registro, de forma proporcional.</t>
  </si>
  <si>
    <t xml:space="preserve">Retirar un lote no corrige la causa; una recomendación no protege a la población frente a un riesgo confirmado.</t>
  </si>
  <si>
    <t xml:space="preserve">F136-1</t>
  </si>
  <si>
    <t xml:space="preserve">C136</t>
  </si>
  <si>
    <t xml:space="preserve">Prescribir, dispensar o administrar</t>
  </si>
  <si>
    <t xml:space="preserve">En una IPS revisan quién hace qué con los medicamentos de un paciente hospitalizado.</t>
  </si>
  <si>
    <t xml:space="preserve">Escribir la fórmula del medicamento corresponde a</t>
  </si>
  <si>
    <t xml:space="preserve">prescribir, acto propio del médico.</t>
  </si>
  <si>
    <t xml:space="preserve">dispensar.</t>
  </si>
  <si>
    <t xml:space="preserve">administrar.</t>
  </si>
  <si>
    <t xml:space="preserve">La prescripción es el acto del profesional facultado que indica el medicamento, la dosis y la duración.</t>
  </si>
  <si>
    <t xml:space="preserve">Dispensar es entregar el medicamento con la orientación del caso; administrar es aplicarlo al paciente: ninguno define el tratamiento.</t>
  </si>
  <si>
    <t xml:space="preserve">Decreto 780 de 2016; Resolución 1478 de 2006</t>
  </si>
  <si>
    <t xml:space="preserve">F136-2</t>
  </si>
  <si>
    <t xml:space="preserve">Entregar el medicamento al paciente con la información para su uso es</t>
  </si>
  <si>
    <t xml:space="preserve">prescribir.</t>
  </si>
  <si>
    <t xml:space="preserve">dispensar, acto del servicio farmacéutico.</t>
  </si>
  <si>
    <t xml:space="preserve">La dispensación es la entrega con información, a cargo del personal autorizado del servicio farmacéutico.</t>
  </si>
  <si>
    <t xml:space="preserve">Prescribir define el tratamiento y administrar lo aplica: confundirlos habilita entregas sin control o personal sin competencia.</t>
  </si>
  <si>
    <t xml:space="preserve">F136-3</t>
  </si>
  <si>
    <t xml:space="preserve">Aplicar el medicamento al paciente es</t>
  </si>
  <si>
    <t xml:space="preserve">La administración es el acto de aplicar el medicamento al paciente, por el personal de salud competente.</t>
  </si>
  <si>
    <t xml:space="preserve">La dispensación termina con la entrega y la prescripción con la orden escrita: ninguna incluye aplicar el medicamento.</t>
  </si>
  <si>
    <t xml:space="preserve">F137-1</t>
  </si>
  <si>
    <t xml:space="preserve">C137</t>
  </si>
  <si>
    <t xml:space="preserve">Registrar, notificar o permitir en alimentos</t>
  </si>
  <si>
    <t xml:space="preserve">Tres empresas de alimentos consultan qué autorización sanitaria necesitan según el riesgo de su producto.</t>
  </si>
  <si>
    <t xml:space="preserve">Un alimento de mayor riesgo en salud pública requiere</t>
  </si>
  <si>
    <t xml:space="preserve">La Resolución 2674 de 2013 asigna el registro sanitario a los alimentos de mayor riesgo.</t>
  </si>
  <si>
    <t xml:space="preserve">La notificación corresponde al riesgo bajo y el permiso al riesgo medio: usarlos en alto riesgo deja el producto sin la evaluación que exige la norma.</t>
  </si>
  <si>
    <t xml:space="preserve">F137-2</t>
  </si>
  <si>
    <t xml:space="preserve">Un alimento de riesgo medio requiere</t>
  </si>
  <si>
    <t xml:space="preserve">El permiso sanitario es la autorización prevista para el riesgo medio.</t>
  </si>
  <si>
    <t xml:space="preserve">Exigir registro sería imponer un trámite más gravoso que el legal; aceptar notificación dejaría sin control un riesgo intermedio.</t>
  </si>
  <si>
    <t xml:space="preserve">F137-3</t>
  </si>
  <si>
    <t xml:space="preserve">Un alimento de riesgo bajo requiere</t>
  </si>
  <si>
    <t xml:space="preserve">ninguna autorización, en todos los casos.</t>
  </si>
  <si>
    <t xml:space="preserve">La notificación sanitaria es el trámite previsto para el riesgo bajo.</t>
  </si>
  <si>
    <t xml:space="preserve">El permiso corresponde al riesgo medio; y solo algunos alimentos, como los naturales sin transformación, quedan exceptuados.</t>
  </si>
  <si>
    <t xml:space="preserve">F138-1</t>
  </si>
  <si>
    <t xml:space="preserve">C138</t>
  </si>
  <si>
    <t xml:space="preserve">Verificar, investigar o auditar</t>
  </si>
  <si>
    <t xml:space="preserve">Llega una queja anónima sobre un establecimiento y su coordinador le pide actuar con cuidado.</t>
  </si>
  <si>
    <t xml:space="preserve">Antes de abrir el procedimiento sancionatorio, para establecer si hay mérito, lo que procede es</t>
  </si>
  <si>
    <t xml:space="preserve">adelantar una averiguación preliminar.</t>
  </si>
  <si>
    <t xml:space="preserve">formular cargos de una vez.</t>
  </si>
  <si>
    <t xml:space="preserve">imponer una sanción provisional.</t>
  </si>
  <si>
    <t xml:space="preserve">La averiguación preliminar sirve para determinar si existe mérito para formular cargos.</t>
  </si>
  <si>
    <t xml:space="preserve">Formular cargos sin elementos vulnera el debido proceso; las sanciones provisionales no existen: lo provisional son las medidas de seguridad.</t>
  </si>
  <si>
    <t xml:space="preserve">F138-2</t>
  </si>
  <si>
    <t xml:space="preserve">Comprobar en campo que unas condiciones se cumplen es</t>
  </si>
  <si>
    <t xml:space="preserve">auditar el sistema de gestión de la entidad.</t>
  </si>
  <si>
    <t xml:space="preserve">investigar disciplinariamente.</t>
  </si>
  <si>
    <t xml:space="preserve">verificar.</t>
  </si>
  <si>
    <t xml:space="preserve">La verificación constata hechos concretos frente a un requisito.</t>
  </si>
  <si>
    <t xml:space="preserve">La auditoría evalúa un sistema de gestión y la investigación disciplinaria recae sobre servidores públicos, no sobre el vigilado.</t>
  </si>
  <si>
    <t xml:space="preserve">Ley 9 de 1979; procedimientos de IVC</t>
  </si>
  <si>
    <t xml:space="preserve">F138-3</t>
  </si>
  <si>
    <t xml:space="preserve">Si en la verificación aparecen indicios de una infracción, lo que sigue es</t>
  </si>
  <si>
    <t xml:space="preserve">repetir la visita hasta reunir más pruebas, sin abrir actuación.</t>
  </si>
  <si>
    <t xml:space="preserve">iniciar la actuación administrativa sancionatoria con la formulación de cargos.</t>
  </si>
  <si>
    <t xml:space="preserve">remitir el caso a la Contraloría.</t>
  </si>
  <si>
    <t xml:space="preserve">Con mérito suficiente se formulan cargos y se garantiza la defensa del investigado.</t>
  </si>
  <si>
    <t xml:space="preserve">Repetir visitas indefinidamente puede llevar a la caducidad; la Contraloría conoce del daño al patrimonio público, no de infracciones sanitarias de particulares.</t>
  </si>
  <si>
    <t xml:space="preserve">Ley 1437 de 2011, arts. 47 y 48</t>
  </si>
  <si>
    <t xml:space="preserve">F139-1</t>
  </si>
  <si>
    <t xml:space="preserve">C139</t>
  </si>
  <si>
    <t xml:space="preserve">Inscribir, autorizar o certificar en el control especial</t>
  </si>
  <si>
    <t xml:space="preserve">Una clínica nueva, una droguería y un paciente que viaja hacen tres solicitudes distintas al Fondo.</t>
  </si>
  <si>
    <t xml:space="preserve">Para que la clínica pueda manejar medicamentos de control especial, primero debe</t>
  </si>
  <si>
    <t xml:space="preserve">certificar su experiencia en el manejo.</t>
  </si>
  <si>
    <t xml:space="preserve">inscribirse ante el Fondo o el Fondo Rotatorio, según la modalidad.</t>
  </si>
  <si>
    <t xml:space="preserve">publicar un aviso en prensa.</t>
  </si>
  <si>
    <t xml:space="preserve">La inscripción es el acto con el que la entidad queda habilitada para las modalidades autorizadas.</t>
  </si>
  <si>
    <t xml:space="preserve">Un certificado solo acredita hechos y no habilita la actividad; ningún aviso en prensa sustituye la inscripción.</t>
  </si>
  <si>
    <t xml:space="preserve">F139-2</t>
  </si>
  <si>
    <t xml:space="preserve">Para que el paciente pueda viajar con su tratamiento, si el país de destino lo exige, el Fondo puede</t>
  </si>
  <si>
    <t xml:space="preserve">expedir una certificación con base en el resumen de la historia clínica.</t>
  </si>
  <si>
    <t xml:space="preserve">inscribirlo como establecimiento.</t>
  </si>
  <si>
    <t xml:space="preserve">autorizarle una previsión de importación.</t>
  </si>
  <si>
    <t xml:space="preserve">La certificación acredita ante el país de destino que el medicamento corresponde a un tratamiento médico.</t>
  </si>
  <si>
    <t xml:space="preserve">La inscripción es para entidades, no para pacientes; la previsión es el cupo de importación de las empresas inscritas.</t>
  </si>
  <si>
    <t xml:space="preserve">F139-3</t>
  </si>
  <si>
    <t xml:space="preserve">Para que un importador pueda traer materia prima fiscalizada, requiere</t>
  </si>
  <si>
    <t xml:space="preserve">solo su inscripción vigente.</t>
  </si>
  <si>
    <t xml:space="preserve">la autorización de importación dentro de la previsión aprobada.</t>
  </si>
  <si>
    <t xml:space="preserve">un concepto favorable del Fondo Rotatorio.</t>
  </si>
  <si>
    <t xml:space="preserve">La autorización habilita la operación concreta y debe estar dentro del cupo previsto.</t>
  </si>
  <si>
    <t xml:space="preserve">La inscripción habilita la actividad en general, pero cada operación requiere autorización; un concepto no habilita ninguna importación.</t>
  </si>
  <si>
    <t xml:space="preserve">Resolución 1478 de 2006; Convención Única de 1961</t>
  </si>
  <si>
    <t xml:space="preserve">F140-1</t>
  </si>
  <si>
    <t xml:space="preserve">C140</t>
  </si>
  <si>
    <t xml:space="preserve">Devolver, destruir o dar de baja</t>
  </si>
  <si>
    <t xml:space="preserve">Una IPS tiene medicamentos de control especial vencidos, otros sobrantes de un paciente que falleció y otros en buen estado que ya no usará.</t>
  </si>
  <si>
    <t xml:space="preserve">Con los sobrantes del paciente que falleció, lo que corresponde es</t>
  </si>
  <si>
    <t xml:space="preserve">que el familiar los devuelva al lugar donde los adquirió.</t>
  </si>
  <si>
    <t xml:space="preserve">que se destruyan en la casa del paciente.</t>
  </si>
  <si>
    <t xml:space="preserve">que la familia los conserve por si los necesita.</t>
  </si>
  <si>
    <t xml:space="preserve">La norma prevé la devolución de los sobrantes de medicamentos monopolio del Estado al sitio donde se adquirieron.</t>
  </si>
  <si>
    <t xml:space="preserve">Conservarlos en casa facilita el desvío o el uso indebido; destruirlos por cuenta propia deja el hecho sin registro ni control.</t>
  </si>
  <si>
    <t xml:space="preserve">F140-2</t>
  </si>
  <si>
    <t xml:space="preserve">Para eliminar los medicamentos vencidos, la IPS debe</t>
  </si>
  <si>
    <t xml:space="preserve">devolverlos al proveedor sin trámite.</t>
  </si>
  <si>
    <t xml:space="preserve">solicitar la autorización de baja y luego la destrucción, en el formato establecido.</t>
  </si>
  <si>
    <t xml:space="preserve">La baja y la destrucción se solicitan a la autoridad competente y se documentan en acta.</t>
  </si>
  <si>
    <t xml:space="preserve">Desecharlos como residuo común es una infracción y un riesgo ambiental; devolver sin trámite deja el movimiento sin soporte.</t>
  </si>
  <si>
    <t xml:space="preserve">F140-3</t>
  </si>
  <si>
    <t xml:space="preserve">En la diligencia de destrucción deben participar</t>
  </si>
  <si>
    <t xml:space="preserve">un delegado de la entidad y un delegado del Fondo Nacional o del Fondo Rotatorio.</t>
  </si>
  <si>
    <t xml:space="preserve">solo el químico farmacéutico de la IPS.</t>
  </si>
  <si>
    <t xml:space="preserve">el proveedor del medicamento.</t>
  </si>
  <si>
    <t xml:space="preserve">La presencia de ambos delegados y el acta respectiva dan validez a la destrucción.</t>
  </si>
  <si>
    <t xml:space="preserve">La sola intervención de la IPS impide el control externo; el proveedor no tiene función de vigilancia.</t>
  </si>
  <si>
    <t xml:space="preserve">competencia</t>
  </si>
  <si>
    <t xml:space="preserve">situacion</t>
  </si>
  <si>
    <t xml:space="preserve">puntos_a</t>
  </si>
  <si>
    <t xml:space="preserve">puntos_b</t>
  </si>
  <si>
    <t xml:space="preserve">puntos_c</t>
  </si>
  <si>
    <t xml:space="preserve">K001</t>
  </si>
  <si>
    <t xml:space="preserve">Orientación al usuario y al ciudadano</t>
  </si>
  <si>
    <t xml:space="preserve">Un ciudadano molesto llama porque su trámite lleva semanas sin respuesta y no es de su área. Usted</t>
  </si>
  <si>
    <t xml:space="preserve">le indica que no es su tema y le da el número del conmutador.</t>
  </si>
  <si>
    <t xml:space="preserve">toma sus datos, averigua el estado con el área responsable y lo contacta con una respuesta concreta.</t>
  </si>
  <si>
    <t xml:space="preserve">le sugiere que radique una queja para que alguien lo atienda.</t>
  </si>
  <si>
    <t xml:space="preserve">K002</t>
  </si>
  <si>
    <t xml:space="preserve">Una persona mayor no entiende el formulario en línea y pide ayuda en la ventanilla. Usted</t>
  </si>
  <si>
    <t xml:space="preserve">le explica paso a paso y verifica que pueda completarlo.</t>
  </si>
  <si>
    <t xml:space="preserve">le entrega el instructivo impreso.</t>
  </si>
  <si>
    <t xml:space="preserve">le pide que vuelva con un familiar que sepa de tecnología.</t>
  </si>
  <si>
    <t xml:space="preserve">K003</t>
  </si>
  <si>
    <t xml:space="preserve">Aporte técnico-profesional</t>
  </si>
  <si>
    <t xml:space="preserve">En una mesa de trabajo se va a aprobar un procedimiento que, según su conocimiento técnico, tiene un error de fondo. Usted</t>
  </si>
  <si>
    <t xml:space="preserve">expone el error con soporte normativo y técnico, y propone un ajuste concreto.</t>
  </si>
  <si>
    <t xml:space="preserve">lo comenta en privado con un colega después de la reunión.</t>
  </si>
  <si>
    <t xml:space="preserve">deja que se apruebe, pues otros tienen más antigüedad en el tema.</t>
  </si>
  <si>
    <t xml:space="preserve">K004</t>
  </si>
  <si>
    <t xml:space="preserve">Le piden revisar un informe técnico de un compañero y encuentra datos sin fuente. Usted</t>
  </si>
  <si>
    <t xml:space="preserve">lo aprueba, porque confía en su compañero.</t>
  </si>
  <si>
    <t xml:space="preserve">señala los datos sin soporte y sugiere las fuentes que podrían usarse.</t>
  </si>
  <si>
    <t xml:space="preserve">lo devuelve con la palabra 'incompleto'.</t>
  </si>
  <si>
    <t xml:space="preserve">K005</t>
  </si>
  <si>
    <t xml:space="preserve">Trabajo en equipo</t>
  </si>
  <si>
    <t xml:space="preserve">Un compañero de su grupo está sobrecargado y el entregable conjunto está en riesgo. Usted</t>
  </si>
  <si>
    <t xml:space="preserve">termina su parte y avisa que el resto no le corresponde.</t>
  </si>
  <si>
    <t xml:space="preserve">propone al equipo redistribuir tareas y acordar el apoyo con el coordinador.</t>
  </si>
  <si>
    <t xml:space="preserve">asume en silencio el trabajo de su compañero.</t>
  </si>
  <si>
    <t xml:space="preserve">K006</t>
  </si>
  <si>
    <t xml:space="preserve">En una reunión, dos compañeros discuten con tono elevado sobre cómo abordar un caso. Usted</t>
  </si>
  <si>
    <t xml:space="preserve">propone escuchar ambas posturas y decidir con base en los criterios técnicos del caso.</t>
  </si>
  <si>
    <t xml:space="preserve">sale de la reunión para no involucrarse.</t>
  </si>
  <si>
    <t xml:space="preserve">apoya al compañero con quien tiene más afinidad.</t>
  </si>
  <si>
    <t xml:space="preserve">K007</t>
  </si>
  <si>
    <t xml:space="preserve">Adaptación al cambio</t>
  </si>
  <si>
    <t xml:space="preserve">La entidad implementa un nuevo sistema de información que cambia la forma de registrar su trabajo. Usted</t>
  </si>
  <si>
    <t xml:space="preserve">sigue usando el formato anterior hasta que el nuevo sea obligatorio.</t>
  </si>
  <si>
    <t xml:space="preserve">se capacita, usa el sistema y reporta los errores que encuentra.</t>
  </si>
  <si>
    <t xml:space="preserve">lo usa, pero le pide a otro compañero que registre por usted.</t>
  </si>
  <si>
    <t xml:space="preserve">K008</t>
  </si>
  <si>
    <t xml:space="preserve">Por reorganización interna lo trasladan a un grupo con temas que no domina. Usted</t>
  </si>
  <si>
    <t xml:space="preserve">solicita volver a su grupo anterior.</t>
  </si>
  <si>
    <t xml:space="preserve">identifica lo que necesita aprender y arma un plan para ponerse al día.</t>
  </si>
  <si>
    <t xml:space="preserve">espera que le asignen solo tareas sencillas mientras tanto.</t>
  </si>
  <si>
    <t xml:space="preserve">K009</t>
  </si>
  <si>
    <t xml:space="preserve">Orientación a resultados</t>
  </si>
  <si>
    <t xml:space="preserve">Faltan dos semanas para el corte y su meta va al 60 %. Usted</t>
  </si>
  <si>
    <t xml:space="preserve">revisa la programación, prioriza por riesgo y ajusta su plan para cumplir con calidad.</t>
  </si>
  <si>
    <t xml:space="preserve">informa que la meta era poco realista.</t>
  </si>
  <si>
    <t xml:space="preserve">hace actividades más cortas para cumplir el número, aunque queden incompletas.</t>
  </si>
  <si>
    <t xml:space="preserve">K010</t>
  </si>
  <si>
    <t xml:space="preserve">Terminó sus tareas antes de tiempo. Usted</t>
  </si>
  <si>
    <t xml:space="preserve">espera nuevas instrucciones.</t>
  </si>
  <si>
    <t xml:space="preserve">revisa la calidad de lo entregado y ofrece apoyo en pendientes del grupo.</t>
  </si>
  <si>
    <t xml:space="preserve">aprovecha para adelantar asuntos personales.</t>
  </si>
  <si>
    <t xml:space="preserve">K011</t>
  </si>
  <si>
    <t xml:space="preserve">Comunicación efectiva</t>
  </si>
  <si>
    <t xml:space="preserve">Debe explicar a un pequeño empresario por qué su establecimiento no cumple los requisitos. Usted</t>
  </si>
  <si>
    <t xml:space="preserve">le entrega el acta y le pide que la lea con calma.</t>
  </si>
  <si>
    <t xml:space="preserve">le explica cada hallazgo en lenguaje claro, con la norma que lo sustenta, y verifica que haya entendido.</t>
  </si>
  <si>
    <t xml:space="preserve">le cita los artículos incumplidos para que consulte con un asesor.</t>
  </si>
  <si>
    <t xml:space="preserve">K012</t>
  </si>
  <si>
    <t xml:space="preserve">Debe presentar resultados técnicos a directivos que no son del área. Usted</t>
  </si>
  <si>
    <t xml:space="preserve">presenta todas las tablas completas para no omitir nada.</t>
  </si>
  <si>
    <t xml:space="preserve">resume los hallazgos clave, sus implicaciones y lo que se necesita decidir.</t>
  </si>
  <si>
    <t xml:space="preserve">envía el documento y evita la presentación.</t>
  </si>
  <si>
    <t xml:space="preserve">K013</t>
  </si>
  <si>
    <t xml:space="preserve">Gestión de procedimientos</t>
  </si>
  <si>
    <t xml:space="preserve">Nota que un paso del procedimiento genera reprocesos frecuentes. Usted</t>
  </si>
  <si>
    <t xml:space="preserve">lo omite para ganar tiempo.</t>
  </si>
  <si>
    <t xml:space="preserve">documenta el problema y propone la modificación por el canal del sistema de gestión.</t>
  </si>
  <si>
    <t xml:space="preserve">lo sigue aplicando sin comentarlo.</t>
  </si>
  <si>
    <t xml:space="preserve">K014</t>
  </si>
  <si>
    <t xml:space="preserve">Un compañero nuevo no conoce el procedimiento que usted aplica a diario. Usted</t>
  </si>
  <si>
    <t xml:space="preserve">le muestra el procedimiento documentado y lo acompaña en las primeras aplicaciones.</t>
  </si>
  <si>
    <t xml:space="preserve">le dice que aprenda observando.</t>
  </si>
  <si>
    <t xml:space="preserve">hace usted el trabajo para evitar errores.</t>
  </si>
  <si>
    <t xml:space="preserve">K015</t>
  </si>
  <si>
    <t xml:space="preserve">Instrumentación de decisiones</t>
  </si>
  <si>
    <t xml:space="preserve">Su coordinador le pide un concepto urgente para tomar una decisión sanitaria. Usted</t>
  </si>
  <si>
    <t xml:space="preserve">entrega un concepto breve con los datos disponibles, sus límites y una recomendación clara.</t>
  </si>
  <si>
    <t xml:space="preserve">espera a tener toda la información posible, aunque se venza el plazo.</t>
  </si>
  <si>
    <t xml:space="preserve">entrega los datos sin analizar para que el coordinador decida.</t>
  </si>
  <si>
    <t xml:space="preserve">K016</t>
  </si>
  <si>
    <t xml:space="preserve">Debe elegir entre dos alternativas y la información es contradictoria. Usted</t>
  </si>
  <si>
    <t xml:space="preserve">elige la que implica menos trabajo.</t>
  </si>
  <si>
    <t xml:space="preserve">compara riesgos y beneficios de cada una, documenta el análisis y sustenta su recomendación.</t>
  </si>
  <si>
    <t xml:space="preserve">le pide a un compañero que decida.</t>
  </si>
  <si>
    <t xml:space="preserve">K017</t>
  </si>
  <si>
    <t xml:space="preserve">Compromiso con la organización</t>
  </si>
  <si>
    <t xml:space="preserve">Un contratista le propone compartir información reservada de un expediente 'solo para agilizar'. Usted</t>
  </si>
  <si>
    <t xml:space="preserve">la comparte, porque también trabaja para la entidad.</t>
  </si>
  <si>
    <t xml:space="preserve">se niega, le explica la reserva y le indica el trámite formal.</t>
  </si>
  <si>
    <t xml:space="preserve">le dice que lo pensará.</t>
  </si>
  <si>
    <t xml:space="preserve">K018</t>
  </si>
  <si>
    <t xml:space="preserve">Escucha en un evento externo críticas infundadas sobre su entidad. Usted</t>
  </si>
  <si>
    <t xml:space="preserve">las ignora.</t>
  </si>
  <si>
    <t xml:space="preserve">aclara con datos lo que conoce y sugiere los canales oficiales para ampliar la información.</t>
  </si>
  <si>
    <t xml:space="preserve">se suma a las críticas para no generar conflicto.</t>
  </si>
  <si>
    <t xml:space="preserve">K019</t>
  </si>
  <si>
    <t xml:space="preserve">Aprendizaje continuo</t>
  </si>
  <si>
    <t xml:space="preserve">Se expide una nueva norma que cambia requisitos que usted verifica. Usted</t>
  </si>
  <si>
    <t xml:space="preserve">la estudia, identifica los cambios y los comparte con su equipo.</t>
  </si>
  <si>
    <t xml:space="preserve">espera la capacitación oficial para leerla.</t>
  </si>
  <si>
    <t xml:space="preserve">sigue aplicando los criterios anteriores hasta que le indiquen lo contrario.</t>
  </si>
  <si>
    <t xml:space="preserve">K020</t>
  </si>
  <si>
    <t xml:space="preserve">Recibe una observación de su jefe sobre un error en su informe. Usted</t>
  </si>
  <si>
    <t xml:space="preserve">explica por qué no fue culpa suya.</t>
  </si>
  <si>
    <t xml:space="preserve">revisa la observación, corrige y ajusta su forma de trabajo para no repetirlo.</t>
  </si>
  <si>
    <t xml:space="preserve">corrige solo ese informe.</t>
  </si>
  <si>
    <t xml:space="preserve">K021</t>
  </si>
  <si>
    <t xml:space="preserve">Un empresario le pide que le 'adelante' el resultado de su trámite antes de que sea oficial. Usted</t>
  </si>
  <si>
    <t xml:space="preserve">le explica que el resultado se comunica por el canal oficial y le indica cuándo y cómo consultarlo.</t>
  </si>
  <si>
    <t xml:space="preserve">le da un adelanto informal para ayudarlo.</t>
  </si>
  <si>
    <t xml:space="preserve">le dice que no puede decirle nada, sin más explicación.</t>
  </si>
  <si>
    <t xml:space="preserve">K022</t>
  </si>
  <si>
    <t xml:space="preserve">Recibe muchas preguntas repetidas de ciudadanos sobre el mismo trámite. Usted</t>
  </si>
  <si>
    <t xml:space="preserve">propone publicar una guía o preguntas frecuentes en lenguaje claro.</t>
  </si>
  <si>
    <t xml:space="preserve">responde cada una de forma individual, como siempre.</t>
  </si>
  <si>
    <t xml:space="preserve">deja de responder las que considera obvias.</t>
  </si>
  <si>
    <t xml:space="preserve">K023</t>
  </si>
  <si>
    <t xml:space="preserve">Un directivo le pide sustentar una decisión con un dato que usted sabe que está desactualizado. Usted</t>
  </si>
  <si>
    <t xml:space="preserve">le informa que el dato está desactualizado y le entrega la cifra vigente con su fuente.</t>
  </si>
  <si>
    <t xml:space="preserve">usa el dato porque así lo pidió.</t>
  </si>
  <si>
    <t xml:space="preserve">omite el dato sin avisar.</t>
  </si>
  <si>
    <t xml:space="preserve">K024</t>
  </si>
  <si>
    <t xml:space="preserve">Identifica una norma nueva que afecta un proyecto de su grupo. Usted</t>
  </si>
  <si>
    <t xml:space="preserve">prepara un análisis breve de su impacto y lo comparte con el equipo.</t>
  </si>
  <si>
    <t xml:space="preserve">espera a que alguien más lo note.</t>
  </si>
  <si>
    <t xml:space="preserve">la menciona de pasada en una reunión.</t>
  </si>
  <si>
    <t xml:space="preserve">K025</t>
  </si>
  <si>
    <t xml:space="preserve">Su equipo decide un enfoque con el que usted no está de acuerdo, después de discutirlo. Usted</t>
  </si>
  <si>
    <t xml:space="preserve">aplica lo acordado con compromiso y deja constancia de sus observaciones.</t>
  </si>
  <si>
    <t xml:space="preserve">trabaja con su propio enfoque sin informar.</t>
  </si>
  <si>
    <t xml:space="preserve">se retira del proyecto.</t>
  </si>
  <si>
    <t xml:space="preserve">K026</t>
  </si>
  <si>
    <t xml:space="preserve">Un compañero de otra dependencia le pide información que usted tiene y que le ayudaría en su trabajo. Usted</t>
  </si>
  <si>
    <t xml:space="preserve">se la comparte por el canal adecuado y en el tiempo que la necesita.</t>
  </si>
  <si>
    <t xml:space="preserve">le dice que la pida por escrito a su jefe y la entrega cuando pueda.</t>
  </si>
  <si>
    <t xml:space="preserve">no la comparte para que su dependencia no pierda protagonismo.</t>
  </si>
  <si>
    <t xml:space="preserve">K027</t>
  </si>
  <si>
    <t xml:space="preserve">Cambian las prioridades del grupo a mitad del año y su proyecto pasa a segundo plano. Usted</t>
  </si>
  <si>
    <t xml:space="preserve">reorganiza su trabajo según las nuevas prioridades y deja documentado el avance del proyecto.</t>
  </si>
  <si>
    <t xml:space="preserve">continúa con su proyecto porque ya estaba avanzado.</t>
  </si>
  <si>
    <t xml:space="preserve">se queja con sus compañeros del cambio.</t>
  </si>
  <si>
    <t xml:space="preserve">K028</t>
  </si>
  <si>
    <t xml:space="preserve">La entidad adopta el trabajo por turnos presenciales y remotos. Usted</t>
  </si>
  <si>
    <t xml:space="preserve">ajusta su organización para cumplir en ambas modalidades y mantiene comunicación con el equipo.</t>
  </si>
  <si>
    <t xml:space="preserve">solicita quedar siempre en remoto.</t>
  </si>
  <si>
    <t xml:space="preserve">reduce su disponibilidad en los días remotos.</t>
  </si>
  <si>
    <t xml:space="preserve">K029</t>
  </si>
  <si>
    <t xml:space="preserve">Detecta que un indicador de su grupo va a incumplirse por una causa que usted puede corregir. Usted</t>
  </si>
  <si>
    <t xml:space="preserve">actúa sobre la causa e informa a su coordinador el plan para recuperar el resultado.</t>
  </si>
  <si>
    <t xml:space="preserve">espera a que el coordinador lo note en el informe.</t>
  </si>
  <si>
    <t xml:space="preserve">ajusta la forma de calcular el indicador para que se vea mejor.</t>
  </si>
  <si>
    <t xml:space="preserve">K030</t>
  </si>
  <si>
    <t xml:space="preserve">Tiene varias tareas con el mismo plazo. Usted</t>
  </si>
  <si>
    <t xml:space="preserve">las prioriza por impacto y urgencia, y acuerda con su jefe si alguna debe reprogramarse.</t>
  </si>
  <si>
    <t xml:space="preserve">las hace en el orden en que llegaron.</t>
  </si>
  <si>
    <t xml:space="preserve">hace primero las más fáciles.</t>
  </si>
  <si>
    <t xml:space="preserve">K031</t>
  </si>
  <si>
    <t xml:space="preserve">Un ciudadano no entiende la respuesta escrita que usted envió. Usted</t>
  </si>
  <si>
    <t xml:space="preserve">lo contacta, le explica en términos sencillos y ajusta la forma de redactar futuras respuestas.</t>
  </si>
  <si>
    <t xml:space="preserve">le reenvía la misma respuesta.</t>
  </si>
  <si>
    <t xml:space="preserve">le indica que consulte a un abogado.</t>
  </si>
  <si>
    <t xml:space="preserve">K032</t>
  </si>
  <si>
    <t xml:space="preserve">En una reunión con varias entidades, un tema técnico genera confusión. Usted</t>
  </si>
  <si>
    <t xml:space="preserve">pide la palabra para aclararlo con ejemplos concretos y verifica que se haya entendido.</t>
  </si>
  <si>
    <t xml:space="preserve">guarda silencio para no interrumpir.</t>
  </si>
  <si>
    <t xml:space="preserve">envía después un documento extenso a todos.</t>
  </si>
  <si>
    <t xml:space="preserve">K033</t>
  </si>
  <si>
    <t xml:space="preserve">Le piden atender un caso que no encaja en ningún procedimiento vigente. Usted</t>
  </si>
  <si>
    <t xml:space="preserve">lo resuelve con base en la norma y propone documentar el caso para futuras situaciones.</t>
  </si>
  <si>
    <t xml:space="preserve">lo devuelve porque no hay procedimiento.</t>
  </si>
  <si>
    <t xml:space="preserve">lo resuelve de manera distinta cada vez.</t>
  </si>
  <si>
    <t xml:space="preserve">K034</t>
  </si>
  <si>
    <t xml:space="preserve">Una auditoría encuentra que su grupo no deja evidencia de un control. Usted</t>
  </si>
  <si>
    <t xml:space="preserve">propone cómo registrar la evidencia y ajusta la práctica del grupo.</t>
  </si>
  <si>
    <t xml:space="preserve">argumenta que el control sí se hace aunque no quede registro.</t>
  </si>
  <si>
    <t xml:space="preserve">espera la siguiente auditoría.</t>
  </si>
  <si>
    <t xml:space="preserve">K035</t>
  </si>
  <si>
    <t xml:space="preserve">Le piden recomendar entre dos proveedores con información incompleta. Usted</t>
  </si>
  <si>
    <t xml:space="preserve">identifica la información faltante, la solicita si es posible y presenta su recomendación con los supuestos claros.</t>
  </si>
  <si>
    <t xml:space="preserve">recomienda el más barato sin más análisis.</t>
  </si>
  <si>
    <t xml:space="preserve">se abstiene de recomendar.</t>
  </si>
  <si>
    <t xml:space="preserve">K036</t>
  </si>
  <si>
    <t xml:space="preserve">Una decisión que usted recomendó no dio el resultado esperado. Usted</t>
  </si>
  <si>
    <t xml:space="preserve">analiza qué falló, lo informa y propone ajustes.</t>
  </si>
  <si>
    <t xml:space="preserve">busca a quién atribuir el error.</t>
  </si>
  <si>
    <t xml:space="preserve">deja de hacer recomendaciones.</t>
  </si>
  <si>
    <t xml:space="preserve">K037</t>
  </si>
  <si>
    <t xml:space="preserve">Le ofrecen un trabajo por fuera en horario laboral que se cruza con sus funciones. Usted</t>
  </si>
  <si>
    <t xml:space="preserve">lo rechaza porque afecta su jornada y puede generar conflicto de interés.</t>
  </si>
  <si>
    <t xml:space="preserve">lo acepta si nadie se entera.</t>
  </si>
  <si>
    <t xml:space="preserve">lo acepta y compensa las horas otro día.</t>
  </si>
  <si>
    <t xml:space="preserve">K038</t>
  </si>
  <si>
    <t xml:space="preserve">Nota que se están desperdiciando insumos en su dependencia. Usted</t>
  </si>
  <si>
    <t xml:space="preserve">propone medidas concretas para hacer un uso eficiente de los recursos.</t>
  </si>
  <si>
    <t xml:space="preserve">lo ignora porque no es su responsabilidad.</t>
  </si>
  <si>
    <t xml:space="preserve">lo comenta solo con sus compañeros.</t>
  </si>
  <si>
    <t xml:space="preserve">K039</t>
  </si>
  <si>
    <t xml:space="preserve">La entidad ofrece un curso virtual relacionado con sus funciones, fuera de su horario. Usted</t>
  </si>
  <si>
    <t xml:space="preserve">lo toma y aplica lo aprendido en su trabajo.</t>
  </si>
  <si>
    <t xml:space="preserve">lo toma solo si es obligatorio.</t>
  </si>
  <si>
    <t xml:space="preserve">lo descarta porque ya tiene experiencia.</t>
  </si>
  <si>
    <t xml:space="preserve">K040</t>
  </si>
  <si>
    <t xml:space="preserve">Un compañero con menos experiencia propone una forma más eficiente de hacer una tarea. Usted</t>
  </si>
  <si>
    <t xml:space="preserve">la prueba y, si funciona, la adopta.</t>
  </si>
  <si>
    <t xml:space="preserve">la descarta por su poca experiencia.</t>
  </si>
  <si>
    <t xml:space="preserve">le dice que lo intente él solo.</t>
  </si>
  <si>
    <t xml:space="preserve">K041</t>
  </si>
  <si>
    <t xml:space="preserve">Un ciudadano le pide un trámite que no existe en la entidad. Usted</t>
  </si>
  <si>
    <t xml:space="preserve">le explica con claridad qué opciones reales tiene y a dónde acudir.</t>
  </si>
  <si>
    <t xml:space="preserve">le dice que no se puede y termina la conversación.</t>
  </si>
  <si>
    <t xml:space="preserve">le promete averiguar sin tomar sus datos.</t>
  </si>
  <si>
    <t xml:space="preserve">K042</t>
  </si>
  <si>
    <t xml:space="preserve">Un usuario le agradece y le ofrece un regalo por haberlo atendido bien. Usted</t>
  </si>
  <si>
    <t xml:space="preserve">le agradece y lo rechaza amablemente, explicando que es su deber.</t>
  </si>
  <si>
    <t xml:space="preserve">lo acepta porque es un detalle pequeño.</t>
  </si>
  <si>
    <t xml:space="preserve">lo acepta y lo comparte con el equipo.</t>
  </si>
  <si>
    <t xml:space="preserve">K043</t>
  </si>
  <si>
    <t xml:space="preserve">Varios ciudadanos se quejan de largas filas en la sede. Usted</t>
  </si>
  <si>
    <t xml:space="preserve">propone medidas como turnos o canales virtuales y las comunica a su jefe.</t>
  </si>
  <si>
    <t xml:space="preserve">les pide paciencia sin hacer nada más.</t>
  </si>
  <si>
    <t xml:space="preserve">atiende más rápido omitiendo pasos de verificación.</t>
  </si>
  <si>
    <t xml:space="preserve">K044</t>
  </si>
  <si>
    <t xml:space="preserve">Le piden un concepto sobre un tema en el que no tiene experiencia. Usted</t>
  </si>
  <si>
    <t xml:space="preserve">lo estudia, consulta fuentes confiables y a colegas expertos antes de emitirlo.</t>
  </si>
  <si>
    <t xml:space="preserve">lo emite con lo que sabe, sin investigar.</t>
  </si>
  <si>
    <t xml:space="preserve">se niega a hacerlo.</t>
  </si>
  <si>
    <t xml:space="preserve">K045</t>
  </si>
  <si>
    <t xml:space="preserve">Detecta que un formato técnico de la entidad induce a errores. Usted</t>
  </si>
  <si>
    <t xml:space="preserve">propone un rediseño con ejemplos de los errores observados.</t>
  </si>
  <si>
    <t xml:space="preserve">lo usa y corrige los errores en cada caso.</t>
  </si>
  <si>
    <t xml:space="preserve">lo deja de usar sin avisar.</t>
  </si>
  <si>
    <t xml:space="preserve">K046</t>
  </si>
  <si>
    <t xml:space="preserve">Su jefe le pide simplificar un informe técnico para el público. Usted</t>
  </si>
  <si>
    <t xml:space="preserve">lo adapta a lenguaje claro sin perder la precisión técnica.</t>
  </si>
  <si>
    <t xml:space="preserve">elimina los datos que considera difíciles aunque sean importantes.</t>
  </si>
  <si>
    <t xml:space="preserve">mantiene el lenguaje técnico original.</t>
  </si>
  <si>
    <t xml:space="preserve">K047</t>
  </si>
  <si>
    <t xml:space="preserve">Un compañero se atribuye en una reunión un trabajo que hicieron entre los dos. Usted</t>
  </si>
  <si>
    <t xml:space="preserve">habla con él en privado y acuerdan cómo reconocer el aporte de ambos.</t>
  </si>
  <si>
    <t xml:space="preserve">lo confronta públicamente en la reunión.</t>
  </si>
  <si>
    <t xml:space="preserve">deja de colaborar con él.</t>
  </si>
  <si>
    <t xml:space="preserve">K048</t>
  </si>
  <si>
    <t xml:space="preserve">Su grupo debe entregar un informe y un integrante no responde los mensajes. Usted</t>
  </si>
  <si>
    <t xml:space="preserve">lo contacta por otro medio y, si no es posible, informa al coordinador para ajustar tareas.</t>
  </si>
  <si>
    <t xml:space="preserve">hace su parte y espera.</t>
  </si>
  <si>
    <t xml:space="preserve">entrega el informe incompleto sin avisar.</t>
  </si>
  <si>
    <t xml:space="preserve">K049</t>
  </si>
  <si>
    <t xml:space="preserve">Llega un compañero nuevo al grupo. Usted</t>
  </si>
  <si>
    <t xml:space="preserve">le presenta al equipo, le explica cómo se trabaja y queda disponible para dudas.</t>
  </si>
  <si>
    <t xml:space="preserve">espera que se adapte solo.</t>
  </si>
  <si>
    <t xml:space="preserve">le asigna las tareas que nadie quiere.</t>
  </si>
  <si>
    <t xml:space="preserve">K050</t>
  </si>
  <si>
    <t xml:space="preserve">Le asignan una visita a una región que no conoce, con poco tiempo de preparación. Usted</t>
  </si>
  <si>
    <t xml:space="preserve">se informa sobre la región y el vigilado y prepara la visita con lo disponible.</t>
  </si>
  <si>
    <t xml:space="preserve">pide que la asignen a otro.</t>
  </si>
  <si>
    <t xml:space="preserve">va sin preparación.</t>
  </si>
  <si>
    <t xml:space="preserve">K051</t>
  </si>
  <si>
    <t xml:space="preserve">Una norma nueva cambia el procedimiento que usted aplicaba hace años. Usted</t>
  </si>
  <si>
    <t xml:space="preserve">actualiza su forma de trabajo y ayuda a otros a entender el cambio.</t>
  </si>
  <si>
    <t xml:space="preserve">sigue con el procedimiento anterior porque funcionaba.</t>
  </si>
  <si>
    <t xml:space="preserve">espera a que lo obliguen.</t>
  </si>
  <si>
    <t xml:space="preserve">K052</t>
  </si>
  <si>
    <t xml:space="preserve">Su dependencia cambia de jefe y de estilo de trabajo. Usted</t>
  </si>
  <si>
    <t xml:space="preserve">se adapta a las nuevas directrices y propone mejoras cuando es pertinente.</t>
  </si>
  <si>
    <t xml:space="preserve">compara todo con el jefe anterior.</t>
  </si>
  <si>
    <t xml:space="preserve">reduce su compromiso hasta ver qué pasa.</t>
  </si>
  <si>
    <t xml:space="preserve">K053</t>
  </si>
  <si>
    <t xml:space="preserve">Un trámite a su cargo tiene un rezago de varios meses. Usted</t>
  </si>
  <si>
    <t xml:space="preserve">analiza las causas, propone un plan de descongestión y hace seguimiento semanal.</t>
  </si>
  <si>
    <t xml:space="preserve">atiende los casos nuevos y deja el rezago para después.</t>
  </si>
  <si>
    <t xml:space="preserve">informa que el rezago viene de antes.</t>
  </si>
  <si>
    <t xml:space="preserve">K054</t>
  </si>
  <si>
    <t xml:space="preserve">Le asignan una meta que implica coordinar con otra entidad. Usted</t>
  </si>
  <si>
    <t xml:space="preserve">establece contacto temprano, acuerda tiempos y hace seguimiento.</t>
  </si>
  <si>
    <t xml:space="preserve">espera a que la otra entidad lo contacte.</t>
  </si>
  <si>
    <t xml:space="preserve">trabaja solo la parte que depende de usted.</t>
  </si>
  <si>
    <t xml:space="preserve">K055</t>
  </si>
  <si>
    <t xml:space="preserve">Su informe mensual muestra buen cumplimiento, pero usted sabe que la calidad bajó. Usted</t>
  </si>
  <si>
    <t xml:space="preserve">lo informa y propone ajustes para recuperar la calidad.</t>
  </si>
  <si>
    <t xml:space="preserve">presenta solo las cifras de cumplimiento.</t>
  </si>
  <si>
    <t xml:space="preserve">espera que nadie lo note.</t>
  </si>
  <si>
    <t xml:space="preserve">K056</t>
  </si>
  <si>
    <t xml:space="preserve">Debe dar una mala noticia a un vigilado. Usted</t>
  </si>
  <si>
    <t xml:space="preserve">la comunica con claridad, respeto y explicando los siguientes pasos.</t>
  </si>
  <si>
    <t xml:space="preserve">la envía por correo sin explicación.</t>
  </si>
  <si>
    <t xml:space="preserve">la suaviza tanto que no se entiende.</t>
  </si>
  <si>
    <t xml:space="preserve">K057</t>
  </si>
  <si>
    <t xml:space="preserve">En una reunión, un colega usa términos que el resto no entiende. Usted</t>
  </si>
  <si>
    <t xml:space="preserve">pide amablemente que los explique o los aclara para el grupo.</t>
  </si>
  <si>
    <t xml:space="preserve">sigue la reunión sin intervenir.</t>
  </si>
  <si>
    <t xml:space="preserve">se burla del término.</t>
  </si>
  <si>
    <t xml:space="preserve">K058</t>
  </si>
  <si>
    <t xml:space="preserve">Recibe un correo con tono agresivo de un ciudadano. Usted</t>
  </si>
  <si>
    <t xml:space="preserve">responde con respeto, centrado en la solución de su solicitud.</t>
  </si>
  <si>
    <t xml:space="preserve">responde con el mismo tono.</t>
  </si>
  <si>
    <t xml:space="preserve">no responde.</t>
  </si>
  <si>
    <t xml:space="preserve">K059</t>
  </si>
  <si>
    <t xml:space="preserve">Nota que su equipo aplica de forma distinta el mismo procedimiento. Usted</t>
  </si>
  <si>
    <t xml:space="preserve">propone una sesión para unificar criterios y documentarlos.</t>
  </si>
  <si>
    <t xml:space="preserve">aplica su propia versión.</t>
  </si>
  <si>
    <t xml:space="preserve">informa quién lo hace mal.</t>
  </si>
  <si>
    <t xml:space="preserve">K060</t>
  </si>
  <si>
    <t xml:space="preserve">Le piden saltarse un paso de control para cumplir un plazo. Usted</t>
  </si>
  <si>
    <t xml:space="preserve">explica el riesgo, busca alternativas para cumplir sin omitir el control y deja constancia.</t>
  </si>
  <si>
    <t xml:space="preserve">se salta el paso.</t>
  </si>
  <si>
    <t xml:space="preserve">se niega sin proponer alternativas.</t>
  </si>
  <si>
    <t xml:space="preserve">K061</t>
  </si>
  <si>
    <t xml:space="preserve">Debe diseñar un procedimiento nuevo. Usted</t>
  </si>
  <si>
    <t xml:space="preserve">identifica las etapas, responsables, registros y controles, y lo valida con quienes lo aplicarán.</t>
  </si>
  <si>
    <t xml:space="preserve">lo copia de otra entidad sin ajustarlo.</t>
  </si>
  <si>
    <t xml:space="preserve">lo escribe solo, sin consultar.</t>
  </si>
  <si>
    <t xml:space="preserve">K062</t>
  </si>
  <si>
    <t xml:space="preserve">Hay presión para decidir rápido un caso con información incompleta y riesgo para la salud. Usted</t>
  </si>
  <si>
    <t xml:space="preserve">prioriza la protección de la salud, documenta la información disponible y propone la medida proporcional.</t>
  </si>
  <si>
    <t xml:space="preserve">espera tener toda la información aunque el riesgo crezca.</t>
  </si>
  <si>
    <t xml:space="preserve">decide lo que pida el vigilado.</t>
  </si>
  <si>
    <t xml:space="preserve">K063</t>
  </si>
  <si>
    <t xml:space="preserve">Dos normas parecen contradecirse en un caso. Usted</t>
  </si>
  <si>
    <t xml:space="preserve">analiza jerarquía, especialidad y vigencia, y consulta a la oficina jurídica si persiste la duda.</t>
  </si>
  <si>
    <t xml:space="preserve">aplica la que le resulte más fácil.</t>
  </si>
  <si>
    <t xml:space="preserve">deja el caso sin decidir.</t>
  </si>
  <si>
    <t xml:space="preserve">K064</t>
  </si>
  <si>
    <t xml:space="preserve">Su recomendación fue rechazada por su jefe. Usted</t>
  </si>
  <si>
    <t xml:space="preserve">acepta la decisión, pide conocer los criterios y aprende para próximas recomendaciones.</t>
  </si>
  <si>
    <t xml:space="preserve">insiste hasta que la acepten.</t>
  </si>
  <si>
    <t xml:space="preserve">K065</t>
  </si>
  <si>
    <t xml:space="preserve">Un amigo le pide que le 'agilice' un trámite. Usted</t>
  </si>
  <si>
    <t xml:space="preserve">le explica que el trámite sigue el orden establecido y le indica cómo hacerle seguimiento.</t>
  </si>
  <si>
    <t xml:space="preserve">lo pone de primero.</t>
  </si>
  <si>
    <t xml:space="preserve">le dice que lo agiliza si le colabora.</t>
  </si>
  <si>
    <t xml:space="preserve">K066</t>
  </si>
  <si>
    <t xml:space="preserve">Observa que un compañero usa bienes de la entidad para asuntos personales. Usted</t>
  </si>
  <si>
    <t xml:space="preserve">le recuerda el uso adecuado de los bienes y, si persiste, lo informa.</t>
  </si>
  <si>
    <t xml:space="preserve">lo ignora.</t>
  </si>
  <si>
    <t xml:space="preserve">hace lo mismo.</t>
  </si>
  <si>
    <t xml:space="preserve">K067</t>
  </si>
  <si>
    <t xml:space="preserve">La entidad enfrenta críticas en medios por una decisión técnica. Usted</t>
  </si>
  <si>
    <t xml:space="preserve">remite las preguntas a la oficina de comunicaciones y se abstiene de declarar sin autorización.</t>
  </si>
  <si>
    <t xml:space="preserve">da entrevistas con su opinión personal.</t>
  </si>
  <si>
    <t xml:space="preserve">publica en redes información interna.</t>
  </si>
  <si>
    <t xml:space="preserve">K068</t>
  </si>
  <si>
    <t xml:space="preserve">Comete un error en una visita que obliga a repetirla. Usted</t>
  </si>
  <si>
    <t xml:space="preserve">lo reconoce, lo corrige y documenta la lección para el equipo.</t>
  </si>
  <si>
    <t xml:space="preserve">lo oculta.</t>
  </si>
  <si>
    <t xml:space="preserve">culpa al vigilado.</t>
  </si>
  <si>
    <t xml:space="preserve">K069</t>
  </si>
  <si>
    <t xml:space="preserve">Hay una actualización tecnológica en el laboratorio de su área. Usted</t>
  </si>
  <si>
    <t xml:space="preserve">se capacita y comparte lo aprendido.</t>
  </si>
  <si>
    <t xml:space="preserve">espera que otros la usen primero.</t>
  </si>
  <si>
    <t xml:space="preserve">continúa con el método anterior.</t>
  </si>
  <si>
    <t xml:space="preserve">K070</t>
  </si>
  <si>
    <t xml:space="preserve">Un colega de otra entidad comparte una buena práctica. Usted</t>
  </si>
  <si>
    <t xml:space="preserve">la analiza y propone adaptarla a su entidad.</t>
  </si>
  <si>
    <t xml:space="preserve">la descarta porque allí es distinto.</t>
  </si>
  <si>
    <t xml:space="preserve">la copia sin analizarla.</t>
  </si>
  <si>
    <t xml:space="preserve">K071</t>
  </si>
  <si>
    <t xml:space="preserve">Dirección y desarrollo de personal</t>
  </si>
  <si>
    <t xml:space="preserve">Tiene a cargo un profesional que no alcanza sus metas. Usted</t>
  </si>
  <si>
    <t xml:space="preserve">identifica las causas con él, acuerda un plan de mejora y le hace seguimiento.</t>
  </si>
  <si>
    <t xml:space="preserve">lo reporta sin hablar con él.</t>
  </si>
  <si>
    <t xml:space="preserve">le quita las tareas.</t>
  </si>
  <si>
    <t xml:space="preserve">K072</t>
  </si>
  <si>
    <t xml:space="preserve">Dos personas de su equipo están en conflicto. Usted</t>
  </si>
  <si>
    <t xml:space="preserve">las reúne, escucha a ambas y acuerdan reglas de trabajo.</t>
  </si>
  <si>
    <t xml:space="preserve">deja que lo resuelvan solas.</t>
  </si>
  <si>
    <t xml:space="preserve">separa a una sin escucharla.</t>
  </si>
  <si>
    <t xml:space="preserve">K073</t>
  </si>
  <si>
    <t xml:space="preserve">Un integrante de su equipo tiene alto potencial. Usted</t>
  </si>
  <si>
    <t xml:space="preserve">le asigna retos acordes y apoya su formación.</t>
  </si>
  <si>
    <t xml:space="preserve">le recarga el trabajo de todos.</t>
  </si>
  <si>
    <t xml:space="preserve">evita que sobresalga.</t>
  </si>
  <si>
    <t xml:space="preserve">K074</t>
  </si>
  <si>
    <t xml:space="preserve">Toma de decisiones</t>
  </si>
  <si>
    <t xml:space="preserve">Debe decidir con urgencia entre dos alternativas y su equipo está dividido. Usted</t>
  </si>
  <si>
    <t xml:space="preserve">escucha los argumentos, evalúa riesgos y decide, explicando las razones.</t>
  </si>
  <si>
    <t xml:space="preserve">aplaza la decisión indefinidamente.</t>
  </si>
  <si>
    <t xml:space="preserve">decide por votación sin analizar.</t>
  </si>
  <si>
    <t xml:space="preserve">K075</t>
  </si>
  <si>
    <t xml:space="preserve">Una decisión suya afectó negativamente a otra dependencia. Usted</t>
  </si>
  <si>
    <t xml:space="preserve">asume la responsabilidad, coordina con ellos y ajusta la decisión.</t>
  </si>
  <si>
    <t xml:space="preserve">espera a que se quejen formalmente.</t>
  </si>
  <si>
    <t xml:space="preserve">culpa a la información recibida.</t>
  </si>
  <si>
    <t xml:space="preserve">K076</t>
  </si>
  <si>
    <t xml:space="preserve">Tiene recursos limitados para varias solicitudes urgentes. Usted</t>
  </si>
  <si>
    <t xml:space="preserve">prioriza con criterios objetivos como el riesgo y el impacto, y lo comunica.</t>
  </si>
  <si>
    <t xml:space="preserve">atiende según el orden de llegada sin evaluar.</t>
  </si>
  <si>
    <t xml:space="preserve">atiende primero a quien más presiona.</t>
  </si>
  <si>
    <t xml:space="preserve">K077</t>
  </si>
  <si>
    <t xml:space="preserve">Su equipo cometió un error en un informe que ya se envió. Usted</t>
  </si>
  <si>
    <t xml:space="preserve">propone corregirlo de inmediato e informar la corrección.</t>
  </si>
  <si>
    <t xml:space="preserve">espera a que alguien lo note.</t>
  </si>
  <si>
    <t xml:space="preserve">busca al responsable para sancionarlo.</t>
  </si>
  <si>
    <t xml:space="preserve">K078</t>
  </si>
  <si>
    <t xml:space="preserve">Un empresario pequeño no entiende los requisitos para cumplir la norma. Usted</t>
  </si>
  <si>
    <t xml:space="preserve">le explica de forma práctica qué debe hacer, sin dejar de exigir el cumplimiento.</t>
  </si>
  <si>
    <t xml:space="preserve">le dice que contrate un asesor.</t>
  </si>
  <si>
    <t xml:space="preserve">le perdona los incumplimientos.</t>
  </si>
  <si>
    <t xml:space="preserve">K079</t>
  </si>
  <si>
    <t xml:space="preserve">Debe explicar un cambio normativo a personas de distintos niveles. Usted</t>
  </si>
  <si>
    <t xml:space="preserve">ajusta el mensaje a cada público y verifica que se haya entendido.</t>
  </si>
  <si>
    <t xml:space="preserve">usa el mismo documento técnico para todos.</t>
  </si>
  <si>
    <t xml:space="preserve">envía solo el link de la norma.</t>
  </si>
  <si>
    <t xml:space="preserve">K080</t>
  </si>
  <si>
    <t xml:space="preserve">Encuentra un error en un documento ya publicado por la entidad. Usted</t>
  </si>
  <si>
    <t xml:space="preserve">informa al área responsable con la corrección propuesta y el soporte.</t>
  </si>
  <si>
    <t xml:space="preserve">lo comenta en redes sociales.</t>
  </si>
  <si>
    <t xml:space="preserve">lo ignora porque no es de su área.</t>
  </si>
  <si>
    <t xml:space="preserve">preguntas activas</t>
  </si>
  <si>
    <t xml:space="preserve">Total funcionales activas</t>
  </si>
  <si>
    <t xml:space="preserve">Pool Invima (comun + invima)</t>
  </si>
  <si>
    <t xml:space="preserve">Pool Estupefacientes (comun + fne)</t>
  </si>
  <si>
    <t xml:space="preserve">Comportamentales activas</t>
  </si>
  <si>
    <t xml:space="preserve">Respuestas correctas en A / B / C</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</si>
</sst>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b val="true"/>
      <sz val="10"/>
      <color rgb="FFFFFFFF"/>
      <name val="Arial"/>
      <family val="0"/>
      <charset val="1"/>
    </font>
  </fonts>
  <fills count="3">
    <fill>
      <patternFill patternType="none"/>
    </fill>
    <fill>
      <patternFill patternType="gray125"/>
    </fill>
    <fill>
      <patternFill patternType="solid">
        <fgColor rgb="FF14213D"/>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4213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421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row>
    <row r="15" customFormat="false" ht="15" hidden="false" customHeight="false" outlineLevel="0" collapsed="false">
      <c r="A15" s="2" t="s">
        <v>11</v>
      </c>
    </row>
    <row r="16" customFormat="false" ht="15" hidden="false" customHeight="false" outlineLevel="0" collapsed="false">
      <c r="A16" s="2" t="s">
        <v>12</v>
      </c>
    </row>
    <row r="17" customFormat="false" ht="15" hidden="false" customHeight="false" outlineLevel="0" collapsed="false">
      <c r="A17" s="2" t="s">
        <v>13</v>
      </c>
    </row>
    <row r="18" customFormat="false" ht="15" hidden="false" customHeight="false" outlineLevel="0" collapsed="false">
      <c r="A18" s="2" t="s">
        <v>14</v>
      </c>
    </row>
    <row r="19" customFormat="false" ht="15" hidden="false" customHeight="false" outlineLevel="0" collapsed="false">
      <c r="A19" s="2"/>
    </row>
    <row r="20" customFormat="false" ht="15" hidden="false" customHeight="false" outlineLevel="0" collapsed="false">
      <c r="A20" s="2" t="s">
        <v>15</v>
      </c>
    </row>
    <row r="21" customFormat="false" ht="15" hidden="false" customHeight="false" outlineLevel="0" collapsed="false">
      <c r="A21" s="2"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26"/>
    <col collapsed="false" customWidth="true" hidden="false" outlineLevel="0" max="4" min="4" style="0" width="8"/>
    <col collapsed="false" customWidth="true" hidden="false" outlineLevel="0" max="5" min="5" style="0" width="24"/>
    <col collapsed="false" customWidth="true" hidden="false" outlineLevel="0" max="6" min="6" style="0" width="50"/>
    <col collapsed="false" customWidth="true" hidden="false" outlineLevel="0" max="7" min="7" style="0" width="45"/>
    <col collapsed="false" customWidth="true" hidden="false" outlineLevel="0" max="10" min="8" style="0" width="35"/>
    <col collapsed="false" customWidth="true" hidden="false" outlineLevel="0" max="11" min="11" style="0" width="10"/>
    <col collapsed="false" customWidth="true" hidden="false" outlineLevel="0" max="13" min="12" style="0" width="45"/>
    <col collapsed="false" customWidth="true" hidden="false" outlineLevel="0" max="14" min="14" style="0" width="28"/>
    <col collapsed="false" customWidth="true" hidden="false" outlineLevel="0" max="15" min="15" style="0" width="8"/>
  </cols>
  <sheetData>
    <row r="1" customFormat="false" ht="23.85" hidden="false" customHeight="false" outlineLevel="0" collapsed="false">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row>
    <row r="2" customFormat="false" ht="46.25" hidden="false" customHeight="false" outlineLevel="0" collapsed="false">
      <c r="A2" s="5" t="s">
        <v>32</v>
      </c>
      <c r="B2" s="5" t="s">
        <v>33</v>
      </c>
      <c r="C2" s="5" t="s">
        <v>34</v>
      </c>
      <c r="D2" s="5" t="s">
        <v>35</v>
      </c>
      <c r="E2" s="5" t="s">
        <v>36</v>
      </c>
      <c r="F2" s="5" t="s">
        <v>37</v>
      </c>
      <c r="G2" s="5" t="s">
        <v>38</v>
      </c>
      <c r="H2" s="5" t="s">
        <v>39</v>
      </c>
      <c r="I2" s="5" t="s">
        <v>40</v>
      </c>
      <c r="J2" s="5" t="s">
        <v>41</v>
      </c>
      <c r="K2" s="5" t="s">
        <v>42</v>
      </c>
      <c r="L2" s="5" t="s">
        <v>43</v>
      </c>
      <c r="M2" s="5"/>
      <c r="N2" s="5" t="s">
        <v>44</v>
      </c>
      <c r="O2" s="5" t="s">
        <v>45</v>
      </c>
    </row>
    <row r="3" customFormat="false" ht="46.25" hidden="false" customHeight="false" outlineLevel="0" collapsed="false">
      <c r="A3" s="5" t="s">
        <v>46</v>
      </c>
      <c r="B3" s="5" t="s">
        <v>33</v>
      </c>
      <c r="C3" s="5" t="s">
        <v>34</v>
      </c>
      <c r="D3" s="5" t="s">
        <v>35</v>
      </c>
      <c r="E3" s="5" t="s">
        <v>36</v>
      </c>
      <c r="F3" s="5" t="s">
        <v>37</v>
      </c>
      <c r="G3" s="5" t="s">
        <v>47</v>
      </c>
      <c r="H3" s="5" t="s">
        <v>48</v>
      </c>
      <c r="I3" s="5" t="s">
        <v>49</v>
      </c>
      <c r="J3" s="5" t="s">
        <v>50</v>
      </c>
      <c r="K3" s="5" t="s">
        <v>42</v>
      </c>
      <c r="L3" s="5" t="s">
        <v>51</v>
      </c>
      <c r="M3" s="5"/>
      <c r="N3" s="5" t="s">
        <v>44</v>
      </c>
      <c r="O3" s="5" t="s">
        <v>45</v>
      </c>
    </row>
    <row r="4" customFormat="false" ht="46.25" hidden="false" customHeight="false" outlineLevel="0" collapsed="false">
      <c r="A4" s="5" t="s">
        <v>52</v>
      </c>
      <c r="B4" s="5" t="s">
        <v>33</v>
      </c>
      <c r="C4" s="5" t="s">
        <v>34</v>
      </c>
      <c r="D4" s="5" t="s">
        <v>35</v>
      </c>
      <c r="E4" s="5" t="s">
        <v>36</v>
      </c>
      <c r="F4" s="5" t="s">
        <v>37</v>
      </c>
      <c r="G4" s="5" t="s">
        <v>53</v>
      </c>
      <c r="H4" s="5" t="s">
        <v>54</v>
      </c>
      <c r="I4" s="5" t="s">
        <v>55</v>
      </c>
      <c r="J4" s="5" t="s">
        <v>56</v>
      </c>
      <c r="K4" s="5" t="s">
        <v>42</v>
      </c>
      <c r="L4" s="5" t="s">
        <v>57</v>
      </c>
      <c r="M4" s="5"/>
      <c r="N4" s="5" t="s">
        <v>44</v>
      </c>
      <c r="O4" s="5" t="s">
        <v>45</v>
      </c>
    </row>
    <row r="5" customFormat="false" ht="35.05" hidden="false" customHeight="false" outlineLevel="0" collapsed="false">
      <c r="A5" s="5" t="s">
        <v>58</v>
      </c>
      <c r="B5" s="5" t="s">
        <v>33</v>
      </c>
      <c r="C5" s="5" t="s">
        <v>34</v>
      </c>
      <c r="D5" s="5" t="s">
        <v>59</v>
      </c>
      <c r="E5" s="5" t="s">
        <v>60</v>
      </c>
      <c r="F5" s="5" t="s">
        <v>61</v>
      </c>
      <c r="G5" s="5" t="s">
        <v>62</v>
      </c>
      <c r="H5" s="5" t="s">
        <v>63</v>
      </c>
      <c r="I5" s="5" t="s">
        <v>64</v>
      </c>
      <c r="J5" s="5" t="s">
        <v>65</v>
      </c>
      <c r="K5" s="5" t="s">
        <v>42</v>
      </c>
      <c r="L5" s="5" t="s">
        <v>66</v>
      </c>
      <c r="M5" s="5"/>
      <c r="N5" s="5" t="s">
        <v>67</v>
      </c>
      <c r="O5" s="5" t="s">
        <v>45</v>
      </c>
    </row>
    <row r="6" customFormat="false" ht="46.25" hidden="false" customHeight="false" outlineLevel="0" collapsed="false">
      <c r="A6" s="5" t="s">
        <v>68</v>
      </c>
      <c r="B6" s="5" t="s">
        <v>33</v>
      </c>
      <c r="C6" s="5" t="s">
        <v>34</v>
      </c>
      <c r="D6" s="5" t="s">
        <v>59</v>
      </c>
      <c r="E6" s="5" t="s">
        <v>60</v>
      </c>
      <c r="F6" s="5" t="s">
        <v>61</v>
      </c>
      <c r="G6" s="5" t="s">
        <v>69</v>
      </c>
      <c r="H6" s="5" t="s">
        <v>70</v>
      </c>
      <c r="I6" s="5" t="s">
        <v>71</v>
      </c>
      <c r="J6" s="5" t="s">
        <v>72</v>
      </c>
      <c r="K6" s="5" t="s">
        <v>73</v>
      </c>
      <c r="L6" s="5" t="s">
        <v>74</v>
      </c>
      <c r="M6" s="5"/>
      <c r="N6" s="5" t="s">
        <v>67</v>
      </c>
      <c r="O6" s="5" t="s">
        <v>45</v>
      </c>
    </row>
    <row r="7" customFormat="false" ht="46.25" hidden="false" customHeight="false" outlineLevel="0" collapsed="false">
      <c r="A7" s="5" t="s">
        <v>75</v>
      </c>
      <c r="B7" s="5" t="s">
        <v>33</v>
      </c>
      <c r="C7" s="5" t="s">
        <v>34</v>
      </c>
      <c r="D7" s="5" t="s">
        <v>59</v>
      </c>
      <c r="E7" s="5" t="s">
        <v>60</v>
      </c>
      <c r="F7" s="5" t="s">
        <v>61</v>
      </c>
      <c r="G7" s="5" t="s">
        <v>76</v>
      </c>
      <c r="H7" s="5" t="s">
        <v>77</v>
      </c>
      <c r="I7" s="5" t="s">
        <v>78</v>
      </c>
      <c r="J7" s="5" t="s">
        <v>79</v>
      </c>
      <c r="K7" s="5" t="s">
        <v>73</v>
      </c>
      <c r="L7" s="5" t="s">
        <v>80</v>
      </c>
      <c r="M7" s="5"/>
      <c r="N7" s="5" t="s">
        <v>67</v>
      </c>
      <c r="O7" s="5" t="s">
        <v>45</v>
      </c>
    </row>
    <row r="8" customFormat="false" ht="35.05" hidden="false" customHeight="false" outlineLevel="0" collapsed="false">
      <c r="A8" s="5" t="s">
        <v>81</v>
      </c>
      <c r="B8" s="5" t="s">
        <v>33</v>
      </c>
      <c r="C8" s="5" t="s">
        <v>82</v>
      </c>
      <c r="D8" s="5" t="s">
        <v>83</v>
      </c>
      <c r="E8" s="5" t="s">
        <v>84</v>
      </c>
      <c r="F8" s="5" t="s">
        <v>85</v>
      </c>
      <c r="G8" s="5" t="s">
        <v>86</v>
      </c>
      <c r="H8" s="5" t="s">
        <v>87</v>
      </c>
      <c r="I8" s="5" t="s">
        <v>88</v>
      </c>
      <c r="J8" s="5" t="s">
        <v>89</v>
      </c>
      <c r="K8" s="5" t="s">
        <v>73</v>
      </c>
      <c r="L8" s="5" t="s">
        <v>90</v>
      </c>
      <c r="M8" s="5"/>
      <c r="N8" s="5" t="s">
        <v>91</v>
      </c>
      <c r="O8" s="5" t="s">
        <v>45</v>
      </c>
    </row>
    <row r="9" customFormat="false" ht="35.05" hidden="false" customHeight="false" outlineLevel="0" collapsed="false">
      <c r="A9" s="5" t="s">
        <v>92</v>
      </c>
      <c r="B9" s="5" t="s">
        <v>33</v>
      </c>
      <c r="C9" s="5" t="s">
        <v>82</v>
      </c>
      <c r="D9" s="5" t="s">
        <v>83</v>
      </c>
      <c r="E9" s="5" t="s">
        <v>84</v>
      </c>
      <c r="F9" s="5" t="s">
        <v>85</v>
      </c>
      <c r="G9" s="5" t="s">
        <v>93</v>
      </c>
      <c r="H9" s="5" t="s">
        <v>94</v>
      </c>
      <c r="I9" s="5" t="s">
        <v>95</v>
      </c>
      <c r="J9" s="5" t="s">
        <v>96</v>
      </c>
      <c r="K9" s="5" t="s">
        <v>97</v>
      </c>
      <c r="L9" s="5" t="s">
        <v>98</v>
      </c>
      <c r="M9" s="5"/>
      <c r="N9" s="5" t="s">
        <v>91</v>
      </c>
      <c r="O9" s="5" t="s">
        <v>45</v>
      </c>
    </row>
    <row r="10" customFormat="false" ht="35.05" hidden="false" customHeight="false" outlineLevel="0" collapsed="false">
      <c r="A10" s="5" t="s">
        <v>99</v>
      </c>
      <c r="B10" s="5" t="s">
        <v>33</v>
      </c>
      <c r="C10" s="5" t="s">
        <v>82</v>
      </c>
      <c r="D10" s="5" t="s">
        <v>83</v>
      </c>
      <c r="E10" s="5" t="s">
        <v>84</v>
      </c>
      <c r="F10" s="5" t="s">
        <v>85</v>
      </c>
      <c r="G10" s="5" t="s">
        <v>100</v>
      </c>
      <c r="H10" s="5" t="s">
        <v>101</v>
      </c>
      <c r="I10" s="5" t="s">
        <v>102</v>
      </c>
      <c r="J10" s="5" t="s">
        <v>103</v>
      </c>
      <c r="K10" s="5" t="s">
        <v>42</v>
      </c>
      <c r="L10" s="5" t="s">
        <v>104</v>
      </c>
      <c r="M10" s="5"/>
      <c r="N10" s="5" t="s">
        <v>91</v>
      </c>
      <c r="O10" s="5" t="s">
        <v>45</v>
      </c>
    </row>
    <row r="11" customFormat="false" ht="35.05" hidden="false" customHeight="false" outlineLevel="0" collapsed="false">
      <c r="A11" s="5" t="s">
        <v>105</v>
      </c>
      <c r="B11" s="5" t="s">
        <v>33</v>
      </c>
      <c r="C11" s="5" t="s">
        <v>106</v>
      </c>
      <c r="D11" s="5" t="s">
        <v>107</v>
      </c>
      <c r="E11" s="5" t="s">
        <v>108</v>
      </c>
      <c r="F11" s="5" t="s">
        <v>109</v>
      </c>
      <c r="G11" s="5" t="s">
        <v>110</v>
      </c>
      <c r="H11" s="5" t="s">
        <v>111</v>
      </c>
      <c r="I11" s="5" t="s">
        <v>112</v>
      </c>
      <c r="J11" s="5" t="s">
        <v>113</v>
      </c>
      <c r="K11" s="5" t="s">
        <v>97</v>
      </c>
      <c r="L11" s="5" t="s">
        <v>114</v>
      </c>
      <c r="M11" s="5"/>
      <c r="N11" s="5" t="s">
        <v>115</v>
      </c>
      <c r="O11" s="5" t="s">
        <v>45</v>
      </c>
    </row>
    <row r="12" customFormat="false" ht="35.05" hidden="false" customHeight="false" outlineLevel="0" collapsed="false">
      <c r="A12" s="5" t="s">
        <v>116</v>
      </c>
      <c r="B12" s="5" t="s">
        <v>33</v>
      </c>
      <c r="C12" s="5" t="s">
        <v>106</v>
      </c>
      <c r="D12" s="5" t="s">
        <v>107</v>
      </c>
      <c r="E12" s="5" t="s">
        <v>108</v>
      </c>
      <c r="F12" s="5" t="s">
        <v>109</v>
      </c>
      <c r="G12" s="5" t="s">
        <v>117</v>
      </c>
      <c r="H12" s="5" t="s">
        <v>118</v>
      </c>
      <c r="I12" s="5" t="s">
        <v>119</v>
      </c>
      <c r="J12" s="5" t="s">
        <v>120</v>
      </c>
      <c r="K12" s="5" t="s">
        <v>42</v>
      </c>
      <c r="L12" s="5" t="s">
        <v>121</v>
      </c>
      <c r="M12" s="5"/>
      <c r="N12" s="5" t="s">
        <v>115</v>
      </c>
      <c r="O12" s="5" t="s">
        <v>45</v>
      </c>
    </row>
    <row r="13" customFormat="false" ht="35.05" hidden="false" customHeight="false" outlineLevel="0" collapsed="false">
      <c r="A13" s="5" t="s">
        <v>122</v>
      </c>
      <c r="B13" s="5" t="s">
        <v>33</v>
      </c>
      <c r="C13" s="5" t="s">
        <v>106</v>
      </c>
      <c r="D13" s="5" t="s">
        <v>107</v>
      </c>
      <c r="E13" s="5" t="s">
        <v>108</v>
      </c>
      <c r="F13" s="5" t="s">
        <v>109</v>
      </c>
      <c r="G13" s="5" t="s">
        <v>123</v>
      </c>
      <c r="H13" s="5" t="s">
        <v>124</v>
      </c>
      <c r="I13" s="5" t="s">
        <v>125</v>
      </c>
      <c r="J13" s="5" t="s">
        <v>126</v>
      </c>
      <c r="K13" s="5" t="s">
        <v>97</v>
      </c>
      <c r="L13" s="5" t="s">
        <v>127</v>
      </c>
      <c r="M13" s="5"/>
      <c r="N13" s="5" t="s">
        <v>115</v>
      </c>
      <c r="O13" s="5" t="s">
        <v>45</v>
      </c>
    </row>
    <row r="14" customFormat="false" ht="46.25" hidden="false" customHeight="false" outlineLevel="0" collapsed="false">
      <c r="A14" s="5" t="s">
        <v>128</v>
      </c>
      <c r="B14" s="5" t="s">
        <v>33</v>
      </c>
      <c r="C14" s="5" t="s">
        <v>129</v>
      </c>
      <c r="D14" s="5" t="s">
        <v>130</v>
      </c>
      <c r="E14" s="5" t="s">
        <v>131</v>
      </c>
      <c r="F14" s="5" t="s">
        <v>132</v>
      </c>
      <c r="G14" s="5" t="s">
        <v>133</v>
      </c>
      <c r="H14" s="5" t="s">
        <v>134</v>
      </c>
      <c r="I14" s="5" t="s">
        <v>135</v>
      </c>
      <c r="J14" s="5" t="s">
        <v>136</v>
      </c>
      <c r="K14" s="5" t="s">
        <v>73</v>
      </c>
      <c r="L14" s="5" t="s">
        <v>137</v>
      </c>
      <c r="M14" s="5"/>
      <c r="N14" s="5" t="s">
        <v>138</v>
      </c>
      <c r="O14" s="5" t="s">
        <v>45</v>
      </c>
    </row>
    <row r="15" customFormat="false" ht="46.25" hidden="false" customHeight="false" outlineLevel="0" collapsed="false">
      <c r="A15" s="5" t="s">
        <v>139</v>
      </c>
      <c r="B15" s="5" t="s">
        <v>33</v>
      </c>
      <c r="C15" s="5" t="s">
        <v>129</v>
      </c>
      <c r="D15" s="5" t="s">
        <v>130</v>
      </c>
      <c r="E15" s="5" t="s">
        <v>131</v>
      </c>
      <c r="F15" s="5" t="s">
        <v>132</v>
      </c>
      <c r="G15" s="5" t="s">
        <v>140</v>
      </c>
      <c r="H15" s="5" t="s">
        <v>141</v>
      </c>
      <c r="I15" s="5" t="s">
        <v>142</v>
      </c>
      <c r="J15" s="5" t="s">
        <v>143</v>
      </c>
      <c r="K15" s="5" t="s">
        <v>97</v>
      </c>
      <c r="L15" s="5" t="s">
        <v>144</v>
      </c>
      <c r="M15" s="5"/>
      <c r="N15" s="5" t="s">
        <v>138</v>
      </c>
      <c r="O15" s="5" t="s">
        <v>45</v>
      </c>
    </row>
    <row r="16" customFormat="false" ht="46.25" hidden="false" customHeight="false" outlineLevel="0" collapsed="false">
      <c r="A16" s="5" t="s">
        <v>145</v>
      </c>
      <c r="B16" s="5" t="s">
        <v>33</v>
      </c>
      <c r="C16" s="5" t="s">
        <v>129</v>
      </c>
      <c r="D16" s="5" t="s">
        <v>130</v>
      </c>
      <c r="E16" s="5" t="s">
        <v>131</v>
      </c>
      <c r="F16" s="5" t="s">
        <v>132</v>
      </c>
      <c r="G16" s="5" t="s">
        <v>146</v>
      </c>
      <c r="H16" s="5" t="s">
        <v>147</v>
      </c>
      <c r="I16" s="5" t="s">
        <v>148</v>
      </c>
      <c r="J16" s="5" t="s">
        <v>149</v>
      </c>
      <c r="K16" s="5" t="s">
        <v>73</v>
      </c>
      <c r="L16" s="5" t="s">
        <v>150</v>
      </c>
      <c r="M16" s="5"/>
      <c r="N16" s="5" t="s">
        <v>138</v>
      </c>
      <c r="O16" s="5" t="s">
        <v>45</v>
      </c>
    </row>
    <row r="17" customFormat="false" ht="46.25" hidden="false" customHeight="false" outlineLevel="0" collapsed="false">
      <c r="A17" s="5" t="s">
        <v>151</v>
      </c>
      <c r="B17" s="5" t="s">
        <v>33</v>
      </c>
      <c r="C17" s="5" t="s">
        <v>152</v>
      </c>
      <c r="D17" s="5" t="s">
        <v>153</v>
      </c>
      <c r="E17" s="5" t="s">
        <v>154</v>
      </c>
      <c r="F17" s="5" t="s">
        <v>155</v>
      </c>
      <c r="G17" s="5" t="s">
        <v>156</v>
      </c>
      <c r="H17" s="5" t="s">
        <v>157</v>
      </c>
      <c r="I17" s="5" t="s">
        <v>158</v>
      </c>
      <c r="J17" s="5" t="s">
        <v>159</v>
      </c>
      <c r="K17" s="5" t="s">
        <v>42</v>
      </c>
      <c r="L17" s="5" t="s">
        <v>160</v>
      </c>
      <c r="M17" s="5"/>
      <c r="N17" s="5" t="s">
        <v>161</v>
      </c>
      <c r="O17" s="5" t="s">
        <v>45</v>
      </c>
    </row>
    <row r="18" customFormat="false" ht="46.25" hidden="false" customHeight="false" outlineLevel="0" collapsed="false">
      <c r="A18" s="5" t="s">
        <v>162</v>
      </c>
      <c r="B18" s="5" t="s">
        <v>33</v>
      </c>
      <c r="C18" s="5" t="s">
        <v>152</v>
      </c>
      <c r="D18" s="5" t="s">
        <v>153</v>
      </c>
      <c r="E18" s="5" t="s">
        <v>154</v>
      </c>
      <c r="F18" s="5" t="s">
        <v>155</v>
      </c>
      <c r="G18" s="5" t="s">
        <v>163</v>
      </c>
      <c r="H18" s="5" t="s">
        <v>164</v>
      </c>
      <c r="I18" s="5" t="s">
        <v>165</v>
      </c>
      <c r="J18" s="5" t="s">
        <v>166</v>
      </c>
      <c r="K18" s="5" t="s">
        <v>97</v>
      </c>
      <c r="L18" s="5" t="s">
        <v>167</v>
      </c>
      <c r="M18" s="5"/>
      <c r="N18" s="5" t="s">
        <v>161</v>
      </c>
      <c r="O18" s="5" t="s">
        <v>45</v>
      </c>
    </row>
    <row r="19" customFormat="false" ht="46.25" hidden="false" customHeight="false" outlineLevel="0" collapsed="false">
      <c r="A19" s="5" t="s">
        <v>168</v>
      </c>
      <c r="B19" s="5" t="s">
        <v>33</v>
      </c>
      <c r="C19" s="5" t="s">
        <v>152</v>
      </c>
      <c r="D19" s="5" t="s">
        <v>153</v>
      </c>
      <c r="E19" s="5" t="s">
        <v>154</v>
      </c>
      <c r="F19" s="5" t="s">
        <v>155</v>
      </c>
      <c r="G19" s="5" t="s">
        <v>169</v>
      </c>
      <c r="H19" s="5" t="s">
        <v>170</v>
      </c>
      <c r="I19" s="5" t="s">
        <v>171</v>
      </c>
      <c r="J19" s="5" t="s">
        <v>172</v>
      </c>
      <c r="K19" s="5" t="s">
        <v>73</v>
      </c>
      <c r="L19" s="5" t="s">
        <v>173</v>
      </c>
      <c r="M19" s="5"/>
      <c r="N19" s="5" t="s">
        <v>161</v>
      </c>
      <c r="O19" s="5" t="s">
        <v>45</v>
      </c>
    </row>
    <row r="20" customFormat="false" ht="57.45" hidden="false" customHeight="false" outlineLevel="0" collapsed="false">
      <c r="A20" s="5" t="s">
        <v>174</v>
      </c>
      <c r="B20" s="5" t="s">
        <v>175</v>
      </c>
      <c r="C20" s="5" t="s">
        <v>176</v>
      </c>
      <c r="D20" s="5" t="s">
        <v>177</v>
      </c>
      <c r="E20" s="5" t="s">
        <v>178</v>
      </c>
      <c r="F20" s="5" t="s">
        <v>179</v>
      </c>
      <c r="G20" s="5" t="s">
        <v>180</v>
      </c>
      <c r="H20" s="5" t="s">
        <v>181</v>
      </c>
      <c r="I20" s="5" t="s">
        <v>182</v>
      </c>
      <c r="J20" s="5" t="s">
        <v>183</v>
      </c>
      <c r="K20" s="5" t="s">
        <v>42</v>
      </c>
      <c r="L20" s="5" t="s">
        <v>184</v>
      </c>
      <c r="M20" s="5"/>
      <c r="N20" s="5" t="s">
        <v>185</v>
      </c>
      <c r="O20" s="5" t="s">
        <v>45</v>
      </c>
    </row>
    <row r="21" customFormat="false" ht="57.45" hidden="false" customHeight="false" outlineLevel="0" collapsed="false">
      <c r="A21" s="5" t="s">
        <v>186</v>
      </c>
      <c r="B21" s="5" t="s">
        <v>175</v>
      </c>
      <c r="C21" s="5" t="s">
        <v>176</v>
      </c>
      <c r="D21" s="5" t="s">
        <v>177</v>
      </c>
      <c r="E21" s="5" t="s">
        <v>178</v>
      </c>
      <c r="F21" s="5" t="s">
        <v>179</v>
      </c>
      <c r="G21" s="5" t="s">
        <v>187</v>
      </c>
      <c r="H21" s="5" t="s">
        <v>188</v>
      </c>
      <c r="I21" s="5" t="s">
        <v>189</v>
      </c>
      <c r="J21" s="5" t="s">
        <v>190</v>
      </c>
      <c r="K21" s="5" t="s">
        <v>97</v>
      </c>
      <c r="L21" s="5" t="s">
        <v>191</v>
      </c>
      <c r="M21" s="5"/>
      <c r="N21" s="5" t="s">
        <v>185</v>
      </c>
      <c r="O21" s="5" t="s">
        <v>45</v>
      </c>
    </row>
    <row r="22" customFormat="false" ht="57.45" hidden="false" customHeight="false" outlineLevel="0" collapsed="false">
      <c r="A22" s="5" t="s">
        <v>192</v>
      </c>
      <c r="B22" s="5" t="s">
        <v>175</v>
      </c>
      <c r="C22" s="5" t="s">
        <v>176</v>
      </c>
      <c r="D22" s="5" t="s">
        <v>177</v>
      </c>
      <c r="E22" s="5" t="s">
        <v>178</v>
      </c>
      <c r="F22" s="5" t="s">
        <v>179</v>
      </c>
      <c r="G22" s="5" t="s">
        <v>193</v>
      </c>
      <c r="H22" s="5" t="s">
        <v>194</v>
      </c>
      <c r="I22" s="5" t="s">
        <v>195</v>
      </c>
      <c r="J22" s="5" t="s">
        <v>196</v>
      </c>
      <c r="K22" s="5" t="s">
        <v>97</v>
      </c>
      <c r="L22" s="5" t="s">
        <v>197</v>
      </c>
      <c r="M22" s="5"/>
      <c r="N22" s="5" t="s">
        <v>185</v>
      </c>
      <c r="O22" s="5" t="s">
        <v>45</v>
      </c>
    </row>
    <row r="23" customFormat="false" ht="46.25" hidden="false" customHeight="false" outlineLevel="0" collapsed="false">
      <c r="A23" s="5" t="s">
        <v>198</v>
      </c>
      <c r="B23" s="5" t="s">
        <v>175</v>
      </c>
      <c r="C23" s="5" t="s">
        <v>199</v>
      </c>
      <c r="D23" s="5" t="s">
        <v>200</v>
      </c>
      <c r="E23" s="5" t="s">
        <v>201</v>
      </c>
      <c r="F23" s="5" t="s">
        <v>202</v>
      </c>
      <c r="G23" s="5" t="s">
        <v>203</v>
      </c>
      <c r="H23" s="5" t="s">
        <v>204</v>
      </c>
      <c r="I23" s="5" t="s">
        <v>205</v>
      </c>
      <c r="J23" s="5" t="s">
        <v>206</v>
      </c>
      <c r="K23" s="5" t="s">
        <v>42</v>
      </c>
      <c r="L23" s="5" t="s">
        <v>207</v>
      </c>
      <c r="M23" s="5"/>
      <c r="N23" s="5" t="s">
        <v>208</v>
      </c>
      <c r="O23" s="5" t="s">
        <v>45</v>
      </c>
    </row>
    <row r="24" customFormat="false" ht="46.25" hidden="false" customHeight="false" outlineLevel="0" collapsed="false">
      <c r="A24" s="5" t="s">
        <v>209</v>
      </c>
      <c r="B24" s="5" t="s">
        <v>175</v>
      </c>
      <c r="C24" s="5" t="s">
        <v>199</v>
      </c>
      <c r="D24" s="5" t="s">
        <v>200</v>
      </c>
      <c r="E24" s="5" t="s">
        <v>201</v>
      </c>
      <c r="F24" s="5" t="s">
        <v>202</v>
      </c>
      <c r="G24" s="5" t="s">
        <v>210</v>
      </c>
      <c r="H24" s="5" t="s">
        <v>211</v>
      </c>
      <c r="I24" s="5" t="s">
        <v>212</v>
      </c>
      <c r="J24" s="5" t="s">
        <v>213</v>
      </c>
      <c r="K24" s="5" t="s">
        <v>42</v>
      </c>
      <c r="L24" s="5" t="s">
        <v>214</v>
      </c>
      <c r="M24" s="5"/>
      <c r="N24" s="5" t="s">
        <v>208</v>
      </c>
      <c r="O24" s="5" t="s">
        <v>45</v>
      </c>
    </row>
    <row r="25" customFormat="false" ht="46.25" hidden="false" customHeight="false" outlineLevel="0" collapsed="false">
      <c r="A25" s="5" t="s">
        <v>215</v>
      </c>
      <c r="B25" s="5" t="s">
        <v>175</v>
      </c>
      <c r="C25" s="5" t="s">
        <v>199</v>
      </c>
      <c r="D25" s="5" t="s">
        <v>200</v>
      </c>
      <c r="E25" s="5" t="s">
        <v>201</v>
      </c>
      <c r="F25" s="5" t="s">
        <v>202</v>
      </c>
      <c r="G25" s="5" t="s">
        <v>216</v>
      </c>
      <c r="H25" s="5" t="s">
        <v>217</v>
      </c>
      <c r="I25" s="5" t="s">
        <v>218</v>
      </c>
      <c r="J25" s="5" t="s">
        <v>219</v>
      </c>
      <c r="K25" s="5" t="s">
        <v>97</v>
      </c>
      <c r="L25" s="5" t="s">
        <v>220</v>
      </c>
      <c r="M25" s="5"/>
      <c r="N25" s="5" t="s">
        <v>208</v>
      </c>
      <c r="O25" s="5" t="s">
        <v>45</v>
      </c>
    </row>
    <row r="26" customFormat="false" ht="35.05" hidden="false" customHeight="false" outlineLevel="0" collapsed="false">
      <c r="A26" s="5" t="s">
        <v>221</v>
      </c>
      <c r="B26" s="5" t="s">
        <v>175</v>
      </c>
      <c r="C26" s="5" t="s">
        <v>222</v>
      </c>
      <c r="D26" s="5" t="s">
        <v>223</v>
      </c>
      <c r="E26" s="5" t="s">
        <v>224</v>
      </c>
      <c r="F26" s="5" t="s">
        <v>225</v>
      </c>
      <c r="G26" s="5" t="s">
        <v>226</v>
      </c>
      <c r="H26" s="5" t="s">
        <v>227</v>
      </c>
      <c r="I26" s="5" t="s">
        <v>228</v>
      </c>
      <c r="J26" s="5" t="s">
        <v>229</v>
      </c>
      <c r="K26" s="5" t="s">
        <v>73</v>
      </c>
      <c r="L26" s="5" t="s">
        <v>230</v>
      </c>
      <c r="M26" s="5"/>
      <c r="N26" s="5" t="s">
        <v>231</v>
      </c>
      <c r="O26" s="5" t="s">
        <v>45</v>
      </c>
    </row>
    <row r="27" customFormat="false" ht="35.05" hidden="false" customHeight="false" outlineLevel="0" collapsed="false">
      <c r="A27" s="5" t="s">
        <v>232</v>
      </c>
      <c r="B27" s="5" t="s">
        <v>175</v>
      </c>
      <c r="C27" s="5" t="s">
        <v>222</v>
      </c>
      <c r="D27" s="5" t="s">
        <v>223</v>
      </c>
      <c r="E27" s="5" t="s">
        <v>224</v>
      </c>
      <c r="F27" s="5" t="s">
        <v>225</v>
      </c>
      <c r="G27" s="5" t="s">
        <v>233</v>
      </c>
      <c r="H27" s="5" t="s">
        <v>234</v>
      </c>
      <c r="I27" s="5" t="s">
        <v>235</v>
      </c>
      <c r="J27" s="5" t="s">
        <v>236</v>
      </c>
      <c r="K27" s="5" t="s">
        <v>97</v>
      </c>
      <c r="L27" s="5" t="s">
        <v>237</v>
      </c>
      <c r="M27" s="5"/>
      <c r="N27" s="5" t="s">
        <v>231</v>
      </c>
      <c r="O27" s="5" t="s">
        <v>45</v>
      </c>
    </row>
    <row r="28" customFormat="false" ht="35.05" hidden="false" customHeight="false" outlineLevel="0" collapsed="false">
      <c r="A28" s="5" t="s">
        <v>238</v>
      </c>
      <c r="B28" s="5" t="s">
        <v>175</v>
      </c>
      <c r="C28" s="5" t="s">
        <v>222</v>
      </c>
      <c r="D28" s="5" t="s">
        <v>223</v>
      </c>
      <c r="E28" s="5" t="s">
        <v>224</v>
      </c>
      <c r="F28" s="5" t="s">
        <v>225</v>
      </c>
      <c r="G28" s="5" t="s">
        <v>239</v>
      </c>
      <c r="H28" s="5" t="s">
        <v>240</v>
      </c>
      <c r="I28" s="5" t="s">
        <v>241</v>
      </c>
      <c r="J28" s="5" t="s">
        <v>242</v>
      </c>
      <c r="K28" s="5" t="s">
        <v>97</v>
      </c>
      <c r="L28" s="5" t="s">
        <v>243</v>
      </c>
      <c r="M28" s="5"/>
      <c r="N28" s="5" t="s">
        <v>231</v>
      </c>
      <c r="O28" s="5" t="s">
        <v>45</v>
      </c>
    </row>
    <row r="29" customFormat="false" ht="46.25" hidden="false" customHeight="false" outlineLevel="0" collapsed="false">
      <c r="A29" s="5" t="s">
        <v>244</v>
      </c>
      <c r="B29" s="5" t="s">
        <v>175</v>
      </c>
      <c r="C29" s="5" t="s">
        <v>245</v>
      </c>
      <c r="D29" s="5" t="s">
        <v>246</v>
      </c>
      <c r="E29" s="5" t="s">
        <v>247</v>
      </c>
      <c r="F29" s="5" t="s">
        <v>248</v>
      </c>
      <c r="G29" s="5" t="s">
        <v>249</v>
      </c>
      <c r="H29" s="5" t="s">
        <v>250</v>
      </c>
      <c r="I29" s="5" t="s">
        <v>251</v>
      </c>
      <c r="J29" s="5" t="s">
        <v>252</v>
      </c>
      <c r="K29" s="5" t="s">
        <v>97</v>
      </c>
      <c r="L29" s="5" t="s">
        <v>253</v>
      </c>
      <c r="M29" s="5"/>
      <c r="N29" s="5" t="s">
        <v>254</v>
      </c>
      <c r="O29" s="5" t="s">
        <v>45</v>
      </c>
    </row>
    <row r="30" customFormat="false" ht="46.25" hidden="false" customHeight="false" outlineLevel="0" collapsed="false">
      <c r="A30" s="5" t="s">
        <v>255</v>
      </c>
      <c r="B30" s="5" t="s">
        <v>175</v>
      </c>
      <c r="C30" s="5" t="s">
        <v>245</v>
      </c>
      <c r="D30" s="5" t="s">
        <v>246</v>
      </c>
      <c r="E30" s="5" t="s">
        <v>247</v>
      </c>
      <c r="F30" s="5" t="s">
        <v>248</v>
      </c>
      <c r="G30" s="5" t="s">
        <v>256</v>
      </c>
      <c r="H30" s="5" t="s">
        <v>257</v>
      </c>
      <c r="I30" s="5" t="s">
        <v>258</v>
      </c>
      <c r="J30" s="5" t="s">
        <v>259</v>
      </c>
      <c r="K30" s="5" t="s">
        <v>42</v>
      </c>
      <c r="L30" s="5" t="s">
        <v>260</v>
      </c>
      <c r="M30" s="5"/>
      <c r="N30" s="5" t="s">
        <v>254</v>
      </c>
      <c r="O30" s="5" t="s">
        <v>45</v>
      </c>
    </row>
    <row r="31" customFormat="false" ht="46.25" hidden="false" customHeight="false" outlineLevel="0" collapsed="false">
      <c r="A31" s="5" t="s">
        <v>261</v>
      </c>
      <c r="B31" s="5" t="s">
        <v>175</v>
      </c>
      <c r="C31" s="5" t="s">
        <v>245</v>
      </c>
      <c r="D31" s="5" t="s">
        <v>246</v>
      </c>
      <c r="E31" s="5" t="s">
        <v>247</v>
      </c>
      <c r="F31" s="5" t="s">
        <v>248</v>
      </c>
      <c r="G31" s="5" t="s">
        <v>262</v>
      </c>
      <c r="H31" s="5" t="s">
        <v>263</v>
      </c>
      <c r="I31" s="5" t="s">
        <v>264</v>
      </c>
      <c r="J31" s="5" t="s">
        <v>265</v>
      </c>
      <c r="K31" s="5" t="s">
        <v>73</v>
      </c>
      <c r="L31" s="5" t="s">
        <v>266</v>
      </c>
      <c r="M31" s="5"/>
      <c r="N31" s="5" t="s">
        <v>254</v>
      </c>
      <c r="O31" s="5" t="s">
        <v>45</v>
      </c>
    </row>
    <row r="32" customFormat="false" ht="46.25" hidden="false" customHeight="false" outlineLevel="0" collapsed="false">
      <c r="A32" s="5" t="s">
        <v>267</v>
      </c>
      <c r="B32" s="5" t="s">
        <v>175</v>
      </c>
      <c r="C32" s="5" t="s">
        <v>268</v>
      </c>
      <c r="D32" s="5" t="s">
        <v>269</v>
      </c>
      <c r="E32" s="5" t="s">
        <v>270</v>
      </c>
      <c r="F32" s="5" t="s">
        <v>271</v>
      </c>
      <c r="G32" s="5" t="s">
        <v>272</v>
      </c>
      <c r="H32" s="5" t="s">
        <v>273</v>
      </c>
      <c r="I32" s="5" t="s">
        <v>274</v>
      </c>
      <c r="J32" s="5" t="s">
        <v>275</v>
      </c>
      <c r="K32" s="5" t="s">
        <v>73</v>
      </c>
      <c r="L32" s="5" t="s">
        <v>276</v>
      </c>
      <c r="M32" s="5"/>
      <c r="N32" s="5" t="s">
        <v>277</v>
      </c>
      <c r="O32" s="5" t="s">
        <v>45</v>
      </c>
    </row>
    <row r="33" customFormat="false" ht="46.25" hidden="false" customHeight="false" outlineLevel="0" collapsed="false">
      <c r="A33" s="5" t="s">
        <v>278</v>
      </c>
      <c r="B33" s="5" t="s">
        <v>175</v>
      </c>
      <c r="C33" s="5" t="s">
        <v>268</v>
      </c>
      <c r="D33" s="5" t="s">
        <v>269</v>
      </c>
      <c r="E33" s="5" t="s">
        <v>270</v>
      </c>
      <c r="F33" s="5" t="s">
        <v>271</v>
      </c>
      <c r="G33" s="5" t="s">
        <v>279</v>
      </c>
      <c r="H33" s="5" t="s">
        <v>280</v>
      </c>
      <c r="I33" s="5" t="s">
        <v>281</v>
      </c>
      <c r="J33" s="5" t="s">
        <v>282</v>
      </c>
      <c r="K33" s="5" t="s">
        <v>73</v>
      </c>
      <c r="L33" s="5" t="s">
        <v>283</v>
      </c>
      <c r="M33" s="5"/>
      <c r="N33" s="5" t="s">
        <v>277</v>
      </c>
      <c r="O33" s="5" t="s">
        <v>45</v>
      </c>
    </row>
    <row r="34" customFormat="false" ht="46.25" hidden="false" customHeight="false" outlineLevel="0" collapsed="false">
      <c r="A34" s="5" t="s">
        <v>284</v>
      </c>
      <c r="B34" s="5" t="s">
        <v>175</v>
      </c>
      <c r="C34" s="5" t="s">
        <v>268</v>
      </c>
      <c r="D34" s="5" t="s">
        <v>269</v>
      </c>
      <c r="E34" s="5" t="s">
        <v>270</v>
      </c>
      <c r="F34" s="5" t="s">
        <v>271</v>
      </c>
      <c r="G34" s="5" t="s">
        <v>285</v>
      </c>
      <c r="H34" s="5" t="s">
        <v>286</v>
      </c>
      <c r="I34" s="5" t="s">
        <v>287</v>
      </c>
      <c r="J34" s="5" t="s">
        <v>288</v>
      </c>
      <c r="K34" s="5" t="s">
        <v>97</v>
      </c>
      <c r="L34" s="5" t="s">
        <v>289</v>
      </c>
      <c r="M34" s="5"/>
      <c r="N34" s="5" t="s">
        <v>277</v>
      </c>
      <c r="O34" s="5" t="s">
        <v>45</v>
      </c>
    </row>
    <row r="35" customFormat="false" ht="35.05" hidden="false" customHeight="false" outlineLevel="0" collapsed="false">
      <c r="A35" s="5" t="s">
        <v>290</v>
      </c>
      <c r="B35" s="5" t="s">
        <v>175</v>
      </c>
      <c r="C35" s="5" t="s">
        <v>291</v>
      </c>
      <c r="D35" s="5" t="s">
        <v>292</v>
      </c>
      <c r="E35" s="5" t="s">
        <v>293</v>
      </c>
      <c r="F35" s="5" t="s">
        <v>294</v>
      </c>
      <c r="G35" s="5" t="s">
        <v>295</v>
      </c>
      <c r="H35" s="5" t="s">
        <v>296</v>
      </c>
      <c r="I35" s="5" t="s">
        <v>297</v>
      </c>
      <c r="J35" s="5" t="s">
        <v>298</v>
      </c>
      <c r="K35" s="5" t="s">
        <v>42</v>
      </c>
      <c r="L35" s="5" t="s">
        <v>299</v>
      </c>
      <c r="M35" s="5"/>
      <c r="N35" s="5" t="s">
        <v>300</v>
      </c>
      <c r="O35" s="5" t="s">
        <v>45</v>
      </c>
    </row>
    <row r="36" customFormat="false" ht="35.05" hidden="false" customHeight="false" outlineLevel="0" collapsed="false">
      <c r="A36" s="5" t="s">
        <v>301</v>
      </c>
      <c r="B36" s="5" t="s">
        <v>175</v>
      </c>
      <c r="C36" s="5" t="s">
        <v>291</v>
      </c>
      <c r="D36" s="5" t="s">
        <v>292</v>
      </c>
      <c r="E36" s="5" t="s">
        <v>293</v>
      </c>
      <c r="F36" s="5" t="s">
        <v>294</v>
      </c>
      <c r="G36" s="5" t="s">
        <v>302</v>
      </c>
      <c r="H36" s="5" t="s">
        <v>303</v>
      </c>
      <c r="I36" s="5" t="s">
        <v>304</v>
      </c>
      <c r="J36" s="5" t="s">
        <v>305</v>
      </c>
      <c r="K36" s="5" t="s">
        <v>42</v>
      </c>
      <c r="L36" s="5" t="s">
        <v>306</v>
      </c>
      <c r="M36" s="5"/>
      <c r="N36" s="5" t="s">
        <v>300</v>
      </c>
      <c r="O36" s="5" t="s">
        <v>45</v>
      </c>
    </row>
    <row r="37" customFormat="false" ht="35.05" hidden="false" customHeight="false" outlineLevel="0" collapsed="false">
      <c r="A37" s="5" t="s">
        <v>307</v>
      </c>
      <c r="B37" s="5" t="s">
        <v>175</v>
      </c>
      <c r="C37" s="5" t="s">
        <v>291</v>
      </c>
      <c r="D37" s="5" t="s">
        <v>292</v>
      </c>
      <c r="E37" s="5" t="s">
        <v>293</v>
      </c>
      <c r="F37" s="5" t="s">
        <v>294</v>
      </c>
      <c r="G37" s="5" t="s">
        <v>308</v>
      </c>
      <c r="H37" s="5" t="s">
        <v>309</v>
      </c>
      <c r="I37" s="5" t="s">
        <v>310</v>
      </c>
      <c r="J37" s="5" t="s">
        <v>311</v>
      </c>
      <c r="K37" s="5" t="s">
        <v>42</v>
      </c>
      <c r="L37" s="5" t="s">
        <v>312</v>
      </c>
      <c r="M37" s="5"/>
      <c r="N37" s="5" t="s">
        <v>300</v>
      </c>
      <c r="O37" s="5" t="s">
        <v>45</v>
      </c>
    </row>
    <row r="38" customFormat="false" ht="46.25" hidden="false" customHeight="false" outlineLevel="0" collapsed="false">
      <c r="A38" s="5" t="s">
        <v>313</v>
      </c>
      <c r="B38" s="5" t="s">
        <v>314</v>
      </c>
      <c r="C38" s="5" t="s">
        <v>315</v>
      </c>
      <c r="D38" s="5" t="s">
        <v>316</v>
      </c>
      <c r="E38" s="5" t="s">
        <v>317</v>
      </c>
      <c r="F38" s="5" t="s">
        <v>318</v>
      </c>
      <c r="G38" s="5" t="s">
        <v>319</v>
      </c>
      <c r="H38" s="5" t="s">
        <v>320</v>
      </c>
      <c r="I38" s="5" t="s">
        <v>321</v>
      </c>
      <c r="J38" s="5" t="s">
        <v>322</v>
      </c>
      <c r="K38" s="5" t="s">
        <v>42</v>
      </c>
      <c r="L38" s="5" t="s">
        <v>323</v>
      </c>
      <c r="M38" s="5"/>
      <c r="N38" s="5" t="s">
        <v>324</v>
      </c>
      <c r="O38" s="5" t="s">
        <v>45</v>
      </c>
    </row>
    <row r="39" customFormat="false" ht="46.25" hidden="false" customHeight="false" outlineLevel="0" collapsed="false">
      <c r="A39" s="5" t="s">
        <v>325</v>
      </c>
      <c r="B39" s="5" t="s">
        <v>314</v>
      </c>
      <c r="C39" s="5" t="s">
        <v>315</v>
      </c>
      <c r="D39" s="5" t="s">
        <v>316</v>
      </c>
      <c r="E39" s="5" t="s">
        <v>317</v>
      </c>
      <c r="F39" s="5" t="s">
        <v>318</v>
      </c>
      <c r="G39" s="5" t="s">
        <v>326</v>
      </c>
      <c r="H39" s="5" t="s">
        <v>327</v>
      </c>
      <c r="I39" s="5" t="s">
        <v>328</v>
      </c>
      <c r="J39" s="5" t="s">
        <v>329</v>
      </c>
      <c r="K39" s="5" t="s">
        <v>42</v>
      </c>
      <c r="L39" s="5" t="s">
        <v>330</v>
      </c>
      <c r="M39" s="5"/>
      <c r="N39" s="5" t="s">
        <v>324</v>
      </c>
      <c r="O39" s="5" t="s">
        <v>45</v>
      </c>
    </row>
    <row r="40" customFormat="false" ht="46.25" hidden="false" customHeight="false" outlineLevel="0" collapsed="false">
      <c r="A40" s="5" t="s">
        <v>331</v>
      </c>
      <c r="B40" s="5" t="s">
        <v>314</v>
      </c>
      <c r="C40" s="5" t="s">
        <v>315</v>
      </c>
      <c r="D40" s="5" t="s">
        <v>316</v>
      </c>
      <c r="E40" s="5" t="s">
        <v>317</v>
      </c>
      <c r="F40" s="5" t="s">
        <v>318</v>
      </c>
      <c r="G40" s="5" t="s">
        <v>332</v>
      </c>
      <c r="H40" s="5" t="s">
        <v>333</v>
      </c>
      <c r="I40" s="5" t="s">
        <v>334</v>
      </c>
      <c r="J40" s="5" t="s">
        <v>335</v>
      </c>
      <c r="K40" s="5" t="s">
        <v>73</v>
      </c>
      <c r="L40" s="5" t="s">
        <v>336</v>
      </c>
      <c r="M40" s="5"/>
      <c r="N40" s="5" t="s">
        <v>324</v>
      </c>
      <c r="O40" s="5" t="s">
        <v>45</v>
      </c>
    </row>
    <row r="41" customFormat="false" ht="46.25" hidden="false" customHeight="false" outlineLevel="0" collapsed="false">
      <c r="A41" s="5" t="s">
        <v>337</v>
      </c>
      <c r="B41" s="5" t="s">
        <v>314</v>
      </c>
      <c r="C41" s="5" t="s">
        <v>338</v>
      </c>
      <c r="D41" s="5" t="s">
        <v>339</v>
      </c>
      <c r="E41" s="5" t="s">
        <v>340</v>
      </c>
      <c r="F41" s="5" t="s">
        <v>341</v>
      </c>
      <c r="G41" s="5" t="s">
        <v>342</v>
      </c>
      <c r="H41" s="5" t="s">
        <v>343</v>
      </c>
      <c r="I41" s="5" t="s">
        <v>344</v>
      </c>
      <c r="J41" s="5" t="s">
        <v>345</v>
      </c>
      <c r="K41" s="5" t="s">
        <v>42</v>
      </c>
      <c r="L41" s="5" t="s">
        <v>346</v>
      </c>
      <c r="M41" s="5"/>
      <c r="N41" s="5" t="s">
        <v>347</v>
      </c>
      <c r="O41" s="5" t="s">
        <v>45</v>
      </c>
    </row>
    <row r="42" customFormat="false" ht="46.25" hidden="false" customHeight="false" outlineLevel="0" collapsed="false">
      <c r="A42" s="5" t="s">
        <v>348</v>
      </c>
      <c r="B42" s="5" t="s">
        <v>314</v>
      </c>
      <c r="C42" s="5" t="s">
        <v>338</v>
      </c>
      <c r="D42" s="5" t="s">
        <v>339</v>
      </c>
      <c r="E42" s="5" t="s">
        <v>340</v>
      </c>
      <c r="F42" s="5" t="s">
        <v>341</v>
      </c>
      <c r="G42" s="5" t="s">
        <v>349</v>
      </c>
      <c r="H42" s="5" t="s">
        <v>350</v>
      </c>
      <c r="I42" s="5" t="s">
        <v>351</v>
      </c>
      <c r="J42" s="5" t="s">
        <v>352</v>
      </c>
      <c r="K42" s="5" t="s">
        <v>73</v>
      </c>
      <c r="L42" s="5" t="s">
        <v>353</v>
      </c>
      <c r="M42" s="5"/>
      <c r="N42" s="5" t="s">
        <v>347</v>
      </c>
      <c r="O42" s="5" t="s">
        <v>45</v>
      </c>
    </row>
    <row r="43" customFormat="false" ht="46.25" hidden="false" customHeight="false" outlineLevel="0" collapsed="false">
      <c r="A43" s="5" t="s">
        <v>354</v>
      </c>
      <c r="B43" s="5" t="s">
        <v>314</v>
      </c>
      <c r="C43" s="5" t="s">
        <v>338</v>
      </c>
      <c r="D43" s="5" t="s">
        <v>339</v>
      </c>
      <c r="E43" s="5" t="s">
        <v>340</v>
      </c>
      <c r="F43" s="5" t="s">
        <v>341</v>
      </c>
      <c r="G43" s="5" t="s">
        <v>355</v>
      </c>
      <c r="H43" s="5" t="s">
        <v>356</v>
      </c>
      <c r="I43" s="5" t="s">
        <v>357</v>
      </c>
      <c r="J43" s="5" t="s">
        <v>358</v>
      </c>
      <c r="K43" s="5" t="s">
        <v>97</v>
      </c>
      <c r="L43" s="5" t="s">
        <v>359</v>
      </c>
      <c r="M43" s="5"/>
      <c r="N43" s="5" t="s">
        <v>347</v>
      </c>
      <c r="O43" s="5" t="s">
        <v>45</v>
      </c>
    </row>
    <row r="44" customFormat="false" ht="35.05" hidden="false" customHeight="false" outlineLevel="0" collapsed="false">
      <c r="A44" s="5" t="s">
        <v>360</v>
      </c>
      <c r="B44" s="5" t="s">
        <v>314</v>
      </c>
      <c r="C44" s="5" t="s">
        <v>338</v>
      </c>
      <c r="D44" s="5" t="s">
        <v>361</v>
      </c>
      <c r="E44" s="5" t="s">
        <v>362</v>
      </c>
      <c r="F44" s="5" t="s">
        <v>363</v>
      </c>
      <c r="G44" s="5" t="s">
        <v>364</v>
      </c>
      <c r="H44" s="5" t="s">
        <v>365</v>
      </c>
      <c r="I44" s="5" t="s">
        <v>366</v>
      </c>
      <c r="J44" s="5" t="s">
        <v>367</v>
      </c>
      <c r="K44" s="5" t="s">
        <v>42</v>
      </c>
      <c r="L44" s="5" t="s">
        <v>368</v>
      </c>
      <c r="M44" s="5"/>
      <c r="N44" s="5" t="s">
        <v>369</v>
      </c>
      <c r="O44" s="5" t="s">
        <v>45</v>
      </c>
    </row>
    <row r="45" customFormat="false" ht="35.05" hidden="false" customHeight="false" outlineLevel="0" collapsed="false">
      <c r="A45" s="5" t="s">
        <v>370</v>
      </c>
      <c r="B45" s="5" t="s">
        <v>314</v>
      </c>
      <c r="C45" s="5" t="s">
        <v>338</v>
      </c>
      <c r="D45" s="5" t="s">
        <v>361</v>
      </c>
      <c r="E45" s="5" t="s">
        <v>362</v>
      </c>
      <c r="F45" s="5" t="s">
        <v>363</v>
      </c>
      <c r="G45" s="5" t="s">
        <v>371</v>
      </c>
      <c r="H45" s="5" t="s">
        <v>372</v>
      </c>
      <c r="I45" s="5" t="s">
        <v>373</v>
      </c>
      <c r="J45" s="5" t="s">
        <v>374</v>
      </c>
      <c r="K45" s="5" t="s">
        <v>97</v>
      </c>
      <c r="L45" s="5" t="s">
        <v>375</v>
      </c>
      <c r="M45" s="5"/>
      <c r="N45" s="5" t="s">
        <v>369</v>
      </c>
      <c r="O45" s="5" t="s">
        <v>45</v>
      </c>
    </row>
    <row r="46" customFormat="false" ht="35.05" hidden="false" customHeight="false" outlineLevel="0" collapsed="false">
      <c r="A46" s="5" t="s">
        <v>376</v>
      </c>
      <c r="B46" s="5" t="s">
        <v>314</v>
      </c>
      <c r="C46" s="5" t="s">
        <v>338</v>
      </c>
      <c r="D46" s="5" t="s">
        <v>361</v>
      </c>
      <c r="E46" s="5" t="s">
        <v>362</v>
      </c>
      <c r="F46" s="5" t="s">
        <v>363</v>
      </c>
      <c r="G46" s="5" t="s">
        <v>377</v>
      </c>
      <c r="H46" s="5" t="s">
        <v>378</v>
      </c>
      <c r="I46" s="5" t="s">
        <v>379</v>
      </c>
      <c r="J46" s="5" t="s">
        <v>380</v>
      </c>
      <c r="K46" s="5" t="s">
        <v>42</v>
      </c>
      <c r="L46" s="5" t="s">
        <v>381</v>
      </c>
      <c r="M46" s="5"/>
      <c r="N46" s="5" t="s">
        <v>369</v>
      </c>
      <c r="O46" s="5" t="s">
        <v>45</v>
      </c>
    </row>
    <row r="47" customFormat="false" ht="35.05" hidden="false" customHeight="false" outlineLevel="0" collapsed="false">
      <c r="A47" s="5" t="s">
        <v>382</v>
      </c>
      <c r="B47" s="5" t="s">
        <v>314</v>
      </c>
      <c r="C47" s="5" t="s">
        <v>383</v>
      </c>
      <c r="D47" s="5" t="s">
        <v>384</v>
      </c>
      <c r="E47" s="5" t="s">
        <v>385</v>
      </c>
      <c r="F47" s="5" t="s">
        <v>386</v>
      </c>
      <c r="G47" s="5" t="s">
        <v>387</v>
      </c>
      <c r="H47" s="5" t="s">
        <v>388</v>
      </c>
      <c r="I47" s="5" t="s">
        <v>389</v>
      </c>
      <c r="J47" s="5" t="s">
        <v>390</v>
      </c>
      <c r="K47" s="5" t="s">
        <v>42</v>
      </c>
      <c r="L47" s="5" t="s">
        <v>391</v>
      </c>
      <c r="M47" s="5"/>
      <c r="N47" s="5" t="s">
        <v>392</v>
      </c>
      <c r="O47" s="5" t="s">
        <v>45</v>
      </c>
    </row>
    <row r="48" customFormat="false" ht="35.05" hidden="false" customHeight="false" outlineLevel="0" collapsed="false">
      <c r="A48" s="5" t="s">
        <v>393</v>
      </c>
      <c r="B48" s="5" t="s">
        <v>314</v>
      </c>
      <c r="C48" s="5" t="s">
        <v>383</v>
      </c>
      <c r="D48" s="5" t="s">
        <v>384</v>
      </c>
      <c r="E48" s="5" t="s">
        <v>385</v>
      </c>
      <c r="F48" s="5" t="s">
        <v>386</v>
      </c>
      <c r="G48" s="5" t="s">
        <v>394</v>
      </c>
      <c r="H48" s="5" t="s">
        <v>395</v>
      </c>
      <c r="I48" s="5" t="s">
        <v>396</v>
      </c>
      <c r="J48" s="5" t="s">
        <v>397</v>
      </c>
      <c r="K48" s="5" t="s">
        <v>42</v>
      </c>
      <c r="L48" s="5" t="s">
        <v>398</v>
      </c>
      <c r="M48" s="5"/>
      <c r="N48" s="5" t="s">
        <v>392</v>
      </c>
      <c r="O48" s="5" t="s">
        <v>45</v>
      </c>
    </row>
    <row r="49" customFormat="false" ht="35.05" hidden="false" customHeight="false" outlineLevel="0" collapsed="false">
      <c r="A49" s="5" t="s">
        <v>399</v>
      </c>
      <c r="B49" s="5" t="s">
        <v>314</v>
      </c>
      <c r="C49" s="5" t="s">
        <v>383</v>
      </c>
      <c r="D49" s="5" t="s">
        <v>384</v>
      </c>
      <c r="E49" s="5" t="s">
        <v>385</v>
      </c>
      <c r="F49" s="5" t="s">
        <v>386</v>
      </c>
      <c r="G49" s="5" t="s">
        <v>400</v>
      </c>
      <c r="H49" s="5" t="s">
        <v>401</v>
      </c>
      <c r="I49" s="5" t="s">
        <v>402</v>
      </c>
      <c r="J49" s="5" t="s">
        <v>403</v>
      </c>
      <c r="K49" s="5" t="s">
        <v>97</v>
      </c>
      <c r="L49" s="5" t="s">
        <v>404</v>
      </c>
      <c r="M49" s="5"/>
      <c r="N49" s="5" t="s">
        <v>392</v>
      </c>
      <c r="O49" s="5" t="s">
        <v>45</v>
      </c>
    </row>
    <row r="50" customFormat="false" ht="35.05" hidden="false" customHeight="false" outlineLevel="0" collapsed="false">
      <c r="A50" s="5" t="s">
        <v>405</v>
      </c>
      <c r="B50" s="5" t="s">
        <v>314</v>
      </c>
      <c r="C50" s="5" t="s">
        <v>406</v>
      </c>
      <c r="D50" s="5" t="s">
        <v>407</v>
      </c>
      <c r="E50" s="5" t="s">
        <v>408</v>
      </c>
      <c r="F50" s="5" t="s">
        <v>409</v>
      </c>
      <c r="G50" s="5" t="s">
        <v>410</v>
      </c>
      <c r="H50" s="5" t="s">
        <v>411</v>
      </c>
      <c r="I50" s="5" t="s">
        <v>412</v>
      </c>
      <c r="J50" s="5" t="s">
        <v>413</v>
      </c>
      <c r="K50" s="5" t="s">
        <v>73</v>
      </c>
      <c r="L50" s="5" t="s">
        <v>414</v>
      </c>
      <c r="M50" s="5"/>
      <c r="N50" s="5" t="s">
        <v>415</v>
      </c>
      <c r="O50" s="5" t="s">
        <v>45</v>
      </c>
    </row>
    <row r="51" customFormat="false" ht="35.05" hidden="false" customHeight="false" outlineLevel="0" collapsed="false">
      <c r="A51" s="5" t="s">
        <v>416</v>
      </c>
      <c r="B51" s="5" t="s">
        <v>314</v>
      </c>
      <c r="C51" s="5" t="s">
        <v>406</v>
      </c>
      <c r="D51" s="5" t="s">
        <v>407</v>
      </c>
      <c r="E51" s="5" t="s">
        <v>408</v>
      </c>
      <c r="F51" s="5" t="s">
        <v>409</v>
      </c>
      <c r="G51" s="5" t="s">
        <v>417</v>
      </c>
      <c r="H51" s="5" t="s">
        <v>418</v>
      </c>
      <c r="I51" s="5" t="s">
        <v>419</v>
      </c>
      <c r="J51" s="5" t="s">
        <v>420</v>
      </c>
      <c r="K51" s="5" t="s">
        <v>97</v>
      </c>
      <c r="L51" s="5" t="s">
        <v>421</v>
      </c>
      <c r="M51" s="5"/>
      <c r="N51" s="5" t="s">
        <v>415</v>
      </c>
      <c r="O51" s="5" t="s">
        <v>45</v>
      </c>
    </row>
    <row r="52" customFormat="false" ht="35.05" hidden="false" customHeight="false" outlineLevel="0" collapsed="false">
      <c r="A52" s="5" t="s">
        <v>422</v>
      </c>
      <c r="B52" s="5" t="s">
        <v>314</v>
      </c>
      <c r="C52" s="5" t="s">
        <v>406</v>
      </c>
      <c r="D52" s="5" t="s">
        <v>407</v>
      </c>
      <c r="E52" s="5" t="s">
        <v>408</v>
      </c>
      <c r="F52" s="5" t="s">
        <v>409</v>
      </c>
      <c r="G52" s="5" t="s">
        <v>423</v>
      </c>
      <c r="H52" s="5" t="s">
        <v>424</v>
      </c>
      <c r="I52" s="5" t="s">
        <v>425</v>
      </c>
      <c r="J52" s="5" t="s">
        <v>426</v>
      </c>
      <c r="K52" s="5" t="s">
        <v>97</v>
      </c>
      <c r="L52" s="5" t="s">
        <v>427</v>
      </c>
      <c r="M52" s="5"/>
      <c r="N52" s="5" t="s">
        <v>415</v>
      </c>
      <c r="O52" s="5" t="s">
        <v>45</v>
      </c>
    </row>
    <row r="53" customFormat="false" ht="35.05" hidden="false" customHeight="false" outlineLevel="0" collapsed="false">
      <c r="A53" s="5" t="s">
        <v>428</v>
      </c>
      <c r="B53" s="5" t="s">
        <v>314</v>
      </c>
      <c r="C53" s="5" t="s">
        <v>429</v>
      </c>
      <c r="D53" s="5" t="s">
        <v>430</v>
      </c>
      <c r="E53" s="5" t="s">
        <v>431</v>
      </c>
      <c r="F53" s="5" t="s">
        <v>432</v>
      </c>
      <c r="G53" s="5" t="s">
        <v>433</v>
      </c>
      <c r="H53" s="5" t="s">
        <v>434</v>
      </c>
      <c r="I53" s="5" t="s">
        <v>435</v>
      </c>
      <c r="J53" s="5" t="s">
        <v>436</v>
      </c>
      <c r="K53" s="5" t="s">
        <v>42</v>
      </c>
      <c r="L53" s="5" t="s">
        <v>437</v>
      </c>
      <c r="M53" s="5"/>
      <c r="N53" s="5" t="s">
        <v>438</v>
      </c>
      <c r="O53" s="5" t="s">
        <v>45</v>
      </c>
    </row>
    <row r="54" customFormat="false" ht="35.05" hidden="false" customHeight="false" outlineLevel="0" collapsed="false">
      <c r="A54" s="5" t="s">
        <v>439</v>
      </c>
      <c r="B54" s="5" t="s">
        <v>314</v>
      </c>
      <c r="C54" s="5" t="s">
        <v>429</v>
      </c>
      <c r="D54" s="5" t="s">
        <v>430</v>
      </c>
      <c r="E54" s="5" t="s">
        <v>431</v>
      </c>
      <c r="F54" s="5" t="s">
        <v>432</v>
      </c>
      <c r="G54" s="5" t="s">
        <v>440</v>
      </c>
      <c r="H54" s="5" t="s">
        <v>441</v>
      </c>
      <c r="I54" s="5" t="s">
        <v>442</v>
      </c>
      <c r="J54" s="5" t="s">
        <v>443</v>
      </c>
      <c r="K54" s="5" t="s">
        <v>73</v>
      </c>
      <c r="L54" s="5" t="s">
        <v>444</v>
      </c>
      <c r="M54" s="5"/>
      <c r="N54" s="5" t="s">
        <v>438</v>
      </c>
      <c r="O54" s="5" t="s">
        <v>45</v>
      </c>
    </row>
    <row r="55" customFormat="false" ht="46.25" hidden="false" customHeight="false" outlineLevel="0" collapsed="false">
      <c r="A55" s="5" t="s">
        <v>445</v>
      </c>
      <c r="B55" s="5" t="s">
        <v>314</v>
      </c>
      <c r="C55" s="5" t="s">
        <v>429</v>
      </c>
      <c r="D55" s="5" t="s">
        <v>430</v>
      </c>
      <c r="E55" s="5" t="s">
        <v>431</v>
      </c>
      <c r="F55" s="5" t="s">
        <v>432</v>
      </c>
      <c r="G55" s="5" t="s">
        <v>446</v>
      </c>
      <c r="H55" s="5" t="s">
        <v>447</v>
      </c>
      <c r="I55" s="5" t="s">
        <v>448</v>
      </c>
      <c r="J55" s="5" t="s">
        <v>449</v>
      </c>
      <c r="K55" s="5" t="s">
        <v>97</v>
      </c>
      <c r="L55" s="5" t="s">
        <v>450</v>
      </c>
      <c r="M55" s="5"/>
      <c r="N55" s="5" t="s">
        <v>438</v>
      </c>
      <c r="O55" s="5" t="s">
        <v>45</v>
      </c>
    </row>
    <row r="56" customFormat="false" ht="35.05" hidden="false" customHeight="false" outlineLevel="0" collapsed="false">
      <c r="A56" s="5" t="s">
        <v>451</v>
      </c>
      <c r="B56" s="5" t="s">
        <v>33</v>
      </c>
      <c r="C56" s="5" t="s">
        <v>452</v>
      </c>
      <c r="D56" s="5" t="s">
        <v>453</v>
      </c>
      <c r="E56" s="5" t="s">
        <v>454</v>
      </c>
      <c r="F56" s="5" t="s">
        <v>455</v>
      </c>
      <c r="G56" s="5" t="s">
        <v>456</v>
      </c>
      <c r="H56" s="5" t="s">
        <v>457</v>
      </c>
      <c r="I56" s="5" t="s">
        <v>458</v>
      </c>
      <c r="J56" s="5" t="s">
        <v>459</v>
      </c>
      <c r="K56" s="5" t="s">
        <v>73</v>
      </c>
      <c r="L56" s="5" t="s">
        <v>460</v>
      </c>
      <c r="M56" s="5"/>
      <c r="N56" s="5" t="s">
        <v>461</v>
      </c>
      <c r="O56" s="5" t="s">
        <v>45</v>
      </c>
    </row>
    <row r="57" customFormat="false" ht="46.25" hidden="false" customHeight="false" outlineLevel="0" collapsed="false">
      <c r="A57" s="5" t="s">
        <v>462</v>
      </c>
      <c r="B57" s="5" t="s">
        <v>33</v>
      </c>
      <c r="C57" s="5" t="s">
        <v>452</v>
      </c>
      <c r="D57" s="5" t="s">
        <v>453</v>
      </c>
      <c r="E57" s="5" t="s">
        <v>454</v>
      </c>
      <c r="F57" s="5" t="s">
        <v>455</v>
      </c>
      <c r="G57" s="5" t="s">
        <v>463</v>
      </c>
      <c r="H57" s="5" t="s">
        <v>464</v>
      </c>
      <c r="I57" s="5" t="s">
        <v>465</v>
      </c>
      <c r="J57" s="5" t="s">
        <v>466</v>
      </c>
      <c r="K57" s="5" t="s">
        <v>97</v>
      </c>
      <c r="L57" s="5" t="s">
        <v>467</v>
      </c>
      <c r="M57" s="5"/>
      <c r="N57" s="5" t="s">
        <v>468</v>
      </c>
      <c r="O57" s="5" t="s">
        <v>45</v>
      </c>
    </row>
    <row r="58" customFormat="false" ht="35.05" hidden="false" customHeight="false" outlineLevel="0" collapsed="false">
      <c r="A58" s="5" t="s">
        <v>469</v>
      </c>
      <c r="B58" s="5" t="s">
        <v>33</v>
      </c>
      <c r="C58" s="5" t="s">
        <v>452</v>
      </c>
      <c r="D58" s="5" t="s">
        <v>453</v>
      </c>
      <c r="E58" s="5" t="s">
        <v>454</v>
      </c>
      <c r="F58" s="5" t="s">
        <v>455</v>
      </c>
      <c r="G58" s="5" t="s">
        <v>470</v>
      </c>
      <c r="H58" s="5" t="s">
        <v>471</v>
      </c>
      <c r="I58" s="5" t="s">
        <v>472</v>
      </c>
      <c r="J58" s="5" t="s">
        <v>473</v>
      </c>
      <c r="K58" s="5" t="s">
        <v>73</v>
      </c>
      <c r="L58" s="5" t="s">
        <v>474</v>
      </c>
      <c r="M58" s="5"/>
      <c r="N58" s="5" t="s">
        <v>475</v>
      </c>
      <c r="O58" s="5" t="s">
        <v>45</v>
      </c>
    </row>
    <row r="59" customFormat="false" ht="35.05" hidden="false" customHeight="false" outlineLevel="0" collapsed="false">
      <c r="A59" s="5" t="s">
        <v>476</v>
      </c>
      <c r="B59" s="5" t="s">
        <v>33</v>
      </c>
      <c r="C59" s="5" t="s">
        <v>452</v>
      </c>
      <c r="D59" s="5" t="s">
        <v>477</v>
      </c>
      <c r="E59" s="5" t="s">
        <v>478</v>
      </c>
      <c r="F59" s="5" t="s">
        <v>479</v>
      </c>
      <c r="G59" s="5" t="s">
        <v>480</v>
      </c>
      <c r="H59" s="5" t="s">
        <v>481</v>
      </c>
      <c r="I59" s="5" t="s">
        <v>482</v>
      </c>
      <c r="J59" s="5" t="s">
        <v>483</v>
      </c>
      <c r="K59" s="5" t="s">
        <v>97</v>
      </c>
      <c r="L59" s="5" t="s">
        <v>484</v>
      </c>
      <c r="M59" s="5"/>
      <c r="N59" s="5" t="s">
        <v>485</v>
      </c>
      <c r="O59" s="5" t="s">
        <v>45</v>
      </c>
    </row>
    <row r="60" customFormat="false" ht="35.05" hidden="false" customHeight="false" outlineLevel="0" collapsed="false">
      <c r="A60" s="5" t="s">
        <v>486</v>
      </c>
      <c r="B60" s="5" t="s">
        <v>33</v>
      </c>
      <c r="C60" s="5" t="s">
        <v>452</v>
      </c>
      <c r="D60" s="5" t="s">
        <v>477</v>
      </c>
      <c r="E60" s="5" t="s">
        <v>478</v>
      </c>
      <c r="F60" s="5" t="s">
        <v>479</v>
      </c>
      <c r="G60" s="5" t="s">
        <v>487</v>
      </c>
      <c r="H60" s="5" t="s">
        <v>488</v>
      </c>
      <c r="I60" s="5" t="s">
        <v>489</v>
      </c>
      <c r="J60" s="5" t="s">
        <v>490</v>
      </c>
      <c r="K60" s="5" t="s">
        <v>73</v>
      </c>
      <c r="L60" s="5" t="s">
        <v>491</v>
      </c>
      <c r="M60" s="5"/>
      <c r="N60" s="5" t="s">
        <v>492</v>
      </c>
      <c r="O60" s="5" t="s">
        <v>45</v>
      </c>
    </row>
    <row r="61" customFormat="false" ht="35.05" hidden="false" customHeight="false" outlineLevel="0" collapsed="false">
      <c r="A61" s="5" t="s">
        <v>493</v>
      </c>
      <c r="B61" s="5" t="s">
        <v>33</v>
      </c>
      <c r="C61" s="5" t="s">
        <v>452</v>
      </c>
      <c r="D61" s="5" t="s">
        <v>477</v>
      </c>
      <c r="E61" s="5" t="s">
        <v>478</v>
      </c>
      <c r="F61" s="5" t="s">
        <v>479</v>
      </c>
      <c r="G61" s="5" t="s">
        <v>494</v>
      </c>
      <c r="H61" s="5" t="s">
        <v>495</v>
      </c>
      <c r="I61" s="5" t="s">
        <v>496</v>
      </c>
      <c r="J61" s="5" t="s">
        <v>497</v>
      </c>
      <c r="K61" s="5" t="s">
        <v>97</v>
      </c>
      <c r="L61" s="5" t="s">
        <v>498</v>
      </c>
      <c r="M61" s="5"/>
      <c r="N61" s="5" t="s">
        <v>499</v>
      </c>
      <c r="O61" s="5" t="s">
        <v>45</v>
      </c>
    </row>
    <row r="62" customFormat="false" ht="35.05" hidden="false" customHeight="false" outlineLevel="0" collapsed="false">
      <c r="A62" s="5" t="s">
        <v>500</v>
      </c>
      <c r="B62" s="5" t="s">
        <v>33</v>
      </c>
      <c r="C62" s="5" t="s">
        <v>501</v>
      </c>
      <c r="D62" s="5" t="s">
        <v>502</v>
      </c>
      <c r="E62" s="5" t="s">
        <v>503</v>
      </c>
      <c r="F62" s="5" t="s">
        <v>504</v>
      </c>
      <c r="G62" s="5" t="s">
        <v>505</v>
      </c>
      <c r="H62" s="5" t="s">
        <v>506</v>
      </c>
      <c r="I62" s="5" t="s">
        <v>507</v>
      </c>
      <c r="J62" s="5" t="s">
        <v>213</v>
      </c>
      <c r="K62" s="5" t="s">
        <v>97</v>
      </c>
      <c r="L62" s="5" t="s">
        <v>508</v>
      </c>
      <c r="M62" s="5"/>
      <c r="N62" s="5" t="s">
        <v>509</v>
      </c>
      <c r="O62" s="5" t="s">
        <v>45</v>
      </c>
    </row>
    <row r="63" customFormat="false" ht="35.05" hidden="false" customHeight="false" outlineLevel="0" collapsed="false">
      <c r="A63" s="5" t="s">
        <v>510</v>
      </c>
      <c r="B63" s="5" t="s">
        <v>33</v>
      </c>
      <c r="C63" s="5" t="s">
        <v>501</v>
      </c>
      <c r="D63" s="5" t="s">
        <v>502</v>
      </c>
      <c r="E63" s="5" t="s">
        <v>503</v>
      </c>
      <c r="F63" s="5" t="s">
        <v>504</v>
      </c>
      <c r="G63" s="5" t="s">
        <v>511</v>
      </c>
      <c r="H63" s="5" t="s">
        <v>512</v>
      </c>
      <c r="I63" s="5" t="s">
        <v>513</v>
      </c>
      <c r="J63" s="5" t="s">
        <v>514</v>
      </c>
      <c r="K63" s="5" t="s">
        <v>97</v>
      </c>
      <c r="L63" s="5" t="s">
        <v>515</v>
      </c>
      <c r="M63" s="5"/>
      <c r="N63" s="5" t="s">
        <v>516</v>
      </c>
      <c r="O63" s="5" t="s">
        <v>45</v>
      </c>
    </row>
    <row r="64" customFormat="false" ht="35.05" hidden="false" customHeight="false" outlineLevel="0" collapsed="false">
      <c r="A64" s="5" t="s">
        <v>517</v>
      </c>
      <c r="B64" s="5" t="s">
        <v>33</v>
      </c>
      <c r="C64" s="5" t="s">
        <v>501</v>
      </c>
      <c r="D64" s="5" t="s">
        <v>502</v>
      </c>
      <c r="E64" s="5" t="s">
        <v>503</v>
      </c>
      <c r="F64" s="5" t="s">
        <v>504</v>
      </c>
      <c r="G64" s="5" t="s">
        <v>518</v>
      </c>
      <c r="H64" s="5" t="s">
        <v>519</v>
      </c>
      <c r="I64" s="5" t="s">
        <v>520</v>
      </c>
      <c r="J64" s="5" t="s">
        <v>521</v>
      </c>
      <c r="K64" s="5" t="s">
        <v>42</v>
      </c>
      <c r="L64" s="5" t="s">
        <v>522</v>
      </c>
      <c r="M64" s="5"/>
      <c r="N64" s="5" t="s">
        <v>523</v>
      </c>
      <c r="O64" s="5" t="s">
        <v>45</v>
      </c>
    </row>
    <row r="65" customFormat="false" ht="23.85" hidden="false" customHeight="false" outlineLevel="0" collapsed="false">
      <c r="A65" s="5" t="s">
        <v>524</v>
      </c>
      <c r="B65" s="5" t="s">
        <v>33</v>
      </c>
      <c r="C65" s="5" t="s">
        <v>525</v>
      </c>
      <c r="D65" s="5" t="s">
        <v>526</v>
      </c>
      <c r="E65" s="5" t="s">
        <v>527</v>
      </c>
      <c r="F65" s="5" t="s">
        <v>528</v>
      </c>
      <c r="G65" s="5" t="s">
        <v>529</v>
      </c>
      <c r="H65" s="5" t="s">
        <v>530</v>
      </c>
      <c r="I65" s="5" t="s">
        <v>531</v>
      </c>
      <c r="J65" s="5" t="s">
        <v>532</v>
      </c>
      <c r="K65" s="5" t="s">
        <v>42</v>
      </c>
      <c r="L65" s="5" t="s">
        <v>533</v>
      </c>
      <c r="M65" s="5"/>
      <c r="N65" s="5" t="s">
        <v>534</v>
      </c>
      <c r="O65" s="5" t="s">
        <v>45</v>
      </c>
    </row>
    <row r="66" customFormat="false" ht="35.05" hidden="false" customHeight="false" outlineLevel="0" collapsed="false">
      <c r="A66" s="5" t="s">
        <v>535</v>
      </c>
      <c r="B66" s="5" t="s">
        <v>33</v>
      </c>
      <c r="C66" s="5" t="s">
        <v>525</v>
      </c>
      <c r="D66" s="5" t="s">
        <v>526</v>
      </c>
      <c r="E66" s="5" t="s">
        <v>527</v>
      </c>
      <c r="F66" s="5" t="s">
        <v>528</v>
      </c>
      <c r="G66" s="5" t="s">
        <v>536</v>
      </c>
      <c r="H66" s="5" t="s">
        <v>537</v>
      </c>
      <c r="I66" s="5" t="s">
        <v>538</v>
      </c>
      <c r="J66" s="5" t="s">
        <v>539</v>
      </c>
      <c r="K66" s="5" t="s">
        <v>97</v>
      </c>
      <c r="L66" s="5" t="s">
        <v>540</v>
      </c>
      <c r="M66" s="5"/>
      <c r="N66" s="5" t="s">
        <v>541</v>
      </c>
      <c r="O66" s="5" t="s">
        <v>45</v>
      </c>
    </row>
    <row r="67" customFormat="false" ht="23.85" hidden="false" customHeight="false" outlineLevel="0" collapsed="false">
      <c r="A67" s="5" t="s">
        <v>542</v>
      </c>
      <c r="B67" s="5" t="s">
        <v>33</v>
      </c>
      <c r="C67" s="5" t="s">
        <v>525</v>
      </c>
      <c r="D67" s="5" t="s">
        <v>526</v>
      </c>
      <c r="E67" s="5" t="s">
        <v>527</v>
      </c>
      <c r="F67" s="5" t="s">
        <v>528</v>
      </c>
      <c r="G67" s="5" t="s">
        <v>543</v>
      </c>
      <c r="H67" s="5" t="s">
        <v>544</v>
      </c>
      <c r="I67" s="5" t="s">
        <v>545</v>
      </c>
      <c r="J67" s="5" t="s">
        <v>546</v>
      </c>
      <c r="K67" s="5" t="s">
        <v>42</v>
      </c>
      <c r="L67" s="5" t="s">
        <v>547</v>
      </c>
      <c r="M67" s="5"/>
      <c r="N67" s="5" t="s">
        <v>548</v>
      </c>
      <c r="O67" s="5" t="s">
        <v>45</v>
      </c>
    </row>
    <row r="68" customFormat="false" ht="35.05" hidden="false" customHeight="false" outlineLevel="0" collapsed="false">
      <c r="A68" s="5" t="s">
        <v>549</v>
      </c>
      <c r="B68" s="5" t="s">
        <v>33</v>
      </c>
      <c r="C68" s="5" t="s">
        <v>550</v>
      </c>
      <c r="D68" s="5" t="s">
        <v>551</v>
      </c>
      <c r="E68" s="5" t="s">
        <v>552</v>
      </c>
      <c r="F68" s="5" t="s">
        <v>553</v>
      </c>
      <c r="G68" s="5" t="s">
        <v>554</v>
      </c>
      <c r="H68" s="5" t="s">
        <v>555</v>
      </c>
      <c r="I68" s="5" t="s">
        <v>556</v>
      </c>
      <c r="J68" s="5" t="s">
        <v>557</v>
      </c>
      <c r="K68" s="5" t="s">
        <v>73</v>
      </c>
      <c r="L68" s="5" t="s">
        <v>558</v>
      </c>
      <c r="M68" s="5"/>
      <c r="N68" s="5" t="s">
        <v>559</v>
      </c>
      <c r="O68" s="5" t="s">
        <v>45</v>
      </c>
    </row>
    <row r="69" customFormat="false" ht="35.05" hidden="false" customHeight="false" outlineLevel="0" collapsed="false">
      <c r="A69" s="5" t="s">
        <v>560</v>
      </c>
      <c r="B69" s="5" t="s">
        <v>33</v>
      </c>
      <c r="C69" s="5" t="s">
        <v>550</v>
      </c>
      <c r="D69" s="5" t="s">
        <v>551</v>
      </c>
      <c r="E69" s="5" t="s">
        <v>552</v>
      </c>
      <c r="F69" s="5" t="s">
        <v>553</v>
      </c>
      <c r="G69" s="5" t="s">
        <v>561</v>
      </c>
      <c r="H69" s="5" t="s">
        <v>562</v>
      </c>
      <c r="I69" s="5" t="s">
        <v>563</v>
      </c>
      <c r="J69" s="5" t="s">
        <v>564</v>
      </c>
      <c r="K69" s="5" t="s">
        <v>73</v>
      </c>
      <c r="L69" s="5" t="s">
        <v>565</v>
      </c>
      <c r="M69" s="5"/>
      <c r="N69" s="5" t="s">
        <v>566</v>
      </c>
      <c r="O69" s="5" t="s">
        <v>45</v>
      </c>
    </row>
    <row r="70" customFormat="false" ht="35.05" hidden="false" customHeight="false" outlineLevel="0" collapsed="false">
      <c r="A70" s="5" t="s">
        <v>567</v>
      </c>
      <c r="B70" s="5" t="s">
        <v>33</v>
      </c>
      <c r="C70" s="5" t="s">
        <v>550</v>
      </c>
      <c r="D70" s="5" t="s">
        <v>551</v>
      </c>
      <c r="E70" s="5" t="s">
        <v>552</v>
      </c>
      <c r="F70" s="5" t="s">
        <v>553</v>
      </c>
      <c r="G70" s="5" t="s">
        <v>568</v>
      </c>
      <c r="H70" s="5" t="s">
        <v>569</v>
      </c>
      <c r="I70" s="5" t="s">
        <v>570</v>
      </c>
      <c r="J70" s="5" t="s">
        <v>571</v>
      </c>
      <c r="K70" s="5" t="s">
        <v>97</v>
      </c>
      <c r="L70" s="5" t="s">
        <v>572</v>
      </c>
      <c r="M70" s="5"/>
      <c r="N70" s="5" t="s">
        <v>559</v>
      </c>
      <c r="O70" s="5" t="s">
        <v>45</v>
      </c>
    </row>
    <row r="71" customFormat="false" ht="35.05" hidden="false" customHeight="false" outlineLevel="0" collapsed="false">
      <c r="A71" s="5" t="s">
        <v>573</v>
      </c>
      <c r="B71" s="5" t="s">
        <v>33</v>
      </c>
      <c r="C71" s="5" t="s">
        <v>574</v>
      </c>
      <c r="D71" s="5" t="s">
        <v>575</v>
      </c>
      <c r="E71" s="5" t="s">
        <v>576</v>
      </c>
      <c r="F71" s="5" t="s">
        <v>577</v>
      </c>
      <c r="G71" s="5" t="s">
        <v>578</v>
      </c>
      <c r="H71" s="5" t="s">
        <v>579</v>
      </c>
      <c r="I71" s="5" t="s">
        <v>580</v>
      </c>
      <c r="J71" s="5" t="s">
        <v>581</v>
      </c>
      <c r="K71" s="5" t="s">
        <v>73</v>
      </c>
      <c r="L71" s="5" t="s">
        <v>582</v>
      </c>
      <c r="M71" s="5"/>
      <c r="N71" s="5" t="s">
        <v>583</v>
      </c>
      <c r="O71" s="5" t="s">
        <v>45</v>
      </c>
    </row>
    <row r="72" customFormat="false" ht="46.25" hidden="false" customHeight="false" outlineLevel="0" collapsed="false">
      <c r="A72" s="5" t="s">
        <v>584</v>
      </c>
      <c r="B72" s="5" t="s">
        <v>33</v>
      </c>
      <c r="C72" s="5" t="s">
        <v>574</v>
      </c>
      <c r="D72" s="5" t="s">
        <v>575</v>
      </c>
      <c r="E72" s="5" t="s">
        <v>576</v>
      </c>
      <c r="F72" s="5" t="s">
        <v>577</v>
      </c>
      <c r="G72" s="5" t="s">
        <v>585</v>
      </c>
      <c r="H72" s="5" t="s">
        <v>586</v>
      </c>
      <c r="I72" s="5" t="s">
        <v>587</v>
      </c>
      <c r="J72" s="5" t="s">
        <v>588</v>
      </c>
      <c r="K72" s="5" t="s">
        <v>42</v>
      </c>
      <c r="L72" s="5" t="s">
        <v>589</v>
      </c>
      <c r="M72" s="5"/>
      <c r="N72" s="5" t="s">
        <v>590</v>
      </c>
      <c r="O72" s="5" t="s">
        <v>45</v>
      </c>
    </row>
    <row r="73" customFormat="false" ht="35.05" hidden="false" customHeight="false" outlineLevel="0" collapsed="false">
      <c r="A73" s="5" t="s">
        <v>591</v>
      </c>
      <c r="B73" s="5" t="s">
        <v>33</v>
      </c>
      <c r="C73" s="5" t="s">
        <v>574</v>
      </c>
      <c r="D73" s="5" t="s">
        <v>575</v>
      </c>
      <c r="E73" s="5" t="s">
        <v>576</v>
      </c>
      <c r="F73" s="5" t="s">
        <v>577</v>
      </c>
      <c r="G73" s="5" t="s">
        <v>592</v>
      </c>
      <c r="H73" s="5" t="s">
        <v>593</v>
      </c>
      <c r="I73" s="5" t="s">
        <v>594</v>
      </c>
      <c r="J73" s="5" t="s">
        <v>595</v>
      </c>
      <c r="K73" s="5" t="s">
        <v>42</v>
      </c>
      <c r="L73" s="5" t="s">
        <v>596</v>
      </c>
      <c r="M73" s="5"/>
      <c r="N73" s="5" t="s">
        <v>597</v>
      </c>
      <c r="O73" s="5" t="s">
        <v>45</v>
      </c>
    </row>
    <row r="74" customFormat="false" ht="23.85" hidden="false" customHeight="false" outlineLevel="0" collapsed="false">
      <c r="A74" s="5" t="s">
        <v>598</v>
      </c>
      <c r="B74" s="5" t="s">
        <v>33</v>
      </c>
      <c r="C74" s="5" t="s">
        <v>599</v>
      </c>
      <c r="D74" s="5" t="s">
        <v>600</v>
      </c>
      <c r="E74" s="5" t="s">
        <v>601</v>
      </c>
      <c r="F74" s="5" t="s">
        <v>602</v>
      </c>
      <c r="G74" s="5" t="s">
        <v>603</v>
      </c>
      <c r="H74" s="5" t="s">
        <v>604</v>
      </c>
      <c r="I74" s="5" t="s">
        <v>605</v>
      </c>
      <c r="J74" s="5" t="s">
        <v>606</v>
      </c>
      <c r="K74" s="5" t="s">
        <v>42</v>
      </c>
      <c r="L74" s="5" t="s">
        <v>607</v>
      </c>
      <c r="M74" s="5"/>
      <c r="N74" s="5" t="s">
        <v>608</v>
      </c>
      <c r="O74" s="5" t="s">
        <v>45</v>
      </c>
    </row>
    <row r="75" customFormat="false" ht="23.85" hidden="false" customHeight="false" outlineLevel="0" collapsed="false">
      <c r="A75" s="5" t="s">
        <v>609</v>
      </c>
      <c r="B75" s="5" t="s">
        <v>33</v>
      </c>
      <c r="C75" s="5" t="s">
        <v>599</v>
      </c>
      <c r="D75" s="5" t="s">
        <v>600</v>
      </c>
      <c r="E75" s="5" t="s">
        <v>601</v>
      </c>
      <c r="F75" s="5" t="s">
        <v>602</v>
      </c>
      <c r="G75" s="5" t="s">
        <v>610</v>
      </c>
      <c r="H75" s="5" t="s">
        <v>606</v>
      </c>
      <c r="I75" s="5" t="s">
        <v>605</v>
      </c>
      <c r="J75" s="5" t="s">
        <v>611</v>
      </c>
      <c r="K75" s="5" t="s">
        <v>73</v>
      </c>
      <c r="L75" s="5" t="s">
        <v>612</v>
      </c>
      <c r="M75" s="5"/>
      <c r="N75" s="5" t="s">
        <v>608</v>
      </c>
      <c r="O75" s="5" t="s">
        <v>45</v>
      </c>
    </row>
    <row r="76" customFormat="false" ht="23.85" hidden="false" customHeight="false" outlineLevel="0" collapsed="false">
      <c r="A76" s="5" t="s">
        <v>613</v>
      </c>
      <c r="B76" s="5" t="s">
        <v>33</v>
      </c>
      <c r="C76" s="5" t="s">
        <v>599</v>
      </c>
      <c r="D76" s="5" t="s">
        <v>600</v>
      </c>
      <c r="E76" s="5" t="s">
        <v>601</v>
      </c>
      <c r="F76" s="5" t="s">
        <v>602</v>
      </c>
      <c r="G76" s="5" t="s">
        <v>614</v>
      </c>
      <c r="H76" s="5" t="s">
        <v>615</v>
      </c>
      <c r="I76" s="5" t="s">
        <v>616</v>
      </c>
      <c r="J76" s="5" t="s">
        <v>617</v>
      </c>
      <c r="K76" s="5" t="s">
        <v>97</v>
      </c>
      <c r="L76" s="5" t="s">
        <v>618</v>
      </c>
      <c r="M76" s="5"/>
      <c r="N76" s="5" t="s">
        <v>619</v>
      </c>
      <c r="O76" s="5" t="s">
        <v>45</v>
      </c>
    </row>
    <row r="77" customFormat="false" ht="35.05" hidden="false" customHeight="false" outlineLevel="0" collapsed="false">
      <c r="A77" s="5" t="s">
        <v>620</v>
      </c>
      <c r="B77" s="5" t="s">
        <v>33</v>
      </c>
      <c r="C77" s="5" t="s">
        <v>129</v>
      </c>
      <c r="D77" s="5" t="s">
        <v>621</v>
      </c>
      <c r="E77" s="5" t="s">
        <v>622</v>
      </c>
      <c r="F77" s="5" t="s">
        <v>623</v>
      </c>
      <c r="G77" s="5" t="s">
        <v>624</v>
      </c>
      <c r="H77" s="5" t="s">
        <v>625</v>
      </c>
      <c r="I77" s="5" t="s">
        <v>626</v>
      </c>
      <c r="J77" s="5" t="s">
        <v>627</v>
      </c>
      <c r="K77" s="5" t="s">
        <v>42</v>
      </c>
      <c r="L77" s="5" t="s">
        <v>628</v>
      </c>
      <c r="M77" s="5"/>
      <c r="N77" s="5" t="s">
        <v>629</v>
      </c>
      <c r="O77" s="5" t="s">
        <v>45</v>
      </c>
    </row>
    <row r="78" customFormat="false" ht="35.05" hidden="false" customHeight="false" outlineLevel="0" collapsed="false">
      <c r="A78" s="5" t="s">
        <v>630</v>
      </c>
      <c r="B78" s="5" t="s">
        <v>33</v>
      </c>
      <c r="C78" s="5" t="s">
        <v>129</v>
      </c>
      <c r="D78" s="5" t="s">
        <v>621</v>
      </c>
      <c r="E78" s="5" t="s">
        <v>622</v>
      </c>
      <c r="F78" s="5" t="s">
        <v>623</v>
      </c>
      <c r="G78" s="5" t="s">
        <v>631</v>
      </c>
      <c r="H78" s="5" t="s">
        <v>632</v>
      </c>
      <c r="I78" s="5" t="s">
        <v>633</v>
      </c>
      <c r="J78" s="5" t="s">
        <v>634</v>
      </c>
      <c r="K78" s="5" t="s">
        <v>97</v>
      </c>
      <c r="L78" s="5" t="s">
        <v>635</v>
      </c>
      <c r="M78" s="5"/>
      <c r="N78" s="5" t="s">
        <v>629</v>
      </c>
      <c r="O78" s="5" t="s">
        <v>45</v>
      </c>
    </row>
    <row r="79" customFormat="false" ht="35.05" hidden="false" customHeight="false" outlineLevel="0" collapsed="false">
      <c r="A79" s="5" t="s">
        <v>636</v>
      </c>
      <c r="B79" s="5" t="s">
        <v>33</v>
      </c>
      <c r="C79" s="5" t="s">
        <v>129</v>
      </c>
      <c r="D79" s="5" t="s">
        <v>621</v>
      </c>
      <c r="E79" s="5" t="s">
        <v>622</v>
      </c>
      <c r="F79" s="5" t="s">
        <v>623</v>
      </c>
      <c r="G79" s="5" t="s">
        <v>637</v>
      </c>
      <c r="H79" s="5" t="s">
        <v>633</v>
      </c>
      <c r="I79" s="5" t="s">
        <v>634</v>
      </c>
      <c r="J79" s="5" t="s">
        <v>638</v>
      </c>
      <c r="K79" s="5" t="s">
        <v>73</v>
      </c>
      <c r="L79" s="5" t="s">
        <v>639</v>
      </c>
      <c r="M79" s="5"/>
      <c r="N79" s="5" t="s">
        <v>629</v>
      </c>
      <c r="O79" s="5" t="s">
        <v>45</v>
      </c>
    </row>
    <row r="80" customFormat="false" ht="46.25" hidden="false" customHeight="false" outlineLevel="0" collapsed="false">
      <c r="A80" s="5" t="s">
        <v>640</v>
      </c>
      <c r="B80" s="5" t="s">
        <v>33</v>
      </c>
      <c r="C80" s="5" t="s">
        <v>34</v>
      </c>
      <c r="D80" s="5" t="s">
        <v>641</v>
      </c>
      <c r="E80" s="5" t="s">
        <v>642</v>
      </c>
      <c r="F80" s="5" t="s">
        <v>643</v>
      </c>
      <c r="G80" s="5" t="s">
        <v>644</v>
      </c>
      <c r="H80" s="5" t="s">
        <v>645</v>
      </c>
      <c r="I80" s="5" t="s">
        <v>646</v>
      </c>
      <c r="J80" s="5" t="s">
        <v>647</v>
      </c>
      <c r="K80" s="5" t="s">
        <v>42</v>
      </c>
      <c r="L80" s="5" t="s">
        <v>648</v>
      </c>
      <c r="M80" s="5"/>
      <c r="N80" s="5" t="s">
        <v>649</v>
      </c>
      <c r="O80" s="5" t="s">
        <v>45</v>
      </c>
    </row>
    <row r="81" customFormat="false" ht="23.85" hidden="false" customHeight="false" outlineLevel="0" collapsed="false">
      <c r="A81" s="5" t="s">
        <v>650</v>
      </c>
      <c r="B81" s="5" t="s">
        <v>33</v>
      </c>
      <c r="C81" s="5" t="s">
        <v>34</v>
      </c>
      <c r="D81" s="5" t="s">
        <v>641</v>
      </c>
      <c r="E81" s="5" t="s">
        <v>642</v>
      </c>
      <c r="F81" s="5" t="s">
        <v>643</v>
      </c>
      <c r="G81" s="5" t="s">
        <v>651</v>
      </c>
      <c r="H81" s="5" t="s">
        <v>652</v>
      </c>
      <c r="I81" s="5" t="s">
        <v>653</v>
      </c>
      <c r="J81" s="5" t="s">
        <v>654</v>
      </c>
      <c r="K81" s="5" t="s">
        <v>42</v>
      </c>
      <c r="L81" s="5" t="s">
        <v>655</v>
      </c>
      <c r="M81" s="5"/>
      <c r="N81" s="5" t="s">
        <v>656</v>
      </c>
      <c r="O81" s="5" t="s">
        <v>45</v>
      </c>
    </row>
    <row r="82" customFormat="false" ht="23.85" hidden="false" customHeight="false" outlineLevel="0" collapsed="false">
      <c r="A82" s="5" t="s">
        <v>657</v>
      </c>
      <c r="B82" s="5" t="s">
        <v>33</v>
      </c>
      <c r="C82" s="5" t="s">
        <v>34</v>
      </c>
      <c r="D82" s="5" t="s">
        <v>641</v>
      </c>
      <c r="E82" s="5" t="s">
        <v>642</v>
      </c>
      <c r="F82" s="5" t="s">
        <v>643</v>
      </c>
      <c r="G82" s="5" t="s">
        <v>658</v>
      </c>
      <c r="H82" s="5" t="s">
        <v>659</v>
      </c>
      <c r="I82" s="5" t="s">
        <v>660</v>
      </c>
      <c r="J82" s="5" t="s">
        <v>661</v>
      </c>
      <c r="K82" s="5" t="s">
        <v>42</v>
      </c>
      <c r="L82" s="5" t="s">
        <v>662</v>
      </c>
      <c r="M82" s="5"/>
      <c r="N82" s="5" t="s">
        <v>663</v>
      </c>
      <c r="O82" s="5" t="s">
        <v>45</v>
      </c>
    </row>
    <row r="83" customFormat="false" ht="35.05" hidden="false" customHeight="false" outlineLevel="0" collapsed="false">
      <c r="A83" s="5" t="s">
        <v>664</v>
      </c>
      <c r="B83" s="5" t="s">
        <v>33</v>
      </c>
      <c r="C83" s="5" t="s">
        <v>665</v>
      </c>
      <c r="D83" s="5" t="s">
        <v>666</v>
      </c>
      <c r="E83" s="5" t="s">
        <v>667</v>
      </c>
      <c r="F83" s="5" t="s">
        <v>668</v>
      </c>
      <c r="G83" s="5" t="s">
        <v>669</v>
      </c>
      <c r="H83" s="5" t="s">
        <v>670</v>
      </c>
      <c r="I83" s="5" t="s">
        <v>671</v>
      </c>
      <c r="J83" s="5" t="s">
        <v>672</v>
      </c>
      <c r="K83" s="5" t="s">
        <v>97</v>
      </c>
      <c r="L83" s="5" t="s">
        <v>673</v>
      </c>
      <c r="M83" s="5"/>
      <c r="N83" s="5" t="s">
        <v>674</v>
      </c>
      <c r="O83" s="5" t="s">
        <v>45</v>
      </c>
    </row>
    <row r="84" customFormat="false" ht="35.05" hidden="false" customHeight="false" outlineLevel="0" collapsed="false">
      <c r="A84" s="5" t="s">
        <v>675</v>
      </c>
      <c r="B84" s="5" t="s">
        <v>33</v>
      </c>
      <c r="C84" s="5" t="s">
        <v>665</v>
      </c>
      <c r="D84" s="5" t="s">
        <v>666</v>
      </c>
      <c r="E84" s="5" t="s">
        <v>667</v>
      </c>
      <c r="F84" s="5" t="s">
        <v>668</v>
      </c>
      <c r="G84" s="5" t="s">
        <v>676</v>
      </c>
      <c r="H84" s="5" t="s">
        <v>677</v>
      </c>
      <c r="I84" s="5" t="s">
        <v>507</v>
      </c>
      <c r="J84" s="5" t="s">
        <v>678</v>
      </c>
      <c r="K84" s="5" t="s">
        <v>97</v>
      </c>
      <c r="L84" s="5" t="s">
        <v>679</v>
      </c>
      <c r="M84" s="5"/>
      <c r="N84" s="5" t="s">
        <v>680</v>
      </c>
      <c r="O84" s="5" t="s">
        <v>45</v>
      </c>
    </row>
    <row r="85" customFormat="false" ht="35.05" hidden="false" customHeight="false" outlineLevel="0" collapsed="false">
      <c r="A85" s="5" t="s">
        <v>681</v>
      </c>
      <c r="B85" s="5" t="s">
        <v>33</v>
      </c>
      <c r="C85" s="5" t="s">
        <v>665</v>
      </c>
      <c r="D85" s="5" t="s">
        <v>666</v>
      </c>
      <c r="E85" s="5" t="s">
        <v>667</v>
      </c>
      <c r="F85" s="5" t="s">
        <v>668</v>
      </c>
      <c r="G85" s="5" t="s">
        <v>682</v>
      </c>
      <c r="H85" s="5" t="s">
        <v>683</v>
      </c>
      <c r="I85" s="5" t="s">
        <v>684</v>
      </c>
      <c r="J85" s="5" t="s">
        <v>685</v>
      </c>
      <c r="K85" s="5" t="s">
        <v>73</v>
      </c>
      <c r="L85" s="5" t="s">
        <v>686</v>
      </c>
      <c r="M85" s="5"/>
      <c r="N85" s="5" t="s">
        <v>680</v>
      </c>
      <c r="O85" s="5" t="s">
        <v>45</v>
      </c>
    </row>
    <row r="86" customFormat="false" ht="35.05" hidden="false" customHeight="false" outlineLevel="0" collapsed="false">
      <c r="A86" s="5" t="s">
        <v>687</v>
      </c>
      <c r="B86" s="5" t="s">
        <v>175</v>
      </c>
      <c r="C86" s="5" t="s">
        <v>688</v>
      </c>
      <c r="D86" s="5" t="s">
        <v>689</v>
      </c>
      <c r="E86" s="5" t="s">
        <v>690</v>
      </c>
      <c r="F86" s="5" t="s">
        <v>691</v>
      </c>
      <c r="G86" s="5" t="s">
        <v>692</v>
      </c>
      <c r="H86" s="5" t="s">
        <v>693</v>
      </c>
      <c r="I86" s="5" t="s">
        <v>694</v>
      </c>
      <c r="J86" s="5" t="s">
        <v>695</v>
      </c>
      <c r="K86" s="5" t="s">
        <v>97</v>
      </c>
      <c r="L86" s="5" t="s">
        <v>696</v>
      </c>
      <c r="M86" s="5"/>
      <c r="N86" s="5" t="s">
        <v>697</v>
      </c>
      <c r="O86" s="5" t="s">
        <v>45</v>
      </c>
    </row>
    <row r="87" customFormat="false" ht="35.05" hidden="false" customHeight="false" outlineLevel="0" collapsed="false">
      <c r="A87" s="5" t="s">
        <v>698</v>
      </c>
      <c r="B87" s="5" t="s">
        <v>175</v>
      </c>
      <c r="C87" s="5" t="s">
        <v>688</v>
      </c>
      <c r="D87" s="5" t="s">
        <v>689</v>
      </c>
      <c r="E87" s="5" t="s">
        <v>690</v>
      </c>
      <c r="F87" s="5" t="s">
        <v>691</v>
      </c>
      <c r="G87" s="5" t="s">
        <v>699</v>
      </c>
      <c r="H87" s="5" t="s">
        <v>700</v>
      </c>
      <c r="I87" s="5" t="s">
        <v>701</v>
      </c>
      <c r="J87" s="5" t="s">
        <v>702</v>
      </c>
      <c r="K87" s="5" t="s">
        <v>73</v>
      </c>
      <c r="L87" s="5" t="s">
        <v>703</v>
      </c>
      <c r="M87" s="5"/>
      <c r="N87" s="5" t="s">
        <v>697</v>
      </c>
      <c r="O87" s="5" t="s">
        <v>45</v>
      </c>
    </row>
    <row r="88" customFormat="false" ht="35.05" hidden="false" customHeight="false" outlineLevel="0" collapsed="false">
      <c r="A88" s="5" t="s">
        <v>704</v>
      </c>
      <c r="B88" s="5" t="s">
        <v>175</v>
      </c>
      <c r="C88" s="5" t="s">
        <v>688</v>
      </c>
      <c r="D88" s="5" t="s">
        <v>689</v>
      </c>
      <c r="E88" s="5" t="s">
        <v>690</v>
      </c>
      <c r="F88" s="5" t="s">
        <v>691</v>
      </c>
      <c r="G88" s="5" t="s">
        <v>705</v>
      </c>
      <c r="H88" s="5" t="s">
        <v>706</v>
      </c>
      <c r="I88" s="5" t="s">
        <v>707</v>
      </c>
      <c r="J88" s="5" t="s">
        <v>708</v>
      </c>
      <c r="K88" s="5" t="s">
        <v>73</v>
      </c>
      <c r="L88" s="5" t="s">
        <v>709</v>
      </c>
      <c r="M88" s="5"/>
      <c r="N88" s="5" t="s">
        <v>710</v>
      </c>
      <c r="O88" s="5" t="s">
        <v>45</v>
      </c>
    </row>
    <row r="89" customFormat="false" ht="35.05" hidden="false" customHeight="false" outlineLevel="0" collapsed="false">
      <c r="A89" s="5" t="s">
        <v>711</v>
      </c>
      <c r="B89" s="5" t="s">
        <v>175</v>
      </c>
      <c r="C89" s="5" t="s">
        <v>712</v>
      </c>
      <c r="D89" s="5" t="s">
        <v>713</v>
      </c>
      <c r="E89" s="5" t="s">
        <v>714</v>
      </c>
      <c r="F89" s="5" t="s">
        <v>715</v>
      </c>
      <c r="G89" s="5" t="s">
        <v>716</v>
      </c>
      <c r="H89" s="5" t="s">
        <v>717</v>
      </c>
      <c r="I89" s="5" t="s">
        <v>718</v>
      </c>
      <c r="J89" s="5" t="s">
        <v>719</v>
      </c>
      <c r="K89" s="5" t="s">
        <v>73</v>
      </c>
      <c r="L89" s="5" t="s">
        <v>720</v>
      </c>
      <c r="M89" s="5"/>
      <c r="N89" s="5" t="s">
        <v>721</v>
      </c>
      <c r="O89" s="5" t="s">
        <v>45</v>
      </c>
    </row>
    <row r="90" customFormat="false" ht="35.05" hidden="false" customHeight="false" outlineLevel="0" collapsed="false">
      <c r="A90" s="5" t="s">
        <v>722</v>
      </c>
      <c r="B90" s="5" t="s">
        <v>175</v>
      </c>
      <c r="C90" s="5" t="s">
        <v>712</v>
      </c>
      <c r="D90" s="5" t="s">
        <v>713</v>
      </c>
      <c r="E90" s="5" t="s">
        <v>714</v>
      </c>
      <c r="F90" s="5" t="s">
        <v>715</v>
      </c>
      <c r="G90" s="5" t="s">
        <v>723</v>
      </c>
      <c r="H90" s="5" t="s">
        <v>724</v>
      </c>
      <c r="I90" s="5" t="s">
        <v>725</v>
      </c>
      <c r="J90" s="5" t="s">
        <v>726</v>
      </c>
      <c r="K90" s="5" t="s">
        <v>97</v>
      </c>
      <c r="L90" s="5" t="s">
        <v>727</v>
      </c>
      <c r="M90" s="5"/>
      <c r="N90" s="5" t="s">
        <v>721</v>
      </c>
      <c r="O90" s="5" t="s">
        <v>45</v>
      </c>
    </row>
    <row r="91" customFormat="false" ht="35.05" hidden="false" customHeight="false" outlineLevel="0" collapsed="false">
      <c r="A91" s="5" t="s">
        <v>728</v>
      </c>
      <c r="B91" s="5" t="s">
        <v>175</v>
      </c>
      <c r="C91" s="5" t="s">
        <v>712</v>
      </c>
      <c r="D91" s="5" t="s">
        <v>713</v>
      </c>
      <c r="E91" s="5" t="s">
        <v>714</v>
      </c>
      <c r="F91" s="5" t="s">
        <v>715</v>
      </c>
      <c r="G91" s="5" t="s">
        <v>729</v>
      </c>
      <c r="H91" s="5" t="s">
        <v>730</v>
      </c>
      <c r="I91" s="5" t="s">
        <v>731</v>
      </c>
      <c r="J91" s="5" t="s">
        <v>732</v>
      </c>
      <c r="K91" s="5" t="s">
        <v>42</v>
      </c>
      <c r="L91" s="5" t="s">
        <v>733</v>
      </c>
      <c r="M91" s="5"/>
      <c r="N91" s="5" t="s">
        <v>734</v>
      </c>
      <c r="O91" s="5" t="s">
        <v>45</v>
      </c>
    </row>
    <row r="92" customFormat="false" ht="35.05" hidden="false" customHeight="false" outlineLevel="0" collapsed="false">
      <c r="A92" s="5" t="s">
        <v>735</v>
      </c>
      <c r="B92" s="5" t="s">
        <v>175</v>
      </c>
      <c r="C92" s="5" t="s">
        <v>736</v>
      </c>
      <c r="D92" s="5" t="s">
        <v>737</v>
      </c>
      <c r="E92" s="5" t="s">
        <v>738</v>
      </c>
      <c r="F92" s="5" t="s">
        <v>739</v>
      </c>
      <c r="G92" s="5" t="s">
        <v>740</v>
      </c>
      <c r="H92" s="5" t="s">
        <v>741</v>
      </c>
      <c r="I92" s="5" t="s">
        <v>742</v>
      </c>
      <c r="J92" s="5" t="s">
        <v>743</v>
      </c>
      <c r="K92" s="5" t="s">
        <v>97</v>
      </c>
      <c r="L92" s="5" t="s">
        <v>744</v>
      </c>
      <c r="M92" s="5"/>
      <c r="N92" s="5" t="s">
        <v>745</v>
      </c>
      <c r="O92" s="5" t="s">
        <v>45</v>
      </c>
    </row>
    <row r="93" customFormat="false" ht="35.05" hidden="false" customHeight="false" outlineLevel="0" collapsed="false">
      <c r="A93" s="5" t="s">
        <v>746</v>
      </c>
      <c r="B93" s="5" t="s">
        <v>175</v>
      </c>
      <c r="C93" s="5" t="s">
        <v>736</v>
      </c>
      <c r="D93" s="5" t="s">
        <v>737</v>
      </c>
      <c r="E93" s="5" t="s">
        <v>738</v>
      </c>
      <c r="F93" s="5" t="s">
        <v>739</v>
      </c>
      <c r="G93" s="5" t="s">
        <v>747</v>
      </c>
      <c r="H93" s="5" t="s">
        <v>748</v>
      </c>
      <c r="I93" s="5" t="s">
        <v>749</v>
      </c>
      <c r="J93" s="5" t="s">
        <v>750</v>
      </c>
      <c r="K93" s="5" t="s">
        <v>73</v>
      </c>
      <c r="L93" s="5" t="s">
        <v>751</v>
      </c>
      <c r="M93" s="5"/>
      <c r="N93" s="5" t="s">
        <v>752</v>
      </c>
      <c r="O93" s="5" t="s">
        <v>45</v>
      </c>
    </row>
    <row r="94" customFormat="false" ht="35.05" hidden="false" customHeight="false" outlineLevel="0" collapsed="false">
      <c r="A94" s="5" t="s">
        <v>753</v>
      </c>
      <c r="B94" s="5" t="s">
        <v>175</v>
      </c>
      <c r="C94" s="5" t="s">
        <v>736</v>
      </c>
      <c r="D94" s="5" t="s">
        <v>737</v>
      </c>
      <c r="E94" s="5" t="s">
        <v>738</v>
      </c>
      <c r="F94" s="5" t="s">
        <v>739</v>
      </c>
      <c r="G94" s="5" t="s">
        <v>754</v>
      </c>
      <c r="H94" s="5" t="s">
        <v>755</v>
      </c>
      <c r="I94" s="5" t="s">
        <v>756</v>
      </c>
      <c r="J94" s="5" t="s">
        <v>757</v>
      </c>
      <c r="K94" s="5" t="s">
        <v>42</v>
      </c>
      <c r="L94" s="5" t="s">
        <v>758</v>
      </c>
      <c r="M94" s="5"/>
      <c r="N94" s="5" t="s">
        <v>759</v>
      </c>
      <c r="O94" s="5" t="s">
        <v>45</v>
      </c>
    </row>
    <row r="95" customFormat="false" ht="23.85" hidden="false" customHeight="false" outlineLevel="0" collapsed="false">
      <c r="A95" s="5" t="s">
        <v>760</v>
      </c>
      <c r="B95" s="5" t="s">
        <v>175</v>
      </c>
      <c r="C95" s="5" t="s">
        <v>761</v>
      </c>
      <c r="D95" s="5" t="s">
        <v>762</v>
      </c>
      <c r="E95" s="5" t="s">
        <v>763</v>
      </c>
      <c r="F95" s="5" t="s">
        <v>764</v>
      </c>
      <c r="G95" s="5" t="s">
        <v>765</v>
      </c>
      <c r="H95" s="5" t="s">
        <v>766</v>
      </c>
      <c r="I95" s="5" t="s">
        <v>767</v>
      </c>
      <c r="J95" s="5" t="s">
        <v>768</v>
      </c>
      <c r="K95" s="5" t="s">
        <v>42</v>
      </c>
      <c r="L95" s="5" t="s">
        <v>769</v>
      </c>
      <c r="M95" s="5"/>
      <c r="N95" s="5" t="s">
        <v>770</v>
      </c>
      <c r="O95" s="5" t="s">
        <v>45</v>
      </c>
    </row>
    <row r="96" customFormat="false" ht="35.05" hidden="false" customHeight="false" outlineLevel="0" collapsed="false">
      <c r="A96" s="5" t="s">
        <v>771</v>
      </c>
      <c r="B96" s="5" t="s">
        <v>175</v>
      </c>
      <c r="C96" s="5" t="s">
        <v>761</v>
      </c>
      <c r="D96" s="5" t="s">
        <v>762</v>
      </c>
      <c r="E96" s="5" t="s">
        <v>763</v>
      </c>
      <c r="F96" s="5" t="s">
        <v>764</v>
      </c>
      <c r="G96" s="5" t="s">
        <v>772</v>
      </c>
      <c r="H96" s="5" t="s">
        <v>773</v>
      </c>
      <c r="I96" s="5" t="s">
        <v>774</v>
      </c>
      <c r="J96" s="5" t="s">
        <v>775</v>
      </c>
      <c r="K96" s="5" t="s">
        <v>73</v>
      </c>
      <c r="L96" s="5" t="s">
        <v>776</v>
      </c>
      <c r="M96" s="5"/>
      <c r="N96" s="5" t="s">
        <v>777</v>
      </c>
      <c r="O96" s="5" t="s">
        <v>45</v>
      </c>
    </row>
    <row r="97" customFormat="false" ht="23.85" hidden="false" customHeight="false" outlineLevel="0" collapsed="false">
      <c r="A97" s="5" t="s">
        <v>778</v>
      </c>
      <c r="B97" s="5" t="s">
        <v>175</v>
      </c>
      <c r="C97" s="5" t="s">
        <v>761</v>
      </c>
      <c r="D97" s="5" t="s">
        <v>762</v>
      </c>
      <c r="E97" s="5" t="s">
        <v>763</v>
      </c>
      <c r="F97" s="5" t="s">
        <v>764</v>
      </c>
      <c r="G97" s="5" t="s">
        <v>779</v>
      </c>
      <c r="H97" s="5" t="s">
        <v>780</v>
      </c>
      <c r="I97" s="5" t="s">
        <v>781</v>
      </c>
      <c r="J97" s="5" t="s">
        <v>782</v>
      </c>
      <c r="K97" s="5" t="s">
        <v>97</v>
      </c>
      <c r="L97" s="5" t="s">
        <v>783</v>
      </c>
      <c r="M97" s="5"/>
      <c r="N97" s="5" t="s">
        <v>770</v>
      </c>
      <c r="O97" s="5" t="s">
        <v>45</v>
      </c>
    </row>
    <row r="98" customFormat="false" ht="35.05" hidden="false" customHeight="false" outlineLevel="0" collapsed="false">
      <c r="A98" s="5" t="s">
        <v>784</v>
      </c>
      <c r="B98" s="5" t="s">
        <v>175</v>
      </c>
      <c r="C98" s="5" t="s">
        <v>785</v>
      </c>
      <c r="D98" s="5" t="s">
        <v>786</v>
      </c>
      <c r="E98" s="5" t="s">
        <v>787</v>
      </c>
      <c r="F98" s="5" t="s">
        <v>788</v>
      </c>
      <c r="G98" s="5" t="s">
        <v>789</v>
      </c>
      <c r="H98" s="5" t="s">
        <v>790</v>
      </c>
      <c r="I98" s="5" t="s">
        <v>791</v>
      </c>
      <c r="J98" s="5" t="s">
        <v>792</v>
      </c>
      <c r="K98" s="5" t="s">
        <v>42</v>
      </c>
      <c r="L98" s="5" t="s">
        <v>793</v>
      </c>
      <c r="M98" s="5"/>
      <c r="N98" s="5" t="s">
        <v>794</v>
      </c>
      <c r="O98" s="5" t="s">
        <v>45</v>
      </c>
    </row>
    <row r="99" customFormat="false" ht="35.05" hidden="false" customHeight="false" outlineLevel="0" collapsed="false">
      <c r="A99" s="5" t="s">
        <v>795</v>
      </c>
      <c r="B99" s="5" t="s">
        <v>175</v>
      </c>
      <c r="C99" s="5" t="s">
        <v>785</v>
      </c>
      <c r="D99" s="5" t="s">
        <v>786</v>
      </c>
      <c r="E99" s="5" t="s">
        <v>787</v>
      </c>
      <c r="F99" s="5" t="s">
        <v>788</v>
      </c>
      <c r="G99" s="5" t="s">
        <v>796</v>
      </c>
      <c r="H99" s="5" t="s">
        <v>797</v>
      </c>
      <c r="I99" s="5" t="s">
        <v>798</v>
      </c>
      <c r="J99" s="5" t="s">
        <v>799</v>
      </c>
      <c r="K99" s="5" t="s">
        <v>97</v>
      </c>
      <c r="L99" s="5" t="s">
        <v>800</v>
      </c>
      <c r="M99" s="5"/>
      <c r="N99" s="5" t="s">
        <v>794</v>
      </c>
      <c r="O99" s="5" t="s">
        <v>45</v>
      </c>
    </row>
    <row r="100" customFormat="false" ht="35.05" hidden="false" customHeight="false" outlineLevel="0" collapsed="false">
      <c r="A100" s="5" t="s">
        <v>801</v>
      </c>
      <c r="B100" s="5" t="s">
        <v>175</v>
      </c>
      <c r="C100" s="5" t="s">
        <v>785</v>
      </c>
      <c r="D100" s="5" t="s">
        <v>786</v>
      </c>
      <c r="E100" s="5" t="s">
        <v>787</v>
      </c>
      <c r="F100" s="5" t="s">
        <v>788</v>
      </c>
      <c r="G100" s="5" t="s">
        <v>802</v>
      </c>
      <c r="H100" s="5" t="s">
        <v>803</v>
      </c>
      <c r="I100" s="5" t="s">
        <v>804</v>
      </c>
      <c r="J100" s="5" t="s">
        <v>805</v>
      </c>
      <c r="K100" s="5" t="s">
        <v>42</v>
      </c>
      <c r="L100" s="5" t="s">
        <v>806</v>
      </c>
      <c r="M100" s="5"/>
      <c r="N100" s="5" t="s">
        <v>807</v>
      </c>
      <c r="O100" s="5" t="s">
        <v>45</v>
      </c>
    </row>
    <row r="101" customFormat="false" ht="35.05" hidden="false" customHeight="false" outlineLevel="0" collapsed="false">
      <c r="A101" s="5" t="s">
        <v>808</v>
      </c>
      <c r="B101" s="5" t="s">
        <v>175</v>
      </c>
      <c r="C101" s="5" t="s">
        <v>809</v>
      </c>
      <c r="D101" s="5" t="s">
        <v>810</v>
      </c>
      <c r="E101" s="5" t="s">
        <v>811</v>
      </c>
      <c r="F101" s="5" t="s">
        <v>812</v>
      </c>
      <c r="G101" s="5" t="s">
        <v>813</v>
      </c>
      <c r="H101" s="5" t="s">
        <v>814</v>
      </c>
      <c r="I101" s="5" t="s">
        <v>815</v>
      </c>
      <c r="J101" s="5" t="s">
        <v>816</v>
      </c>
      <c r="K101" s="5" t="s">
        <v>42</v>
      </c>
      <c r="L101" s="5" t="s">
        <v>817</v>
      </c>
      <c r="M101" s="5"/>
      <c r="N101" s="5" t="s">
        <v>818</v>
      </c>
      <c r="O101" s="5" t="s">
        <v>45</v>
      </c>
    </row>
    <row r="102" customFormat="false" ht="35.05" hidden="false" customHeight="false" outlineLevel="0" collapsed="false">
      <c r="A102" s="5" t="s">
        <v>819</v>
      </c>
      <c r="B102" s="5" t="s">
        <v>175</v>
      </c>
      <c r="C102" s="5" t="s">
        <v>809</v>
      </c>
      <c r="D102" s="5" t="s">
        <v>810</v>
      </c>
      <c r="E102" s="5" t="s">
        <v>811</v>
      </c>
      <c r="F102" s="5" t="s">
        <v>812</v>
      </c>
      <c r="G102" s="5" t="s">
        <v>820</v>
      </c>
      <c r="H102" s="5" t="s">
        <v>821</v>
      </c>
      <c r="I102" s="5" t="s">
        <v>822</v>
      </c>
      <c r="J102" s="5" t="s">
        <v>823</v>
      </c>
      <c r="K102" s="5" t="s">
        <v>97</v>
      </c>
      <c r="L102" s="5" t="s">
        <v>824</v>
      </c>
      <c r="M102" s="5"/>
      <c r="N102" s="5" t="s">
        <v>818</v>
      </c>
      <c r="O102" s="5" t="s">
        <v>45</v>
      </c>
    </row>
    <row r="103" customFormat="false" ht="35.05" hidden="false" customHeight="false" outlineLevel="0" collapsed="false">
      <c r="A103" s="5" t="s">
        <v>825</v>
      </c>
      <c r="B103" s="5" t="s">
        <v>175</v>
      </c>
      <c r="C103" s="5" t="s">
        <v>809</v>
      </c>
      <c r="D103" s="5" t="s">
        <v>810</v>
      </c>
      <c r="E103" s="5" t="s">
        <v>811</v>
      </c>
      <c r="F103" s="5" t="s">
        <v>812</v>
      </c>
      <c r="G103" s="5" t="s">
        <v>826</v>
      </c>
      <c r="H103" s="5" t="s">
        <v>827</v>
      </c>
      <c r="I103" s="5" t="s">
        <v>828</v>
      </c>
      <c r="J103" s="5" t="s">
        <v>829</v>
      </c>
      <c r="K103" s="5" t="s">
        <v>42</v>
      </c>
      <c r="L103" s="5" t="s">
        <v>830</v>
      </c>
      <c r="M103" s="5"/>
      <c r="N103" s="5" t="s">
        <v>818</v>
      </c>
      <c r="O103" s="5" t="s">
        <v>45</v>
      </c>
    </row>
    <row r="104" customFormat="false" ht="35.05" hidden="false" customHeight="false" outlineLevel="0" collapsed="false">
      <c r="A104" s="5" t="s">
        <v>831</v>
      </c>
      <c r="B104" s="5" t="s">
        <v>175</v>
      </c>
      <c r="C104" s="5" t="s">
        <v>176</v>
      </c>
      <c r="D104" s="5" t="s">
        <v>832</v>
      </c>
      <c r="E104" s="5" t="s">
        <v>833</v>
      </c>
      <c r="F104" s="5" t="s">
        <v>834</v>
      </c>
      <c r="G104" s="5" t="s">
        <v>835</v>
      </c>
      <c r="H104" s="5" t="s">
        <v>836</v>
      </c>
      <c r="I104" s="5" t="s">
        <v>837</v>
      </c>
      <c r="J104" s="5" t="s">
        <v>838</v>
      </c>
      <c r="K104" s="5" t="s">
        <v>97</v>
      </c>
      <c r="L104" s="5" t="s">
        <v>839</v>
      </c>
      <c r="M104" s="5"/>
      <c r="N104" s="5" t="s">
        <v>840</v>
      </c>
      <c r="O104" s="5" t="s">
        <v>45</v>
      </c>
    </row>
    <row r="105" customFormat="false" ht="35.05" hidden="false" customHeight="false" outlineLevel="0" collapsed="false">
      <c r="A105" s="5" t="s">
        <v>841</v>
      </c>
      <c r="B105" s="5" t="s">
        <v>175</v>
      </c>
      <c r="C105" s="5" t="s">
        <v>176</v>
      </c>
      <c r="D105" s="5" t="s">
        <v>832</v>
      </c>
      <c r="E105" s="5" t="s">
        <v>833</v>
      </c>
      <c r="F105" s="5" t="s">
        <v>834</v>
      </c>
      <c r="G105" s="5" t="s">
        <v>842</v>
      </c>
      <c r="H105" s="5" t="s">
        <v>843</v>
      </c>
      <c r="I105" s="5" t="s">
        <v>844</v>
      </c>
      <c r="J105" s="5" t="s">
        <v>845</v>
      </c>
      <c r="K105" s="5" t="s">
        <v>73</v>
      </c>
      <c r="L105" s="5" t="s">
        <v>846</v>
      </c>
      <c r="M105" s="5"/>
      <c r="N105" s="5" t="s">
        <v>840</v>
      </c>
      <c r="O105" s="5" t="s">
        <v>45</v>
      </c>
    </row>
    <row r="106" customFormat="false" ht="35.05" hidden="false" customHeight="false" outlineLevel="0" collapsed="false">
      <c r="A106" s="5" t="s">
        <v>847</v>
      </c>
      <c r="B106" s="5" t="s">
        <v>175</v>
      </c>
      <c r="C106" s="5" t="s">
        <v>176</v>
      </c>
      <c r="D106" s="5" t="s">
        <v>832</v>
      </c>
      <c r="E106" s="5" t="s">
        <v>833</v>
      </c>
      <c r="F106" s="5" t="s">
        <v>834</v>
      </c>
      <c r="G106" s="5" t="s">
        <v>848</v>
      </c>
      <c r="H106" s="5" t="s">
        <v>849</v>
      </c>
      <c r="I106" s="5" t="s">
        <v>850</v>
      </c>
      <c r="J106" s="5" t="s">
        <v>851</v>
      </c>
      <c r="K106" s="5" t="s">
        <v>73</v>
      </c>
      <c r="L106" s="5" t="s">
        <v>852</v>
      </c>
      <c r="M106" s="5"/>
      <c r="N106" s="5" t="s">
        <v>840</v>
      </c>
      <c r="O106" s="5" t="s">
        <v>45</v>
      </c>
    </row>
    <row r="107" customFormat="false" ht="35.05" hidden="false" customHeight="false" outlineLevel="0" collapsed="false">
      <c r="A107" s="5" t="s">
        <v>853</v>
      </c>
      <c r="B107" s="5" t="s">
        <v>175</v>
      </c>
      <c r="C107" s="5" t="s">
        <v>176</v>
      </c>
      <c r="D107" s="5" t="s">
        <v>854</v>
      </c>
      <c r="E107" s="5" t="s">
        <v>855</v>
      </c>
      <c r="F107" s="5" t="s">
        <v>856</v>
      </c>
      <c r="G107" s="5" t="s">
        <v>857</v>
      </c>
      <c r="H107" s="5" t="s">
        <v>858</v>
      </c>
      <c r="I107" s="5" t="s">
        <v>859</v>
      </c>
      <c r="J107" s="5" t="s">
        <v>860</v>
      </c>
      <c r="K107" s="5" t="s">
        <v>97</v>
      </c>
      <c r="L107" s="5" t="s">
        <v>861</v>
      </c>
      <c r="M107" s="5"/>
      <c r="N107" s="5" t="s">
        <v>862</v>
      </c>
      <c r="O107" s="5" t="s">
        <v>45</v>
      </c>
    </row>
    <row r="108" customFormat="false" ht="35.05" hidden="false" customHeight="false" outlineLevel="0" collapsed="false">
      <c r="A108" s="5" t="s">
        <v>863</v>
      </c>
      <c r="B108" s="5" t="s">
        <v>175</v>
      </c>
      <c r="C108" s="5" t="s">
        <v>176</v>
      </c>
      <c r="D108" s="5" t="s">
        <v>854</v>
      </c>
      <c r="E108" s="5" t="s">
        <v>855</v>
      </c>
      <c r="F108" s="5" t="s">
        <v>856</v>
      </c>
      <c r="G108" s="5" t="s">
        <v>864</v>
      </c>
      <c r="H108" s="5" t="s">
        <v>865</v>
      </c>
      <c r="I108" s="5" t="s">
        <v>866</v>
      </c>
      <c r="J108" s="5" t="s">
        <v>867</v>
      </c>
      <c r="K108" s="5" t="s">
        <v>42</v>
      </c>
      <c r="L108" s="5" t="s">
        <v>868</v>
      </c>
      <c r="M108" s="5"/>
      <c r="N108" s="5" t="s">
        <v>869</v>
      </c>
      <c r="O108" s="5" t="s">
        <v>45</v>
      </c>
    </row>
    <row r="109" customFormat="false" ht="35.05" hidden="false" customHeight="false" outlineLevel="0" collapsed="false">
      <c r="A109" s="5" t="s">
        <v>870</v>
      </c>
      <c r="B109" s="5" t="s">
        <v>175</v>
      </c>
      <c r="C109" s="5" t="s">
        <v>176</v>
      </c>
      <c r="D109" s="5" t="s">
        <v>854</v>
      </c>
      <c r="E109" s="5" t="s">
        <v>855</v>
      </c>
      <c r="F109" s="5" t="s">
        <v>856</v>
      </c>
      <c r="G109" s="5" t="s">
        <v>871</v>
      </c>
      <c r="H109" s="5" t="s">
        <v>872</v>
      </c>
      <c r="I109" s="5" t="s">
        <v>873</v>
      </c>
      <c r="J109" s="5" t="s">
        <v>874</v>
      </c>
      <c r="K109" s="5" t="s">
        <v>42</v>
      </c>
      <c r="L109" s="5" t="s">
        <v>875</v>
      </c>
      <c r="M109" s="5"/>
      <c r="N109" s="5" t="s">
        <v>876</v>
      </c>
      <c r="O109" s="5" t="s">
        <v>45</v>
      </c>
    </row>
    <row r="110" customFormat="false" ht="35.05" hidden="false" customHeight="false" outlineLevel="0" collapsed="false">
      <c r="A110" s="5" t="s">
        <v>877</v>
      </c>
      <c r="B110" s="5" t="s">
        <v>175</v>
      </c>
      <c r="C110" s="5" t="s">
        <v>878</v>
      </c>
      <c r="D110" s="5" t="s">
        <v>879</v>
      </c>
      <c r="E110" s="5" t="s">
        <v>880</v>
      </c>
      <c r="F110" s="5" t="s">
        <v>881</v>
      </c>
      <c r="G110" s="5" t="s">
        <v>882</v>
      </c>
      <c r="H110" s="5" t="s">
        <v>883</v>
      </c>
      <c r="I110" s="5" t="s">
        <v>884</v>
      </c>
      <c r="J110" s="5" t="s">
        <v>885</v>
      </c>
      <c r="K110" s="5" t="s">
        <v>73</v>
      </c>
      <c r="L110" s="5" t="s">
        <v>886</v>
      </c>
      <c r="M110" s="5"/>
      <c r="N110" s="5" t="s">
        <v>887</v>
      </c>
      <c r="O110" s="5" t="s">
        <v>45</v>
      </c>
    </row>
    <row r="111" customFormat="false" ht="35.05" hidden="false" customHeight="false" outlineLevel="0" collapsed="false">
      <c r="A111" s="5" t="s">
        <v>888</v>
      </c>
      <c r="B111" s="5" t="s">
        <v>175</v>
      </c>
      <c r="C111" s="5" t="s">
        <v>878</v>
      </c>
      <c r="D111" s="5" t="s">
        <v>879</v>
      </c>
      <c r="E111" s="5" t="s">
        <v>880</v>
      </c>
      <c r="F111" s="5" t="s">
        <v>881</v>
      </c>
      <c r="G111" s="5" t="s">
        <v>889</v>
      </c>
      <c r="H111" s="5" t="s">
        <v>890</v>
      </c>
      <c r="I111" s="5" t="s">
        <v>891</v>
      </c>
      <c r="J111" s="5" t="s">
        <v>892</v>
      </c>
      <c r="K111" s="5" t="s">
        <v>73</v>
      </c>
      <c r="L111" s="5" t="s">
        <v>893</v>
      </c>
      <c r="M111" s="5"/>
      <c r="N111" s="5" t="s">
        <v>887</v>
      </c>
      <c r="O111" s="5" t="s">
        <v>45</v>
      </c>
    </row>
    <row r="112" customFormat="false" ht="35.05" hidden="false" customHeight="false" outlineLevel="0" collapsed="false">
      <c r="A112" s="5" t="s">
        <v>894</v>
      </c>
      <c r="B112" s="5" t="s">
        <v>175</v>
      </c>
      <c r="C112" s="5" t="s">
        <v>878</v>
      </c>
      <c r="D112" s="5" t="s">
        <v>879</v>
      </c>
      <c r="E112" s="5" t="s">
        <v>880</v>
      </c>
      <c r="F112" s="5" t="s">
        <v>881</v>
      </c>
      <c r="G112" s="5" t="s">
        <v>895</v>
      </c>
      <c r="H112" s="5" t="s">
        <v>896</v>
      </c>
      <c r="I112" s="5" t="s">
        <v>897</v>
      </c>
      <c r="J112" s="5" t="s">
        <v>898</v>
      </c>
      <c r="K112" s="5" t="s">
        <v>73</v>
      </c>
      <c r="L112" s="5" t="s">
        <v>899</v>
      </c>
      <c r="M112" s="5"/>
      <c r="N112" s="5" t="s">
        <v>734</v>
      </c>
      <c r="O112" s="5" t="s">
        <v>45</v>
      </c>
    </row>
    <row r="113" customFormat="false" ht="35.05" hidden="false" customHeight="false" outlineLevel="0" collapsed="false">
      <c r="A113" s="5" t="s">
        <v>900</v>
      </c>
      <c r="B113" s="5" t="s">
        <v>175</v>
      </c>
      <c r="C113" s="5" t="s">
        <v>268</v>
      </c>
      <c r="D113" s="5" t="s">
        <v>901</v>
      </c>
      <c r="E113" s="5" t="s">
        <v>902</v>
      </c>
      <c r="F113" s="5" t="s">
        <v>903</v>
      </c>
      <c r="G113" s="5" t="s">
        <v>904</v>
      </c>
      <c r="H113" s="5" t="s">
        <v>905</v>
      </c>
      <c r="I113" s="5" t="s">
        <v>906</v>
      </c>
      <c r="J113" s="5" t="s">
        <v>907</v>
      </c>
      <c r="K113" s="5" t="s">
        <v>97</v>
      </c>
      <c r="L113" s="5" t="s">
        <v>908</v>
      </c>
      <c r="M113" s="5"/>
      <c r="N113" s="5" t="s">
        <v>909</v>
      </c>
      <c r="O113" s="5" t="s">
        <v>45</v>
      </c>
    </row>
    <row r="114" customFormat="false" ht="35.05" hidden="false" customHeight="false" outlineLevel="0" collapsed="false">
      <c r="A114" s="5" t="s">
        <v>910</v>
      </c>
      <c r="B114" s="5" t="s">
        <v>175</v>
      </c>
      <c r="C114" s="5" t="s">
        <v>268</v>
      </c>
      <c r="D114" s="5" t="s">
        <v>901</v>
      </c>
      <c r="E114" s="5" t="s">
        <v>902</v>
      </c>
      <c r="F114" s="5" t="s">
        <v>903</v>
      </c>
      <c r="G114" s="5" t="s">
        <v>911</v>
      </c>
      <c r="H114" s="5" t="s">
        <v>912</v>
      </c>
      <c r="I114" s="5" t="s">
        <v>913</v>
      </c>
      <c r="J114" s="5" t="s">
        <v>914</v>
      </c>
      <c r="K114" s="5" t="s">
        <v>73</v>
      </c>
      <c r="L114" s="5" t="s">
        <v>915</v>
      </c>
      <c r="M114" s="5"/>
      <c r="N114" s="5" t="s">
        <v>909</v>
      </c>
      <c r="O114" s="5" t="s">
        <v>45</v>
      </c>
    </row>
    <row r="115" customFormat="false" ht="35.05" hidden="false" customHeight="false" outlineLevel="0" collapsed="false">
      <c r="A115" s="5" t="s">
        <v>916</v>
      </c>
      <c r="B115" s="5" t="s">
        <v>175</v>
      </c>
      <c r="C115" s="5" t="s">
        <v>268</v>
      </c>
      <c r="D115" s="5" t="s">
        <v>901</v>
      </c>
      <c r="E115" s="5" t="s">
        <v>902</v>
      </c>
      <c r="F115" s="5" t="s">
        <v>903</v>
      </c>
      <c r="G115" s="5" t="s">
        <v>917</v>
      </c>
      <c r="H115" s="5" t="s">
        <v>918</v>
      </c>
      <c r="I115" s="5" t="s">
        <v>919</v>
      </c>
      <c r="J115" s="5" t="s">
        <v>920</v>
      </c>
      <c r="K115" s="5" t="s">
        <v>42</v>
      </c>
      <c r="L115" s="5" t="s">
        <v>921</v>
      </c>
      <c r="M115" s="5"/>
      <c r="N115" s="5" t="s">
        <v>909</v>
      </c>
      <c r="O115" s="5" t="s">
        <v>45</v>
      </c>
    </row>
    <row r="116" customFormat="false" ht="35.05" hidden="false" customHeight="false" outlineLevel="0" collapsed="false">
      <c r="A116" s="5" t="s">
        <v>922</v>
      </c>
      <c r="B116" s="5" t="s">
        <v>175</v>
      </c>
      <c r="C116" s="5" t="s">
        <v>176</v>
      </c>
      <c r="D116" s="5" t="s">
        <v>923</v>
      </c>
      <c r="E116" s="5" t="s">
        <v>924</v>
      </c>
      <c r="F116" s="5" t="s">
        <v>925</v>
      </c>
      <c r="G116" s="5" t="s">
        <v>926</v>
      </c>
      <c r="H116" s="5" t="s">
        <v>927</v>
      </c>
      <c r="I116" s="5" t="s">
        <v>928</v>
      </c>
      <c r="J116" s="5" t="s">
        <v>929</v>
      </c>
      <c r="K116" s="5" t="s">
        <v>73</v>
      </c>
      <c r="L116" s="5" t="s">
        <v>930</v>
      </c>
      <c r="M116" s="5"/>
      <c r="N116" s="5" t="s">
        <v>931</v>
      </c>
      <c r="O116" s="5" t="s">
        <v>45</v>
      </c>
    </row>
    <row r="117" customFormat="false" ht="35.05" hidden="false" customHeight="false" outlineLevel="0" collapsed="false">
      <c r="A117" s="5" t="s">
        <v>932</v>
      </c>
      <c r="B117" s="5" t="s">
        <v>175</v>
      </c>
      <c r="C117" s="5" t="s">
        <v>176</v>
      </c>
      <c r="D117" s="5" t="s">
        <v>923</v>
      </c>
      <c r="E117" s="5" t="s">
        <v>924</v>
      </c>
      <c r="F117" s="5" t="s">
        <v>925</v>
      </c>
      <c r="G117" s="5" t="s">
        <v>933</v>
      </c>
      <c r="H117" s="5" t="s">
        <v>934</v>
      </c>
      <c r="I117" s="5" t="s">
        <v>935</v>
      </c>
      <c r="J117" s="5" t="s">
        <v>936</v>
      </c>
      <c r="K117" s="5" t="s">
        <v>97</v>
      </c>
      <c r="L117" s="5" t="s">
        <v>937</v>
      </c>
      <c r="M117" s="5"/>
      <c r="N117" s="5" t="s">
        <v>734</v>
      </c>
      <c r="O117" s="5" t="s">
        <v>45</v>
      </c>
    </row>
    <row r="118" customFormat="false" ht="35.05" hidden="false" customHeight="false" outlineLevel="0" collapsed="false">
      <c r="A118" s="5" t="s">
        <v>938</v>
      </c>
      <c r="B118" s="5" t="s">
        <v>175</v>
      </c>
      <c r="C118" s="5" t="s">
        <v>176</v>
      </c>
      <c r="D118" s="5" t="s">
        <v>923</v>
      </c>
      <c r="E118" s="5" t="s">
        <v>924</v>
      </c>
      <c r="F118" s="5" t="s">
        <v>925</v>
      </c>
      <c r="G118" s="5" t="s">
        <v>939</v>
      </c>
      <c r="H118" s="5" t="s">
        <v>940</v>
      </c>
      <c r="I118" s="5" t="s">
        <v>941</v>
      </c>
      <c r="J118" s="5" t="s">
        <v>942</v>
      </c>
      <c r="K118" s="5" t="s">
        <v>97</v>
      </c>
      <c r="L118" s="5" t="s">
        <v>943</v>
      </c>
      <c r="M118" s="5"/>
      <c r="N118" s="5" t="s">
        <v>944</v>
      </c>
      <c r="O118" s="5" t="s">
        <v>45</v>
      </c>
    </row>
    <row r="119" customFormat="false" ht="35.05" hidden="false" customHeight="false" outlineLevel="0" collapsed="false">
      <c r="A119" s="5" t="s">
        <v>945</v>
      </c>
      <c r="B119" s="5" t="s">
        <v>314</v>
      </c>
      <c r="C119" s="5" t="s">
        <v>383</v>
      </c>
      <c r="D119" s="5" t="s">
        <v>946</v>
      </c>
      <c r="E119" s="5" t="s">
        <v>947</v>
      </c>
      <c r="F119" s="5" t="s">
        <v>948</v>
      </c>
      <c r="G119" s="5" t="s">
        <v>949</v>
      </c>
      <c r="H119" s="5" t="s">
        <v>950</v>
      </c>
      <c r="I119" s="5" t="s">
        <v>951</v>
      </c>
      <c r="J119" s="5" t="s">
        <v>952</v>
      </c>
      <c r="K119" s="5" t="s">
        <v>97</v>
      </c>
      <c r="L119" s="5" t="s">
        <v>953</v>
      </c>
      <c r="M119" s="5"/>
      <c r="N119" s="5" t="s">
        <v>392</v>
      </c>
      <c r="O119" s="5" t="s">
        <v>45</v>
      </c>
    </row>
    <row r="120" customFormat="false" ht="23.85" hidden="false" customHeight="false" outlineLevel="0" collapsed="false">
      <c r="A120" s="5" t="s">
        <v>954</v>
      </c>
      <c r="B120" s="5" t="s">
        <v>314</v>
      </c>
      <c r="C120" s="5" t="s">
        <v>383</v>
      </c>
      <c r="D120" s="5" t="s">
        <v>946</v>
      </c>
      <c r="E120" s="5" t="s">
        <v>947</v>
      </c>
      <c r="F120" s="5" t="s">
        <v>948</v>
      </c>
      <c r="G120" s="5" t="s">
        <v>955</v>
      </c>
      <c r="H120" s="5" t="s">
        <v>956</v>
      </c>
      <c r="I120" s="5" t="s">
        <v>957</v>
      </c>
      <c r="J120" s="5" t="s">
        <v>958</v>
      </c>
      <c r="K120" s="5" t="s">
        <v>73</v>
      </c>
      <c r="L120" s="5" t="s">
        <v>959</v>
      </c>
      <c r="M120" s="5"/>
      <c r="N120" s="5" t="s">
        <v>960</v>
      </c>
      <c r="O120" s="5" t="s">
        <v>45</v>
      </c>
    </row>
    <row r="121" customFormat="false" ht="23.85" hidden="false" customHeight="false" outlineLevel="0" collapsed="false">
      <c r="A121" s="5" t="s">
        <v>961</v>
      </c>
      <c r="B121" s="5" t="s">
        <v>314</v>
      </c>
      <c r="C121" s="5" t="s">
        <v>383</v>
      </c>
      <c r="D121" s="5" t="s">
        <v>946</v>
      </c>
      <c r="E121" s="5" t="s">
        <v>947</v>
      </c>
      <c r="F121" s="5" t="s">
        <v>948</v>
      </c>
      <c r="G121" s="5" t="s">
        <v>962</v>
      </c>
      <c r="H121" s="5" t="s">
        <v>963</v>
      </c>
      <c r="I121" s="5" t="s">
        <v>964</v>
      </c>
      <c r="J121" s="5" t="s">
        <v>965</v>
      </c>
      <c r="K121" s="5" t="s">
        <v>42</v>
      </c>
      <c r="L121" s="5" t="s">
        <v>966</v>
      </c>
      <c r="M121" s="5"/>
      <c r="N121" s="5" t="s">
        <v>967</v>
      </c>
      <c r="O121" s="5" t="s">
        <v>45</v>
      </c>
    </row>
    <row r="122" customFormat="false" ht="35.05" hidden="false" customHeight="false" outlineLevel="0" collapsed="false">
      <c r="A122" s="5" t="s">
        <v>968</v>
      </c>
      <c r="B122" s="5" t="s">
        <v>314</v>
      </c>
      <c r="C122" s="5" t="s">
        <v>338</v>
      </c>
      <c r="D122" s="5" t="s">
        <v>969</v>
      </c>
      <c r="E122" s="5" t="s">
        <v>970</v>
      </c>
      <c r="F122" s="5" t="s">
        <v>971</v>
      </c>
      <c r="G122" s="5" t="s">
        <v>972</v>
      </c>
      <c r="H122" s="5" t="s">
        <v>973</v>
      </c>
      <c r="I122" s="5" t="s">
        <v>488</v>
      </c>
      <c r="J122" s="5" t="s">
        <v>974</v>
      </c>
      <c r="K122" s="5" t="s">
        <v>97</v>
      </c>
      <c r="L122" s="5" t="s">
        <v>975</v>
      </c>
      <c r="M122" s="5"/>
      <c r="N122" s="5" t="s">
        <v>976</v>
      </c>
      <c r="O122" s="5" t="s">
        <v>45</v>
      </c>
    </row>
    <row r="123" customFormat="false" ht="35.05" hidden="false" customHeight="false" outlineLevel="0" collapsed="false">
      <c r="A123" s="5" t="s">
        <v>977</v>
      </c>
      <c r="B123" s="5" t="s">
        <v>314</v>
      </c>
      <c r="C123" s="5" t="s">
        <v>338</v>
      </c>
      <c r="D123" s="5" t="s">
        <v>969</v>
      </c>
      <c r="E123" s="5" t="s">
        <v>970</v>
      </c>
      <c r="F123" s="5" t="s">
        <v>971</v>
      </c>
      <c r="G123" s="5" t="s">
        <v>978</v>
      </c>
      <c r="H123" s="5" t="s">
        <v>979</v>
      </c>
      <c r="I123" s="5" t="s">
        <v>980</v>
      </c>
      <c r="J123" s="5" t="s">
        <v>981</v>
      </c>
      <c r="K123" s="5" t="s">
        <v>97</v>
      </c>
      <c r="L123" s="5" t="s">
        <v>982</v>
      </c>
      <c r="M123" s="5"/>
      <c r="N123" s="5" t="s">
        <v>983</v>
      </c>
      <c r="O123" s="5" t="s">
        <v>45</v>
      </c>
    </row>
    <row r="124" customFormat="false" ht="35.05" hidden="false" customHeight="false" outlineLevel="0" collapsed="false">
      <c r="A124" s="5" t="s">
        <v>984</v>
      </c>
      <c r="B124" s="5" t="s">
        <v>314</v>
      </c>
      <c r="C124" s="5" t="s">
        <v>338</v>
      </c>
      <c r="D124" s="5" t="s">
        <v>969</v>
      </c>
      <c r="E124" s="5" t="s">
        <v>970</v>
      </c>
      <c r="F124" s="5" t="s">
        <v>971</v>
      </c>
      <c r="G124" s="5" t="s">
        <v>985</v>
      </c>
      <c r="H124" s="5" t="s">
        <v>986</v>
      </c>
      <c r="I124" s="5" t="s">
        <v>987</v>
      </c>
      <c r="J124" s="5" t="s">
        <v>988</v>
      </c>
      <c r="K124" s="5" t="s">
        <v>42</v>
      </c>
      <c r="L124" s="5" t="s">
        <v>989</v>
      </c>
      <c r="M124" s="5"/>
      <c r="N124" s="5" t="s">
        <v>990</v>
      </c>
      <c r="O124" s="5" t="s">
        <v>45</v>
      </c>
    </row>
    <row r="125" customFormat="false" ht="35.05" hidden="false" customHeight="false" outlineLevel="0" collapsed="false">
      <c r="A125" s="5" t="s">
        <v>991</v>
      </c>
      <c r="B125" s="5" t="s">
        <v>314</v>
      </c>
      <c r="C125" s="5" t="s">
        <v>338</v>
      </c>
      <c r="D125" s="5" t="s">
        <v>992</v>
      </c>
      <c r="E125" s="5" t="s">
        <v>993</v>
      </c>
      <c r="F125" s="5" t="s">
        <v>994</v>
      </c>
      <c r="G125" s="5" t="s">
        <v>995</v>
      </c>
      <c r="H125" s="5" t="s">
        <v>996</v>
      </c>
      <c r="I125" s="5" t="s">
        <v>997</v>
      </c>
      <c r="J125" s="5" t="s">
        <v>998</v>
      </c>
      <c r="K125" s="5" t="s">
        <v>97</v>
      </c>
      <c r="L125" s="5" t="s">
        <v>999</v>
      </c>
      <c r="M125" s="5"/>
      <c r="N125" s="5" t="s">
        <v>976</v>
      </c>
      <c r="O125" s="5" t="s">
        <v>45</v>
      </c>
    </row>
    <row r="126" customFormat="false" ht="35.05" hidden="false" customHeight="false" outlineLevel="0" collapsed="false">
      <c r="A126" s="5" t="s">
        <v>1000</v>
      </c>
      <c r="B126" s="5" t="s">
        <v>314</v>
      </c>
      <c r="C126" s="5" t="s">
        <v>338</v>
      </c>
      <c r="D126" s="5" t="s">
        <v>992</v>
      </c>
      <c r="E126" s="5" t="s">
        <v>993</v>
      </c>
      <c r="F126" s="5" t="s">
        <v>994</v>
      </c>
      <c r="G126" s="5" t="s">
        <v>1001</v>
      </c>
      <c r="H126" s="5" t="s">
        <v>1002</v>
      </c>
      <c r="I126" s="5" t="s">
        <v>1003</v>
      </c>
      <c r="J126" s="5" t="s">
        <v>1004</v>
      </c>
      <c r="K126" s="5" t="s">
        <v>42</v>
      </c>
      <c r="L126" s="5" t="s">
        <v>1005</v>
      </c>
      <c r="M126" s="5"/>
      <c r="N126" s="5" t="s">
        <v>1006</v>
      </c>
      <c r="O126" s="5" t="s">
        <v>45</v>
      </c>
    </row>
    <row r="127" customFormat="false" ht="35.05" hidden="false" customHeight="false" outlineLevel="0" collapsed="false">
      <c r="A127" s="5" t="s">
        <v>1007</v>
      </c>
      <c r="B127" s="5" t="s">
        <v>314</v>
      </c>
      <c r="C127" s="5" t="s">
        <v>338</v>
      </c>
      <c r="D127" s="5" t="s">
        <v>992</v>
      </c>
      <c r="E127" s="5" t="s">
        <v>993</v>
      </c>
      <c r="F127" s="5" t="s">
        <v>994</v>
      </c>
      <c r="G127" s="5" t="s">
        <v>1008</v>
      </c>
      <c r="H127" s="5" t="s">
        <v>1009</v>
      </c>
      <c r="I127" s="5" t="s">
        <v>1010</v>
      </c>
      <c r="J127" s="5" t="s">
        <v>1011</v>
      </c>
      <c r="K127" s="5" t="s">
        <v>73</v>
      </c>
      <c r="L127" s="5" t="s">
        <v>1012</v>
      </c>
      <c r="M127" s="5"/>
      <c r="N127" s="5" t="s">
        <v>1013</v>
      </c>
      <c r="O127" s="5" t="s">
        <v>45</v>
      </c>
    </row>
    <row r="128" customFormat="false" ht="35.05" hidden="false" customHeight="false" outlineLevel="0" collapsed="false">
      <c r="A128" s="5" t="s">
        <v>1014</v>
      </c>
      <c r="B128" s="5" t="s">
        <v>314</v>
      </c>
      <c r="C128" s="5" t="s">
        <v>1015</v>
      </c>
      <c r="D128" s="5" t="s">
        <v>1016</v>
      </c>
      <c r="E128" s="5" t="s">
        <v>1017</v>
      </c>
      <c r="F128" s="5" t="s">
        <v>1018</v>
      </c>
      <c r="G128" s="5" t="s">
        <v>1019</v>
      </c>
      <c r="H128" s="5" t="s">
        <v>1020</v>
      </c>
      <c r="I128" s="5" t="s">
        <v>974</v>
      </c>
      <c r="J128" s="5" t="s">
        <v>1021</v>
      </c>
      <c r="K128" s="5" t="s">
        <v>73</v>
      </c>
      <c r="L128" s="5" t="s">
        <v>1022</v>
      </c>
      <c r="M128" s="5"/>
      <c r="N128" s="5" t="s">
        <v>1023</v>
      </c>
      <c r="O128" s="5" t="s">
        <v>45</v>
      </c>
    </row>
    <row r="129" customFormat="false" ht="46.25" hidden="false" customHeight="false" outlineLevel="0" collapsed="false">
      <c r="A129" s="5" t="s">
        <v>1024</v>
      </c>
      <c r="B129" s="5" t="s">
        <v>314</v>
      </c>
      <c r="C129" s="5" t="s">
        <v>1015</v>
      </c>
      <c r="D129" s="5" t="s">
        <v>1016</v>
      </c>
      <c r="E129" s="5" t="s">
        <v>1017</v>
      </c>
      <c r="F129" s="5" t="s">
        <v>1018</v>
      </c>
      <c r="G129" s="5" t="s">
        <v>1025</v>
      </c>
      <c r="H129" s="5" t="s">
        <v>1026</v>
      </c>
      <c r="I129" s="5" t="s">
        <v>1027</v>
      </c>
      <c r="J129" s="5" t="s">
        <v>1028</v>
      </c>
      <c r="K129" s="5" t="s">
        <v>42</v>
      </c>
      <c r="L129" s="5" t="s">
        <v>1029</v>
      </c>
      <c r="M129" s="5"/>
      <c r="N129" s="5" t="s">
        <v>1023</v>
      </c>
      <c r="O129" s="5" t="s">
        <v>45</v>
      </c>
    </row>
    <row r="130" customFormat="false" ht="35.05" hidden="false" customHeight="false" outlineLevel="0" collapsed="false">
      <c r="A130" s="5" t="s">
        <v>1030</v>
      </c>
      <c r="B130" s="5" t="s">
        <v>314</v>
      </c>
      <c r="C130" s="5" t="s">
        <v>1015</v>
      </c>
      <c r="D130" s="5" t="s">
        <v>1016</v>
      </c>
      <c r="E130" s="5" t="s">
        <v>1017</v>
      </c>
      <c r="F130" s="5" t="s">
        <v>1018</v>
      </c>
      <c r="G130" s="5" t="s">
        <v>1031</v>
      </c>
      <c r="H130" s="5" t="s">
        <v>1032</v>
      </c>
      <c r="I130" s="5" t="s">
        <v>1033</v>
      </c>
      <c r="J130" s="5" t="s">
        <v>1034</v>
      </c>
      <c r="K130" s="5" t="s">
        <v>97</v>
      </c>
      <c r="L130" s="5" t="s">
        <v>1035</v>
      </c>
      <c r="M130" s="5"/>
      <c r="N130" s="5" t="s">
        <v>1036</v>
      </c>
      <c r="O130" s="5" t="s">
        <v>45</v>
      </c>
    </row>
    <row r="131" customFormat="false" ht="35.05" hidden="false" customHeight="false" outlineLevel="0" collapsed="false">
      <c r="A131" s="5" t="s">
        <v>1037</v>
      </c>
      <c r="B131" s="5" t="s">
        <v>314</v>
      </c>
      <c r="C131" s="5" t="s">
        <v>338</v>
      </c>
      <c r="D131" s="5" t="s">
        <v>1038</v>
      </c>
      <c r="E131" s="5" t="s">
        <v>1039</v>
      </c>
      <c r="F131" s="5" t="s">
        <v>1040</v>
      </c>
      <c r="G131" s="5" t="s">
        <v>1041</v>
      </c>
      <c r="H131" s="5" t="s">
        <v>1042</v>
      </c>
      <c r="I131" s="5" t="s">
        <v>1043</v>
      </c>
      <c r="J131" s="5" t="s">
        <v>1044</v>
      </c>
      <c r="K131" s="5" t="s">
        <v>97</v>
      </c>
      <c r="L131" s="5" t="s">
        <v>1045</v>
      </c>
      <c r="M131" s="5"/>
      <c r="N131" s="5" t="s">
        <v>1046</v>
      </c>
      <c r="O131" s="5" t="s">
        <v>45</v>
      </c>
    </row>
    <row r="132" customFormat="false" ht="46.25" hidden="false" customHeight="false" outlineLevel="0" collapsed="false">
      <c r="A132" s="5" t="s">
        <v>1047</v>
      </c>
      <c r="B132" s="5" t="s">
        <v>314</v>
      </c>
      <c r="C132" s="5" t="s">
        <v>338</v>
      </c>
      <c r="D132" s="5" t="s">
        <v>1038</v>
      </c>
      <c r="E132" s="5" t="s">
        <v>1039</v>
      </c>
      <c r="F132" s="5" t="s">
        <v>1040</v>
      </c>
      <c r="G132" s="5" t="s">
        <v>1048</v>
      </c>
      <c r="H132" s="5" t="s">
        <v>1049</v>
      </c>
      <c r="I132" s="5" t="s">
        <v>1050</v>
      </c>
      <c r="J132" s="5" t="s">
        <v>1051</v>
      </c>
      <c r="K132" s="5" t="s">
        <v>97</v>
      </c>
      <c r="L132" s="5" t="s">
        <v>1052</v>
      </c>
      <c r="M132" s="5"/>
      <c r="N132" s="5" t="s">
        <v>1053</v>
      </c>
      <c r="O132" s="5" t="s">
        <v>45</v>
      </c>
    </row>
    <row r="133" customFormat="false" ht="35.05" hidden="false" customHeight="false" outlineLevel="0" collapsed="false">
      <c r="A133" s="5" t="s">
        <v>1054</v>
      </c>
      <c r="B133" s="5" t="s">
        <v>314</v>
      </c>
      <c r="C133" s="5" t="s">
        <v>338</v>
      </c>
      <c r="D133" s="5" t="s">
        <v>1038</v>
      </c>
      <c r="E133" s="5" t="s">
        <v>1039</v>
      </c>
      <c r="F133" s="5" t="s">
        <v>1040</v>
      </c>
      <c r="G133" s="5" t="s">
        <v>1055</v>
      </c>
      <c r="H133" s="5" t="s">
        <v>1056</v>
      </c>
      <c r="I133" s="5" t="s">
        <v>1057</v>
      </c>
      <c r="J133" s="5" t="s">
        <v>1058</v>
      </c>
      <c r="K133" s="5" t="s">
        <v>42</v>
      </c>
      <c r="L133" s="5" t="s">
        <v>1059</v>
      </c>
      <c r="M133" s="5"/>
      <c r="N133" s="5" t="s">
        <v>1046</v>
      </c>
      <c r="O133" s="5" t="s">
        <v>45</v>
      </c>
    </row>
    <row r="134" customFormat="false" ht="35.05" hidden="false" customHeight="false" outlineLevel="0" collapsed="false">
      <c r="A134" s="5" t="s">
        <v>1060</v>
      </c>
      <c r="B134" s="5" t="s">
        <v>314</v>
      </c>
      <c r="C134" s="5" t="s">
        <v>429</v>
      </c>
      <c r="D134" s="5" t="s">
        <v>1061</v>
      </c>
      <c r="E134" s="5" t="s">
        <v>1062</v>
      </c>
      <c r="F134" s="5" t="s">
        <v>1063</v>
      </c>
      <c r="G134" s="5" t="s">
        <v>1064</v>
      </c>
      <c r="H134" s="5" t="s">
        <v>1065</v>
      </c>
      <c r="I134" s="5" t="s">
        <v>1066</v>
      </c>
      <c r="J134" s="5" t="s">
        <v>1067</v>
      </c>
      <c r="K134" s="5" t="s">
        <v>42</v>
      </c>
      <c r="L134" s="5" t="s">
        <v>1068</v>
      </c>
      <c r="M134" s="5"/>
      <c r="N134" s="5" t="s">
        <v>1069</v>
      </c>
      <c r="O134" s="5" t="s">
        <v>45</v>
      </c>
    </row>
    <row r="135" customFormat="false" ht="35.05" hidden="false" customHeight="false" outlineLevel="0" collapsed="false">
      <c r="A135" s="5" t="s">
        <v>1070</v>
      </c>
      <c r="B135" s="5" t="s">
        <v>314</v>
      </c>
      <c r="C135" s="5" t="s">
        <v>429</v>
      </c>
      <c r="D135" s="5" t="s">
        <v>1061</v>
      </c>
      <c r="E135" s="5" t="s">
        <v>1062</v>
      </c>
      <c r="F135" s="5" t="s">
        <v>1063</v>
      </c>
      <c r="G135" s="5" t="s">
        <v>1071</v>
      </c>
      <c r="H135" s="5" t="s">
        <v>1072</v>
      </c>
      <c r="I135" s="5" t="s">
        <v>1073</v>
      </c>
      <c r="J135" s="5" t="s">
        <v>1074</v>
      </c>
      <c r="K135" s="5" t="s">
        <v>42</v>
      </c>
      <c r="L135" s="5" t="s">
        <v>1075</v>
      </c>
      <c r="M135" s="5"/>
      <c r="N135" s="5" t="s">
        <v>1069</v>
      </c>
      <c r="O135" s="5" t="s">
        <v>45</v>
      </c>
    </row>
    <row r="136" customFormat="false" ht="35.05" hidden="false" customHeight="false" outlineLevel="0" collapsed="false">
      <c r="A136" s="5" t="s">
        <v>1076</v>
      </c>
      <c r="B136" s="5" t="s">
        <v>314</v>
      </c>
      <c r="C136" s="5" t="s">
        <v>429</v>
      </c>
      <c r="D136" s="5" t="s">
        <v>1061</v>
      </c>
      <c r="E136" s="5" t="s">
        <v>1062</v>
      </c>
      <c r="F136" s="5" t="s">
        <v>1063</v>
      </c>
      <c r="G136" s="5" t="s">
        <v>1077</v>
      </c>
      <c r="H136" s="5" t="s">
        <v>1078</v>
      </c>
      <c r="I136" s="5" t="s">
        <v>1079</v>
      </c>
      <c r="J136" s="5" t="s">
        <v>1080</v>
      </c>
      <c r="K136" s="5" t="s">
        <v>73</v>
      </c>
      <c r="L136" s="5" t="s">
        <v>1081</v>
      </c>
      <c r="M136" s="5"/>
      <c r="N136" s="5" t="s">
        <v>1082</v>
      </c>
      <c r="O136" s="5" t="s">
        <v>45</v>
      </c>
    </row>
    <row r="137" customFormat="false" ht="35.05" hidden="false" customHeight="false" outlineLevel="0" collapsed="false">
      <c r="A137" s="5" t="s">
        <v>1083</v>
      </c>
      <c r="B137" s="5" t="s">
        <v>314</v>
      </c>
      <c r="C137" s="5" t="s">
        <v>429</v>
      </c>
      <c r="D137" s="5" t="s">
        <v>1084</v>
      </c>
      <c r="E137" s="5" t="s">
        <v>1085</v>
      </c>
      <c r="F137" s="5" t="s">
        <v>1086</v>
      </c>
      <c r="G137" s="5" t="s">
        <v>1087</v>
      </c>
      <c r="H137" s="5" t="s">
        <v>1088</v>
      </c>
      <c r="I137" s="5" t="s">
        <v>1089</v>
      </c>
      <c r="J137" s="5" t="s">
        <v>1090</v>
      </c>
      <c r="K137" s="5" t="s">
        <v>42</v>
      </c>
      <c r="L137" s="5" t="s">
        <v>1091</v>
      </c>
      <c r="M137" s="5"/>
      <c r="N137" s="5" t="s">
        <v>1092</v>
      </c>
      <c r="O137" s="5" t="s">
        <v>45</v>
      </c>
    </row>
    <row r="138" customFormat="false" ht="35.05" hidden="false" customHeight="false" outlineLevel="0" collapsed="false">
      <c r="A138" s="5" t="s">
        <v>1093</v>
      </c>
      <c r="B138" s="5" t="s">
        <v>314</v>
      </c>
      <c r="C138" s="5" t="s">
        <v>429</v>
      </c>
      <c r="D138" s="5" t="s">
        <v>1084</v>
      </c>
      <c r="E138" s="5" t="s">
        <v>1085</v>
      </c>
      <c r="F138" s="5" t="s">
        <v>1086</v>
      </c>
      <c r="G138" s="5" t="s">
        <v>1094</v>
      </c>
      <c r="H138" s="5" t="s">
        <v>1095</v>
      </c>
      <c r="I138" s="5" t="s">
        <v>1096</v>
      </c>
      <c r="J138" s="5" t="s">
        <v>1097</v>
      </c>
      <c r="K138" s="5" t="s">
        <v>73</v>
      </c>
      <c r="L138" s="5" t="s">
        <v>1098</v>
      </c>
      <c r="M138" s="5"/>
      <c r="N138" s="5" t="s">
        <v>1099</v>
      </c>
      <c r="O138" s="5" t="s">
        <v>45</v>
      </c>
    </row>
    <row r="139" customFormat="false" ht="35.05" hidden="false" customHeight="false" outlineLevel="0" collapsed="false">
      <c r="A139" s="5" t="s">
        <v>1100</v>
      </c>
      <c r="B139" s="5" t="s">
        <v>314</v>
      </c>
      <c r="C139" s="5" t="s">
        <v>429</v>
      </c>
      <c r="D139" s="5" t="s">
        <v>1084</v>
      </c>
      <c r="E139" s="5" t="s">
        <v>1085</v>
      </c>
      <c r="F139" s="5" t="s">
        <v>1086</v>
      </c>
      <c r="G139" s="5" t="s">
        <v>1101</v>
      </c>
      <c r="H139" s="5" t="s">
        <v>555</v>
      </c>
      <c r="I139" s="5" t="s">
        <v>556</v>
      </c>
      <c r="J139" s="5" t="s">
        <v>1102</v>
      </c>
      <c r="K139" s="5" t="s">
        <v>97</v>
      </c>
      <c r="L139" s="5" t="s">
        <v>1103</v>
      </c>
      <c r="M139" s="5"/>
      <c r="N139" s="5" t="s">
        <v>1104</v>
      </c>
      <c r="O139" s="5" t="s">
        <v>45</v>
      </c>
    </row>
    <row r="140" customFormat="false" ht="35.05" hidden="false" customHeight="false" outlineLevel="0" collapsed="false">
      <c r="A140" s="5" t="s">
        <v>1105</v>
      </c>
      <c r="B140" s="5" t="s">
        <v>314</v>
      </c>
      <c r="C140" s="5" t="s">
        <v>406</v>
      </c>
      <c r="D140" s="5" t="s">
        <v>1106</v>
      </c>
      <c r="E140" s="5" t="s">
        <v>1107</v>
      </c>
      <c r="F140" s="5" t="s">
        <v>1108</v>
      </c>
      <c r="G140" s="5" t="s">
        <v>1109</v>
      </c>
      <c r="H140" s="5" t="s">
        <v>1110</v>
      </c>
      <c r="I140" s="5" t="s">
        <v>1111</v>
      </c>
      <c r="J140" s="5" t="s">
        <v>1112</v>
      </c>
      <c r="K140" s="5" t="s">
        <v>42</v>
      </c>
      <c r="L140" s="5" t="s">
        <v>1113</v>
      </c>
      <c r="M140" s="5"/>
      <c r="N140" s="5" t="s">
        <v>1114</v>
      </c>
      <c r="O140" s="5" t="s">
        <v>45</v>
      </c>
    </row>
    <row r="141" customFormat="false" ht="35.05" hidden="false" customHeight="false" outlineLevel="0" collapsed="false">
      <c r="A141" s="5" t="s">
        <v>1115</v>
      </c>
      <c r="B141" s="5" t="s">
        <v>314</v>
      </c>
      <c r="C141" s="5" t="s">
        <v>406</v>
      </c>
      <c r="D141" s="5" t="s">
        <v>1106</v>
      </c>
      <c r="E141" s="5" t="s">
        <v>1107</v>
      </c>
      <c r="F141" s="5" t="s">
        <v>1108</v>
      </c>
      <c r="G141" s="5" t="s">
        <v>1116</v>
      </c>
      <c r="H141" s="5" t="s">
        <v>1117</v>
      </c>
      <c r="I141" s="5" t="s">
        <v>1118</v>
      </c>
      <c r="J141" s="5" t="s">
        <v>1119</v>
      </c>
      <c r="K141" s="5" t="s">
        <v>97</v>
      </c>
      <c r="L141" s="5" t="s">
        <v>1120</v>
      </c>
      <c r="M141" s="5"/>
      <c r="N141" s="5" t="s">
        <v>1114</v>
      </c>
      <c r="O141" s="5" t="s">
        <v>45</v>
      </c>
    </row>
    <row r="142" customFormat="false" ht="35.05" hidden="false" customHeight="false" outlineLevel="0" collapsed="false">
      <c r="A142" s="5" t="s">
        <v>1121</v>
      </c>
      <c r="B142" s="5" t="s">
        <v>314</v>
      </c>
      <c r="C142" s="5" t="s">
        <v>406</v>
      </c>
      <c r="D142" s="5" t="s">
        <v>1106</v>
      </c>
      <c r="E142" s="5" t="s">
        <v>1107</v>
      </c>
      <c r="F142" s="5" t="s">
        <v>1108</v>
      </c>
      <c r="G142" s="5" t="s">
        <v>1122</v>
      </c>
      <c r="H142" s="5" t="s">
        <v>1123</v>
      </c>
      <c r="I142" s="5" t="s">
        <v>1124</v>
      </c>
      <c r="J142" s="5" t="s">
        <v>1125</v>
      </c>
      <c r="K142" s="5" t="s">
        <v>73</v>
      </c>
      <c r="L142" s="5" t="s">
        <v>1126</v>
      </c>
      <c r="M142" s="5"/>
      <c r="N142" s="5" t="s">
        <v>1127</v>
      </c>
      <c r="O142" s="5" t="s">
        <v>45</v>
      </c>
    </row>
    <row r="143" customFormat="false" ht="35.05" hidden="false" customHeight="false" outlineLevel="0" collapsed="false">
      <c r="A143" s="5" t="s">
        <v>1128</v>
      </c>
      <c r="B143" s="5" t="s">
        <v>314</v>
      </c>
      <c r="C143" s="5" t="s">
        <v>383</v>
      </c>
      <c r="D143" s="5" t="s">
        <v>1129</v>
      </c>
      <c r="E143" s="5" t="s">
        <v>1130</v>
      </c>
      <c r="F143" s="5" t="s">
        <v>1131</v>
      </c>
      <c r="G143" s="5" t="s">
        <v>1132</v>
      </c>
      <c r="H143" s="5" t="s">
        <v>1133</v>
      </c>
      <c r="I143" s="5" t="s">
        <v>1134</v>
      </c>
      <c r="J143" s="5" t="s">
        <v>1135</v>
      </c>
      <c r="K143" s="5" t="s">
        <v>97</v>
      </c>
      <c r="L143" s="5" t="s">
        <v>1136</v>
      </c>
      <c r="M143" s="5"/>
      <c r="N143" s="5" t="s">
        <v>392</v>
      </c>
      <c r="O143" s="5" t="s">
        <v>45</v>
      </c>
    </row>
    <row r="144" customFormat="false" ht="35.05" hidden="false" customHeight="false" outlineLevel="0" collapsed="false">
      <c r="A144" s="5" t="s">
        <v>1137</v>
      </c>
      <c r="B144" s="5" t="s">
        <v>314</v>
      </c>
      <c r="C144" s="5" t="s">
        <v>383</v>
      </c>
      <c r="D144" s="5" t="s">
        <v>1129</v>
      </c>
      <c r="E144" s="5" t="s">
        <v>1130</v>
      </c>
      <c r="F144" s="5" t="s">
        <v>1131</v>
      </c>
      <c r="G144" s="5" t="s">
        <v>1138</v>
      </c>
      <c r="H144" s="5" t="s">
        <v>1139</v>
      </c>
      <c r="I144" s="5" t="s">
        <v>1140</v>
      </c>
      <c r="J144" s="5" t="s">
        <v>1141</v>
      </c>
      <c r="K144" s="5" t="s">
        <v>97</v>
      </c>
      <c r="L144" s="5" t="s">
        <v>1142</v>
      </c>
      <c r="M144" s="5"/>
      <c r="N144" s="5" t="s">
        <v>1143</v>
      </c>
      <c r="O144" s="5" t="s">
        <v>45</v>
      </c>
    </row>
    <row r="145" customFormat="false" ht="35.05" hidden="false" customHeight="false" outlineLevel="0" collapsed="false">
      <c r="A145" s="5" t="s">
        <v>1144</v>
      </c>
      <c r="B145" s="5" t="s">
        <v>314</v>
      </c>
      <c r="C145" s="5" t="s">
        <v>383</v>
      </c>
      <c r="D145" s="5" t="s">
        <v>1129</v>
      </c>
      <c r="E145" s="5" t="s">
        <v>1130</v>
      </c>
      <c r="F145" s="5" t="s">
        <v>1131</v>
      </c>
      <c r="G145" s="5" t="s">
        <v>1145</v>
      </c>
      <c r="H145" s="5" t="s">
        <v>1146</v>
      </c>
      <c r="I145" s="5" t="s">
        <v>1147</v>
      </c>
      <c r="J145" s="5" t="s">
        <v>1148</v>
      </c>
      <c r="K145" s="5" t="s">
        <v>97</v>
      </c>
      <c r="L145" s="5" t="s">
        <v>1149</v>
      </c>
      <c r="M145" s="5"/>
      <c r="N145" s="5" t="s">
        <v>392</v>
      </c>
      <c r="O145" s="5" t="s">
        <v>45</v>
      </c>
    </row>
    <row r="146" customFormat="false" ht="23.85" hidden="false" customHeight="false" outlineLevel="0" collapsed="false">
      <c r="A146" s="5" t="s">
        <v>1150</v>
      </c>
      <c r="B146" s="5" t="s">
        <v>33</v>
      </c>
      <c r="C146" s="5" t="s">
        <v>1151</v>
      </c>
      <c r="D146" s="5" t="s">
        <v>1152</v>
      </c>
      <c r="E146" s="5" t="s">
        <v>1153</v>
      </c>
      <c r="F146" s="5" t="s">
        <v>1154</v>
      </c>
      <c r="G146" s="5" t="s">
        <v>1155</v>
      </c>
      <c r="H146" s="5" t="s">
        <v>1156</v>
      </c>
      <c r="I146" s="5" t="s">
        <v>1157</v>
      </c>
      <c r="J146" s="5" t="s">
        <v>1158</v>
      </c>
      <c r="K146" s="5" t="s">
        <v>97</v>
      </c>
      <c r="L146" s="5" t="s">
        <v>1159</v>
      </c>
      <c r="M146" s="5"/>
      <c r="N146" s="5" t="s">
        <v>1160</v>
      </c>
      <c r="O146" s="5" t="s">
        <v>45</v>
      </c>
    </row>
    <row r="147" customFormat="false" ht="35.05" hidden="false" customHeight="false" outlineLevel="0" collapsed="false">
      <c r="A147" s="5" t="s">
        <v>1161</v>
      </c>
      <c r="B147" s="5" t="s">
        <v>33</v>
      </c>
      <c r="C147" s="5" t="s">
        <v>1151</v>
      </c>
      <c r="D147" s="5" t="s">
        <v>1152</v>
      </c>
      <c r="E147" s="5" t="s">
        <v>1153</v>
      </c>
      <c r="F147" s="5" t="s">
        <v>1154</v>
      </c>
      <c r="G147" s="5" t="s">
        <v>1162</v>
      </c>
      <c r="H147" s="5" t="s">
        <v>1163</v>
      </c>
      <c r="I147" s="5" t="s">
        <v>1164</v>
      </c>
      <c r="J147" s="5" t="s">
        <v>1165</v>
      </c>
      <c r="K147" s="5" t="s">
        <v>73</v>
      </c>
      <c r="L147" s="5" t="s">
        <v>1166</v>
      </c>
      <c r="M147" s="5"/>
      <c r="N147" s="5" t="s">
        <v>1167</v>
      </c>
      <c r="O147" s="5" t="s">
        <v>45</v>
      </c>
    </row>
    <row r="148" customFormat="false" ht="35.05" hidden="false" customHeight="false" outlineLevel="0" collapsed="false">
      <c r="A148" s="5" t="s">
        <v>1168</v>
      </c>
      <c r="B148" s="5" t="s">
        <v>33</v>
      </c>
      <c r="C148" s="5" t="s">
        <v>1151</v>
      </c>
      <c r="D148" s="5" t="s">
        <v>1152</v>
      </c>
      <c r="E148" s="5" t="s">
        <v>1153</v>
      </c>
      <c r="F148" s="5" t="s">
        <v>1154</v>
      </c>
      <c r="G148" s="5" t="s">
        <v>1169</v>
      </c>
      <c r="H148" s="5" t="s">
        <v>1170</v>
      </c>
      <c r="I148" s="5" t="s">
        <v>521</v>
      </c>
      <c r="J148" s="5" t="s">
        <v>1171</v>
      </c>
      <c r="K148" s="5" t="s">
        <v>73</v>
      </c>
      <c r="L148" s="5" t="s">
        <v>1172</v>
      </c>
      <c r="M148" s="5"/>
      <c r="N148" s="5" t="s">
        <v>1173</v>
      </c>
      <c r="O148" s="5" t="s">
        <v>45</v>
      </c>
    </row>
    <row r="149" customFormat="false" ht="35.05" hidden="false" customHeight="false" outlineLevel="0" collapsed="false">
      <c r="A149" s="5" t="s">
        <v>1174</v>
      </c>
      <c r="B149" s="5" t="s">
        <v>33</v>
      </c>
      <c r="C149" s="5" t="s">
        <v>1151</v>
      </c>
      <c r="D149" s="5" t="s">
        <v>1175</v>
      </c>
      <c r="E149" s="5" t="s">
        <v>1176</v>
      </c>
      <c r="F149" s="5" t="s">
        <v>1177</v>
      </c>
      <c r="G149" s="5" t="s">
        <v>1178</v>
      </c>
      <c r="H149" s="5" t="s">
        <v>1179</v>
      </c>
      <c r="I149" s="5" t="s">
        <v>1180</v>
      </c>
      <c r="J149" s="5" t="s">
        <v>1181</v>
      </c>
      <c r="K149" s="5" t="s">
        <v>42</v>
      </c>
      <c r="L149" s="5" t="s">
        <v>1182</v>
      </c>
      <c r="M149" s="5"/>
      <c r="N149" s="5" t="s">
        <v>1183</v>
      </c>
      <c r="O149" s="5" t="s">
        <v>45</v>
      </c>
    </row>
    <row r="150" customFormat="false" ht="35.05" hidden="false" customHeight="false" outlineLevel="0" collapsed="false">
      <c r="A150" s="5" t="s">
        <v>1184</v>
      </c>
      <c r="B150" s="5" t="s">
        <v>33</v>
      </c>
      <c r="C150" s="5" t="s">
        <v>1151</v>
      </c>
      <c r="D150" s="5" t="s">
        <v>1175</v>
      </c>
      <c r="E150" s="5" t="s">
        <v>1176</v>
      </c>
      <c r="F150" s="5" t="s">
        <v>1177</v>
      </c>
      <c r="G150" s="5" t="s">
        <v>1185</v>
      </c>
      <c r="H150" s="5" t="s">
        <v>1186</v>
      </c>
      <c r="I150" s="5" t="s">
        <v>1187</v>
      </c>
      <c r="J150" s="5" t="s">
        <v>1188</v>
      </c>
      <c r="K150" s="5" t="s">
        <v>73</v>
      </c>
      <c r="L150" s="5" t="s">
        <v>1189</v>
      </c>
      <c r="M150" s="5"/>
      <c r="N150" s="5" t="s">
        <v>1190</v>
      </c>
      <c r="O150" s="5" t="s">
        <v>45</v>
      </c>
    </row>
    <row r="151" customFormat="false" ht="35.05" hidden="false" customHeight="false" outlineLevel="0" collapsed="false">
      <c r="A151" s="5" t="s">
        <v>1191</v>
      </c>
      <c r="B151" s="5" t="s">
        <v>33</v>
      </c>
      <c r="C151" s="5" t="s">
        <v>1151</v>
      </c>
      <c r="D151" s="5" t="s">
        <v>1175</v>
      </c>
      <c r="E151" s="5" t="s">
        <v>1176</v>
      </c>
      <c r="F151" s="5" t="s">
        <v>1177</v>
      </c>
      <c r="G151" s="5" t="s">
        <v>1192</v>
      </c>
      <c r="H151" s="5" t="s">
        <v>1193</v>
      </c>
      <c r="I151" s="5" t="s">
        <v>1194</v>
      </c>
      <c r="J151" s="5" t="s">
        <v>1195</v>
      </c>
      <c r="K151" s="5" t="s">
        <v>42</v>
      </c>
      <c r="L151" s="5" t="s">
        <v>1196</v>
      </c>
      <c r="M151" s="5"/>
      <c r="N151" s="5" t="s">
        <v>1183</v>
      </c>
      <c r="O151" s="5" t="s">
        <v>45</v>
      </c>
    </row>
    <row r="152" customFormat="false" ht="35.05" hidden="false" customHeight="false" outlineLevel="0" collapsed="false">
      <c r="A152" s="5" t="s">
        <v>1197</v>
      </c>
      <c r="B152" s="5" t="s">
        <v>33</v>
      </c>
      <c r="C152" s="5" t="s">
        <v>1151</v>
      </c>
      <c r="D152" s="5" t="s">
        <v>1198</v>
      </c>
      <c r="E152" s="5" t="s">
        <v>1199</v>
      </c>
      <c r="F152" s="5" t="s">
        <v>1200</v>
      </c>
      <c r="G152" s="5" t="s">
        <v>1201</v>
      </c>
      <c r="H152" s="5" t="s">
        <v>1202</v>
      </c>
      <c r="I152" s="5" t="s">
        <v>1203</v>
      </c>
      <c r="J152" s="5" t="s">
        <v>1204</v>
      </c>
      <c r="K152" s="5" t="s">
        <v>73</v>
      </c>
      <c r="L152" s="5" t="s">
        <v>1205</v>
      </c>
      <c r="M152" s="5"/>
      <c r="N152" s="5" t="s">
        <v>1206</v>
      </c>
      <c r="O152" s="5" t="s">
        <v>45</v>
      </c>
    </row>
    <row r="153" customFormat="false" ht="35.05" hidden="false" customHeight="false" outlineLevel="0" collapsed="false">
      <c r="A153" s="5" t="s">
        <v>1207</v>
      </c>
      <c r="B153" s="5" t="s">
        <v>33</v>
      </c>
      <c r="C153" s="5" t="s">
        <v>1151</v>
      </c>
      <c r="D153" s="5" t="s">
        <v>1198</v>
      </c>
      <c r="E153" s="5" t="s">
        <v>1199</v>
      </c>
      <c r="F153" s="5" t="s">
        <v>1200</v>
      </c>
      <c r="G153" s="5" t="s">
        <v>1208</v>
      </c>
      <c r="H153" s="5" t="s">
        <v>1209</v>
      </c>
      <c r="I153" s="5" t="s">
        <v>1210</v>
      </c>
      <c r="J153" s="5" t="s">
        <v>1211</v>
      </c>
      <c r="K153" s="5" t="s">
        <v>42</v>
      </c>
      <c r="L153" s="5" t="s">
        <v>1212</v>
      </c>
      <c r="M153" s="5"/>
      <c r="N153" s="5" t="s">
        <v>1206</v>
      </c>
      <c r="O153" s="5" t="s">
        <v>45</v>
      </c>
    </row>
    <row r="154" customFormat="false" ht="35.05" hidden="false" customHeight="false" outlineLevel="0" collapsed="false">
      <c r="A154" s="5" t="s">
        <v>1213</v>
      </c>
      <c r="B154" s="5" t="s">
        <v>33</v>
      </c>
      <c r="C154" s="5" t="s">
        <v>1151</v>
      </c>
      <c r="D154" s="5" t="s">
        <v>1198</v>
      </c>
      <c r="E154" s="5" t="s">
        <v>1199</v>
      </c>
      <c r="F154" s="5" t="s">
        <v>1200</v>
      </c>
      <c r="G154" s="5" t="s">
        <v>1214</v>
      </c>
      <c r="H154" s="5" t="s">
        <v>1215</v>
      </c>
      <c r="I154" s="5" t="s">
        <v>1216</v>
      </c>
      <c r="J154" s="5" t="s">
        <v>1217</v>
      </c>
      <c r="K154" s="5" t="s">
        <v>73</v>
      </c>
      <c r="L154" s="5" t="s">
        <v>1218</v>
      </c>
      <c r="M154" s="5"/>
      <c r="N154" s="5" t="s">
        <v>1219</v>
      </c>
      <c r="O154" s="5" t="s">
        <v>45</v>
      </c>
    </row>
    <row r="155" customFormat="false" ht="35.05" hidden="false" customHeight="false" outlineLevel="0" collapsed="false">
      <c r="A155" s="5" t="s">
        <v>1220</v>
      </c>
      <c r="B155" s="5" t="s">
        <v>33</v>
      </c>
      <c r="C155" s="5" t="s">
        <v>34</v>
      </c>
      <c r="D155" s="5" t="s">
        <v>1221</v>
      </c>
      <c r="E155" s="5" t="s">
        <v>1222</v>
      </c>
      <c r="F155" s="5" t="s">
        <v>1223</v>
      </c>
      <c r="G155" s="5" t="s">
        <v>1224</v>
      </c>
      <c r="H155" s="5" t="s">
        <v>1225</v>
      </c>
      <c r="I155" s="5" t="s">
        <v>1226</v>
      </c>
      <c r="J155" s="5" t="s">
        <v>1227</v>
      </c>
      <c r="K155" s="5" t="s">
        <v>73</v>
      </c>
      <c r="L155" s="5" t="s">
        <v>1228</v>
      </c>
      <c r="M155" s="5"/>
      <c r="N155" s="5" t="s">
        <v>990</v>
      </c>
      <c r="O155" s="5" t="s">
        <v>45</v>
      </c>
    </row>
    <row r="156" customFormat="false" ht="35.05" hidden="false" customHeight="false" outlineLevel="0" collapsed="false">
      <c r="A156" s="5" t="s">
        <v>1229</v>
      </c>
      <c r="B156" s="5" t="s">
        <v>33</v>
      </c>
      <c r="C156" s="5" t="s">
        <v>34</v>
      </c>
      <c r="D156" s="5" t="s">
        <v>1221</v>
      </c>
      <c r="E156" s="5" t="s">
        <v>1222</v>
      </c>
      <c r="F156" s="5" t="s">
        <v>1223</v>
      </c>
      <c r="G156" s="5" t="s">
        <v>1230</v>
      </c>
      <c r="H156" s="5" t="s">
        <v>213</v>
      </c>
      <c r="I156" s="5" t="s">
        <v>1231</v>
      </c>
      <c r="J156" s="5" t="s">
        <v>506</v>
      </c>
      <c r="K156" s="5" t="s">
        <v>73</v>
      </c>
      <c r="L156" s="5" t="s">
        <v>1232</v>
      </c>
      <c r="M156" s="5"/>
      <c r="N156" s="5" t="s">
        <v>1233</v>
      </c>
      <c r="O156" s="5" t="s">
        <v>45</v>
      </c>
    </row>
    <row r="157" customFormat="false" ht="35.05" hidden="false" customHeight="false" outlineLevel="0" collapsed="false">
      <c r="A157" s="5" t="s">
        <v>1234</v>
      </c>
      <c r="B157" s="5" t="s">
        <v>33</v>
      </c>
      <c r="C157" s="5" t="s">
        <v>34</v>
      </c>
      <c r="D157" s="5" t="s">
        <v>1221</v>
      </c>
      <c r="E157" s="5" t="s">
        <v>1222</v>
      </c>
      <c r="F157" s="5" t="s">
        <v>1223</v>
      </c>
      <c r="G157" s="5" t="s">
        <v>1235</v>
      </c>
      <c r="H157" s="5" t="s">
        <v>1236</v>
      </c>
      <c r="I157" s="5" t="s">
        <v>1237</v>
      </c>
      <c r="J157" s="5" t="s">
        <v>1238</v>
      </c>
      <c r="K157" s="5" t="s">
        <v>42</v>
      </c>
      <c r="L157" s="5" t="s">
        <v>1239</v>
      </c>
      <c r="M157" s="5"/>
      <c r="N157" s="5" t="s">
        <v>990</v>
      </c>
      <c r="O157" s="5" t="s">
        <v>45</v>
      </c>
    </row>
    <row r="158" customFormat="false" ht="23.85" hidden="false" customHeight="false" outlineLevel="0" collapsed="false">
      <c r="A158" s="5" t="s">
        <v>1240</v>
      </c>
      <c r="B158" s="5" t="s">
        <v>33</v>
      </c>
      <c r="C158" s="5" t="s">
        <v>82</v>
      </c>
      <c r="D158" s="5" t="s">
        <v>1241</v>
      </c>
      <c r="E158" s="5" t="s">
        <v>1242</v>
      </c>
      <c r="F158" s="5" t="s">
        <v>1243</v>
      </c>
      <c r="G158" s="5" t="s">
        <v>1244</v>
      </c>
      <c r="H158" s="5" t="s">
        <v>1245</v>
      </c>
      <c r="I158" s="5" t="s">
        <v>1246</v>
      </c>
      <c r="J158" s="5" t="s">
        <v>1247</v>
      </c>
      <c r="K158" s="5" t="s">
        <v>73</v>
      </c>
      <c r="L158" s="5" t="s">
        <v>1248</v>
      </c>
      <c r="M158" s="5"/>
      <c r="N158" s="5" t="s">
        <v>1249</v>
      </c>
      <c r="O158" s="5" t="s">
        <v>45</v>
      </c>
    </row>
    <row r="159" customFormat="false" ht="23.85" hidden="false" customHeight="false" outlineLevel="0" collapsed="false">
      <c r="A159" s="5" t="s">
        <v>1250</v>
      </c>
      <c r="B159" s="5" t="s">
        <v>33</v>
      </c>
      <c r="C159" s="5" t="s">
        <v>82</v>
      </c>
      <c r="D159" s="5" t="s">
        <v>1241</v>
      </c>
      <c r="E159" s="5" t="s">
        <v>1242</v>
      </c>
      <c r="F159" s="5" t="s">
        <v>1243</v>
      </c>
      <c r="G159" s="5" t="s">
        <v>1251</v>
      </c>
      <c r="H159" s="5" t="s">
        <v>1252</v>
      </c>
      <c r="I159" s="5" t="s">
        <v>1253</v>
      </c>
      <c r="J159" s="5" t="s">
        <v>1254</v>
      </c>
      <c r="K159" s="5" t="s">
        <v>97</v>
      </c>
      <c r="L159" s="5" t="s">
        <v>1255</v>
      </c>
      <c r="M159" s="5"/>
      <c r="N159" s="5" t="s">
        <v>1256</v>
      </c>
      <c r="O159" s="5" t="s">
        <v>45</v>
      </c>
    </row>
    <row r="160" customFormat="false" ht="23.85" hidden="false" customHeight="false" outlineLevel="0" collapsed="false">
      <c r="A160" s="5" t="s">
        <v>1257</v>
      </c>
      <c r="B160" s="5" t="s">
        <v>33</v>
      </c>
      <c r="C160" s="5" t="s">
        <v>82</v>
      </c>
      <c r="D160" s="5" t="s">
        <v>1241</v>
      </c>
      <c r="E160" s="5" t="s">
        <v>1242</v>
      </c>
      <c r="F160" s="5" t="s">
        <v>1243</v>
      </c>
      <c r="G160" s="5" t="s">
        <v>1258</v>
      </c>
      <c r="H160" s="5" t="s">
        <v>1259</v>
      </c>
      <c r="I160" s="5" t="s">
        <v>556</v>
      </c>
      <c r="J160" s="5" t="s">
        <v>1260</v>
      </c>
      <c r="K160" s="5" t="s">
        <v>73</v>
      </c>
      <c r="L160" s="5" t="s">
        <v>1261</v>
      </c>
      <c r="M160" s="5"/>
      <c r="N160" s="5" t="s">
        <v>1262</v>
      </c>
      <c r="O160" s="5" t="s">
        <v>45</v>
      </c>
    </row>
    <row r="161" customFormat="false" ht="23.85" hidden="false" customHeight="false" outlineLevel="0" collapsed="false">
      <c r="A161" s="5" t="s">
        <v>1263</v>
      </c>
      <c r="B161" s="5" t="s">
        <v>33</v>
      </c>
      <c r="C161" s="5" t="s">
        <v>152</v>
      </c>
      <c r="D161" s="5" t="s">
        <v>1264</v>
      </c>
      <c r="E161" s="5" t="s">
        <v>1265</v>
      </c>
      <c r="F161" s="5" t="s">
        <v>1266</v>
      </c>
      <c r="G161" s="5" t="s">
        <v>1267</v>
      </c>
      <c r="H161" s="5" t="s">
        <v>1268</v>
      </c>
      <c r="I161" s="5" t="s">
        <v>1269</v>
      </c>
      <c r="J161" s="5" t="s">
        <v>1270</v>
      </c>
      <c r="K161" s="5" t="s">
        <v>42</v>
      </c>
      <c r="L161" s="5" t="s">
        <v>1271</v>
      </c>
      <c r="M161" s="5"/>
      <c r="N161" s="5" t="s">
        <v>1272</v>
      </c>
      <c r="O161" s="5" t="s">
        <v>45</v>
      </c>
    </row>
    <row r="162" customFormat="false" ht="23.85" hidden="false" customHeight="false" outlineLevel="0" collapsed="false">
      <c r="A162" s="5" t="s">
        <v>1273</v>
      </c>
      <c r="B162" s="5" t="s">
        <v>33</v>
      </c>
      <c r="C162" s="5" t="s">
        <v>152</v>
      </c>
      <c r="D162" s="5" t="s">
        <v>1264</v>
      </c>
      <c r="E162" s="5" t="s">
        <v>1265</v>
      </c>
      <c r="F162" s="5" t="s">
        <v>1266</v>
      </c>
      <c r="G162" s="5" t="s">
        <v>1274</v>
      </c>
      <c r="H162" s="5" t="s">
        <v>1275</v>
      </c>
      <c r="I162" s="5" t="s">
        <v>1276</v>
      </c>
      <c r="J162" s="5" t="s">
        <v>1277</v>
      </c>
      <c r="K162" s="5" t="s">
        <v>73</v>
      </c>
      <c r="L162" s="5" t="s">
        <v>1278</v>
      </c>
      <c r="M162" s="5"/>
      <c r="N162" s="5" t="s">
        <v>1272</v>
      </c>
      <c r="O162" s="5" t="s">
        <v>45</v>
      </c>
    </row>
    <row r="163" customFormat="false" ht="35.05" hidden="false" customHeight="false" outlineLevel="0" collapsed="false">
      <c r="A163" s="5" t="s">
        <v>1279</v>
      </c>
      <c r="B163" s="5" t="s">
        <v>33</v>
      </c>
      <c r="C163" s="5" t="s">
        <v>152</v>
      </c>
      <c r="D163" s="5" t="s">
        <v>1264</v>
      </c>
      <c r="E163" s="5" t="s">
        <v>1265</v>
      </c>
      <c r="F163" s="5" t="s">
        <v>1266</v>
      </c>
      <c r="G163" s="5" t="s">
        <v>1280</v>
      </c>
      <c r="H163" s="5" t="s">
        <v>1281</v>
      </c>
      <c r="I163" s="5" t="s">
        <v>1282</v>
      </c>
      <c r="J163" s="5" t="s">
        <v>1021</v>
      </c>
      <c r="K163" s="5" t="s">
        <v>42</v>
      </c>
      <c r="L163" s="5" t="s">
        <v>1283</v>
      </c>
      <c r="M163" s="5"/>
      <c r="N163" s="5" t="s">
        <v>1284</v>
      </c>
      <c r="O163" s="5" t="s">
        <v>45</v>
      </c>
    </row>
    <row r="164" customFormat="false" ht="35.05" hidden="false" customHeight="false" outlineLevel="0" collapsed="false">
      <c r="A164" s="5" t="s">
        <v>1285</v>
      </c>
      <c r="B164" s="5" t="s">
        <v>33</v>
      </c>
      <c r="C164" s="5" t="s">
        <v>525</v>
      </c>
      <c r="D164" s="5" t="s">
        <v>1286</v>
      </c>
      <c r="E164" s="5" t="s">
        <v>1287</v>
      </c>
      <c r="F164" s="5" t="s">
        <v>1288</v>
      </c>
      <c r="G164" s="5" t="s">
        <v>1289</v>
      </c>
      <c r="H164" s="5" t="s">
        <v>1290</v>
      </c>
      <c r="I164" s="5" t="s">
        <v>1291</v>
      </c>
      <c r="J164" s="5" t="s">
        <v>1292</v>
      </c>
      <c r="K164" s="5" t="s">
        <v>73</v>
      </c>
      <c r="L164" s="5" t="s">
        <v>1293</v>
      </c>
      <c r="M164" s="5"/>
      <c r="N164" s="5" t="s">
        <v>1294</v>
      </c>
      <c r="O164" s="5" t="s">
        <v>45</v>
      </c>
    </row>
    <row r="165" customFormat="false" ht="23.85" hidden="false" customHeight="false" outlineLevel="0" collapsed="false">
      <c r="A165" s="5" t="s">
        <v>1295</v>
      </c>
      <c r="B165" s="5" t="s">
        <v>33</v>
      </c>
      <c r="C165" s="5" t="s">
        <v>525</v>
      </c>
      <c r="D165" s="5" t="s">
        <v>1286</v>
      </c>
      <c r="E165" s="5" t="s">
        <v>1287</v>
      </c>
      <c r="F165" s="5" t="s">
        <v>1288</v>
      </c>
      <c r="G165" s="5" t="s">
        <v>1296</v>
      </c>
      <c r="H165" s="5" t="s">
        <v>545</v>
      </c>
      <c r="I165" s="5" t="s">
        <v>1297</v>
      </c>
      <c r="J165" s="5" t="s">
        <v>544</v>
      </c>
      <c r="K165" s="5" t="s">
        <v>97</v>
      </c>
      <c r="L165" s="5" t="s">
        <v>1298</v>
      </c>
      <c r="M165" s="5"/>
      <c r="N165" s="5" t="s">
        <v>548</v>
      </c>
      <c r="O165" s="5" t="s">
        <v>45</v>
      </c>
    </row>
    <row r="166" customFormat="false" ht="23.85" hidden="false" customHeight="false" outlineLevel="0" collapsed="false">
      <c r="A166" s="5" t="s">
        <v>1299</v>
      </c>
      <c r="B166" s="5" t="s">
        <v>33</v>
      </c>
      <c r="C166" s="5" t="s">
        <v>525</v>
      </c>
      <c r="D166" s="5" t="s">
        <v>1286</v>
      </c>
      <c r="E166" s="5" t="s">
        <v>1287</v>
      </c>
      <c r="F166" s="5" t="s">
        <v>1288</v>
      </c>
      <c r="G166" s="5" t="s">
        <v>1300</v>
      </c>
      <c r="H166" s="5" t="s">
        <v>1301</v>
      </c>
      <c r="I166" s="5" t="s">
        <v>1297</v>
      </c>
      <c r="J166" s="5" t="s">
        <v>1302</v>
      </c>
      <c r="K166" s="5" t="s">
        <v>42</v>
      </c>
      <c r="L166" s="5" t="s">
        <v>1303</v>
      </c>
      <c r="M166" s="5"/>
      <c r="N166" s="5" t="s">
        <v>548</v>
      </c>
      <c r="O166" s="5" t="s">
        <v>45</v>
      </c>
    </row>
    <row r="167" customFormat="false" ht="23.85" hidden="false" customHeight="false" outlineLevel="0" collapsed="false">
      <c r="A167" s="5" t="s">
        <v>1304</v>
      </c>
      <c r="B167" s="5" t="s">
        <v>33</v>
      </c>
      <c r="C167" s="5" t="s">
        <v>1305</v>
      </c>
      <c r="D167" s="5" t="s">
        <v>1306</v>
      </c>
      <c r="E167" s="5" t="s">
        <v>1307</v>
      </c>
      <c r="F167" s="5" t="s">
        <v>1308</v>
      </c>
      <c r="G167" s="5" t="s">
        <v>1309</v>
      </c>
      <c r="H167" s="5" t="s">
        <v>1310</v>
      </c>
      <c r="I167" s="5" t="s">
        <v>1311</v>
      </c>
      <c r="J167" s="5" t="s">
        <v>1312</v>
      </c>
      <c r="K167" s="5" t="s">
        <v>97</v>
      </c>
      <c r="L167" s="5" t="s">
        <v>1313</v>
      </c>
      <c r="M167" s="5"/>
      <c r="N167" s="5" t="s">
        <v>1314</v>
      </c>
      <c r="O167" s="5" t="s">
        <v>45</v>
      </c>
    </row>
    <row r="168" customFormat="false" ht="23.85" hidden="false" customHeight="false" outlineLevel="0" collapsed="false">
      <c r="A168" s="5" t="s">
        <v>1315</v>
      </c>
      <c r="B168" s="5" t="s">
        <v>33</v>
      </c>
      <c r="C168" s="5" t="s">
        <v>1305</v>
      </c>
      <c r="D168" s="5" t="s">
        <v>1306</v>
      </c>
      <c r="E168" s="5" t="s">
        <v>1307</v>
      </c>
      <c r="F168" s="5" t="s">
        <v>1308</v>
      </c>
      <c r="G168" s="5" t="s">
        <v>1316</v>
      </c>
      <c r="H168" s="5" t="s">
        <v>1317</v>
      </c>
      <c r="I168" s="5" t="s">
        <v>1318</v>
      </c>
      <c r="J168" s="5" t="s">
        <v>1319</v>
      </c>
      <c r="K168" s="5" t="s">
        <v>97</v>
      </c>
      <c r="L168" s="5" t="s">
        <v>1320</v>
      </c>
      <c r="M168" s="5"/>
      <c r="N168" s="5" t="s">
        <v>1321</v>
      </c>
      <c r="O168" s="5" t="s">
        <v>45</v>
      </c>
    </row>
    <row r="169" customFormat="false" ht="23.85" hidden="false" customHeight="false" outlineLevel="0" collapsed="false">
      <c r="A169" s="5" t="s">
        <v>1322</v>
      </c>
      <c r="B169" s="5" t="s">
        <v>33</v>
      </c>
      <c r="C169" s="5" t="s">
        <v>1305</v>
      </c>
      <c r="D169" s="5" t="s">
        <v>1306</v>
      </c>
      <c r="E169" s="5" t="s">
        <v>1307</v>
      </c>
      <c r="F169" s="5" t="s">
        <v>1308</v>
      </c>
      <c r="G169" s="5" t="s">
        <v>1323</v>
      </c>
      <c r="H169" s="5" t="s">
        <v>1324</v>
      </c>
      <c r="I169" s="5" t="s">
        <v>1325</v>
      </c>
      <c r="J169" s="5" t="s">
        <v>1326</v>
      </c>
      <c r="K169" s="5" t="s">
        <v>97</v>
      </c>
      <c r="L169" s="5" t="s">
        <v>1327</v>
      </c>
      <c r="M169" s="5"/>
      <c r="N169" s="5" t="s">
        <v>1328</v>
      </c>
      <c r="O169" s="5" t="s">
        <v>45</v>
      </c>
    </row>
    <row r="170" customFormat="false" ht="35.05" hidden="false" customHeight="false" outlineLevel="0" collapsed="false">
      <c r="A170" s="5" t="s">
        <v>1329</v>
      </c>
      <c r="B170" s="5" t="s">
        <v>33</v>
      </c>
      <c r="C170" s="5" t="s">
        <v>501</v>
      </c>
      <c r="D170" s="5" t="s">
        <v>1330</v>
      </c>
      <c r="E170" s="5" t="s">
        <v>1331</v>
      </c>
      <c r="F170" s="5" t="s">
        <v>1332</v>
      </c>
      <c r="G170" s="5" t="s">
        <v>1333</v>
      </c>
      <c r="H170" s="5" t="s">
        <v>1334</v>
      </c>
      <c r="I170" s="5" t="s">
        <v>1335</v>
      </c>
      <c r="J170" s="5" t="s">
        <v>1336</v>
      </c>
      <c r="K170" s="5" t="s">
        <v>73</v>
      </c>
      <c r="L170" s="5" t="s">
        <v>1337</v>
      </c>
      <c r="M170" s="5"/>
      <c r="N170" s="5" t="s">
        <v>1338</v>
      </c>
      <c r="O170" s="5" t="s">
        <v>45</v>
      </c>
    </row>
    <row r="171" customFormat="false" ht="35.05" hidden="false" customHeight="false" outlineLevel="0" collapsed="false">
      <c r="A171" s="5" t="s">
        <v>1339</v>
      </c>
      <c r="B171" s="5" t="s">
        <v>33</v>
      </c>
      <c r="C171" s="5" t="s">
        <v>501</v>
      </c>
      <c r="D171" s="5" t="s">
        <v>1330</v>
      </c>
      <c r="E171" s="5" t="s">
        <v>1331</v>
      </c>
      <c r="F171" s="5" t="s">
        <v>1332</v>
      </c>
      <c r="G171" s="5" t="s">
        <v>1340</v>
      </c>
      <c r="H171" s="5" t="s">
        <v>1341</v>
      </c>
      <c r="I171" s="5" t="s">
        <v>1342</v>
      </c>
      <c r="J171" s="5" t="s">
        <v>1343</v>
      </c>
      <c r="K171" s="5" t="s">
        <v>97</v>
      </c>
      <c r="L171" s="5" t="s">
        <v>1344</v>
      </c>
      <c r="M171" s="5"/>
      <c r="N171" s="5" t="s">
        <v>1345</v>
      </c>
      <c r="O171" s="5" t="s">
        <v>45</v>
      </c>
    </row>
    <row r="172" customFormat="false" ht="35.05" hidden="false" customHeight="false" outlineLevel="0" collapsed="false">
      <c r="A172" s="5" t="s">
        <v>1346</v>
      </c>
      <c r="B172" s="5" t="s">
        <v>33</v>
      </c>
      <c r="C172" s="5" t="s">
        <v>501</v>
      </c>
      <c r="D172" s="5" t="s">
        <v>1330</v>
      </c>
      <c r="E172" s="5" t="s">
        <v>1331</v>
      </c>
      <c r="F172" s="5" t="s">
        <v>1332</v>
      </c>
      <c r="G172" s="5" t="s">
        <v>1347</v>
      </c>
      <c r="H172" s="5" t="s">
        <v>1348</v>
      </c>
      <c r="I172" s="5" t="s">
        <v>1349</v>
      </c>
      <c r="J172" s="5" t="s">
        <v>1350</v>
      </c>
      <c r="K172" s="5" t="s">
        <v>42</v>
      </c>
      <c r="L172" s="5" t="s">
        <v>1351</v>
      </c>
      <c r="M172" s="5"/>
      <c r="N172" s="5" t="s">
        <v>1352</v>
      </c>
      <c r="O172" s="5" t="s">
        <v>45</v>
      </c>
    </row>
    <row r="173" customFormat="false" ht="23.85" hidden="false" customHeight="false" outlineLevel="0" collapsed="false">
      <c r="A173" s="5" t="s">
        <v>1353</v>
      </c>
      <c r="B173" s="5" t="s">
        <v>33</v>
      </c>
      <c r="C173" s="5" t="s">
        <v>665</v>
      </c>
      <c r="D173" s="5" t="s">
        <v>1354</v>
      </c>
      <c r="E173" s="5" t="s">
        <v>1355</v>
      </c>
      <c r="F173" s="5" t="s">
        <v>1356</v>
      </c>
      <c r="G173" s="5" t="s">
        <v>1357</v>
      </c>
      <c r="H173" s="5" t="s">
        <v>1358</v>
      </c>
      <c r="I173" s="5" t="s">
        <v>1359</v>
      </c>
      <c r="J173" s="5" t="s">
        <v>1360</v>
      </c>
      <c r="K173" s="5" t="s">
        <v>73</v>
      </c>
      <c r="L173" s="5" t="s">
        <v>1361</v>
      </c>
      <c r="M173" s="5"/>
      <c r="N173" s="5" t="s">
        <v>1362</v>
      </c>
      <c r="O173" s="5" t="s">
        <v>45</v>
      </c>
    </row>
    <row r="174" customFormat="false" ht="23.85" hidden="false" customHeight="false" outlineLevel="0" collapsed="false">
      <c r="A174" s="5" t="s">
        <v>1363</v>
      </c>
      <c r="B174" s="5" t="s">
        <v>33</v>
      </c>
      <c r="C174" s="5" t="s">
        <v>665</v>
      </c>
      <c r="D174" s="5" t="s">
        <v>1354</v>
      </c>
      <c r="E174" s="5" t="s">
        <v>1355</v>
      </c>
      <c r="F174" s="5" t="s">
        <v>1356</v>
      </c>
      <c r="G174" s="5" t="s">
        <v>1364</v>
      </c>
      <c r="H174" s="5" t="s">
        <v>1365</v>
      </c>
      <c r="I174" s="5" t="s">
        <v>1366</v>
      </c>
      <c r="J174" s="5" t="s">
        <v>1367</v>
      </c>
      <c r="K174" s="5" t="s">
        <v>73</v>
      </c>
      <c r="L174" s="5" t="s">
        <v>1368</v>
      </c>
      <c r="M174" s="5"/>
      <c r="N174" s="5" t="s">
        <v>1369</v>
      </c>
      <c r="O174" s="5" t="s">
        <v>45</v>
      </c>
    </row>
    <row r="175" customFormat="false" ht="35.05" hidden="false" customHeight="false" outlineLevel="0" collapsed="false">
      <c r="A175" s="5" t="s">
        <v>1370</v>
      </c>
      <c r="B175" s="5" t="s">
        <v>33</v>
      </c>
      <c r="C175" s="5" t="s">
        <v>665</v>
      </c>
      <c r="D175" s="5" t="s">
        <v>1354</v>
      </c>
      <c r="E175" s="5" t="s">
        <v>1355</v>
      </c>
      <c r="F175" s="5" t="s">
        <v>1356</v>
      </c>
      <c r="G175" s="5" t="s">
        <v>1371</v>
      </c>
      <c r="H175" s="5" t="s">
        <v>1372</v>
      </c>
      <c r="I175" s="5" t="s">
        <v>1373</v>
      </c>
      <c r="J175" s="5" t="s">
        <v>1374</v>
      </c>
      <c r="K175" s="5" t="s">
        <v>97</v>
      </c>
      <c r="L175" s="5" t="s">
        <v>1375</v>
      </c>
      <c r="M175" s="5"/>
      <c r="N175" s="5" t="s">
        <v>1376</v>
      </c>
      <c r="O175" s="5" t="s">
        <v>45</v>
      </c>
    </row>
    <row r="176" customFormat="false" ht="23.85" hidden="false" customHeight="false" outlineLevel="0" collapsed="false">
      <c r="A176" s="5" t="s">
        <v>1377</v>
      </c>
      <c r="B176" s="5" t="s">
        <v>33</v>
      </c>
      <c r="C176" s="5" t="s">
        <v>1378</v>
      </c>
      <c r="D176" s="5" t="s">
        <v>1379</v>
      </c>
      <c r="E176" s="5" t="s">
        <v>1380</v>
      </c>
      <c r="F176" s="5" t="s">
        <v>1381</v>
      </c>
      <c r="G176" s="5" t="s">
        <v>1382</v>
      </c>
      <c r="H176" s="5" t="s">
        <v>1383</v>
      </c>
      <c r="I176" s="5" t="s">
        <v>1384</v>
      </c>
      <c r="J176" s="5" t="s">
        <v>1385</v>
      </c>
      <c r="K176" s="5" t="s">
        <v>42</v>
      </c>
      <c r="L176" s="5" t="s">
        <v>1386</v>
      </c>
      <c r="M176" s="5"/>
      <c r="N176" s="5" t="s">
        <v>1387</v>
      </c>
      <c r="O176" s="5" t="s">
        <v>45</v>
      </c>
    </row>
    <row r="177" customFormat="false" ht="23.85" hidden="false" customHeight="false" outlineLevel="0" collapsed="false">
      <c r="A177" s="5" t="s">
        <v>1388</v>
      </c>
      <c r="B177" s="5" t="s">
        <v>33</v>
      </c>
      <c r="C177" s="5" t="s">
        <v>1378</v>
      </c>
      <c r="D177" s="5" t="s">
        <v>1379</v>
      </c>
      <c r="E177" s="5" t="s">
        <v>1380</v>
      </c>
      <c r="F177" s="5" t="s">
        <v>1381</v>
      </c>
      <c r="G177" s="5" t="s">
        <v>1389</v>
      </c>
      <c r="H177" s="5" t="s">
        <v>1390</v>
      </c>
      <c r="I177" s="5" t="s">
        <v>1391</v>
      </c>
      <c r="J177" s="5" t="s">
        <v>1392</v>
      </c>
      <c r="K177" s="5" t="s">
        <v>97</v>
      </c>
      <c r="L177" s="5" t="s">
        <v>1393</v>
      </c>
      <c r="M177" s="5"/>
      <c r="N177" s="5" t="s">
        <v>1394</v>
      </c>
      <c r="O177" s="5" t="s">
        <v>45</v>
      </c>
    </row>
    <row r="178" customFormat="false" ht="23.85" hidden="false" customHeight="false" outlineLevel="0" collapsed="false">
      <c r="A178" s="5" t="s">
        <v>1395</v>
      </c>
      <c r="B178" s="5" t="s">
        <v>33</v>
      </c>
      <c r="C178" s="5" t="s">
        <v>1378</v>
      </c>
      <c r="D178" s="5" t="s">
        <v>1379</v>
      </c>
      <c r="E178" s="5" t="s">
        <v>1380</v>
      </c>
      <c r="F178" s="5" t="s">
        <v>1381</v>
      </c>
      <c r="G178" s="5" t="s">
        <v>1396</v>
      </c>
      <c r="H178" s="5" t="s">
        <v>1397</v>
      </c>
      <c r="I178" s="5" t="s">
        <v>1398</v>
      </c>
      <c r="J178" s="5" t="s">
        <v>1399</v>
      </c>
      <c r="K178" s="5" t="s">
        <v>42</v>
      </c>
      <c r="L178" s="5" t="s">
        <v>1400</v>
      </c>
      <c r="M178" s="5"/>
      <c r="N178" s="5" t="s">
        <v>1401</v>
      </c>
      <c r="O178" s="5" t="s">
        <v>45</v>
      </c>
    </row>
    <row r="179" customFormat="false" ht="23.85" hidden="false" customHeight="false" outlineLevel="0" collapsed="false">
      <c r="A179" s="5" t="s">
        <v>1402</v>
      </c>
      <c r="B179" s="5" t="s">
        <v>33</v>
      </c>
      <c r="C179" s="5" t="s">
        <v>1378</v>
      </c>
      <c r="D179" s="5" t="s">
        <v>1403</v>
      </c>
      <c r="E179" s="5" t="s">
        <v>1404</v>
      </c>
      <c r="F179" s="5" t="s">
        <v>1405</v>
      </c>
      <c r="G179" s="5" t="s">
        <v>1406</v>
      </c>
      <c r="H179" s="5" t="s">
        <v>1407</v>
      </c>
      <c r="I179" s="5" t="s">
        <v>1408</v>
      </c>
      <c r="J179" s="5" t="s">
        <v>1409</v>
      </c>
      <c r="K179" s="5" t="s">
        <v>73</v>
      </c>
      <c r="L179" s="5" t="s">
        <v>1410</v>
      </c>
      <c r="M179" s="5"/>
      <c r="N179" s="5" t="s">
        <v>1411</v>
      </c>
      <c r="O179" s="5" t="s">
        <v>45</v>
      </c>
    </row>
    <row r="180" customFormat="false" ht="23.85" hidden="false" customHeight="false" outlineLevel="0" collapsed="false">
      <c r="A180" s="5" t="s">
        <v>1412</v>
      </c>
      <c r="B180" s="5" t="s">
        <v>33</v>
      </c>
      <c r="C180" s="5" t="s">
        <v>1378</v>
      </c>
      <c r="D180" s="5" t="s">
        <v>1403</v>
      </c>
      <c r="E180" s="5" t="s">
        <v>1404</v>
      </c>
      <c r="F180" s="5" t="s">
        <v>1405</v>
      </c>
      <c r="G180" s="5" t="s">
        <v>1413</v>
      </c>
      <c r="H180" s="5" t="s">
        <v>1414</v>
      </c>
      <c r="I180" s="5" t="s">
        <v>1415</v>
      </c>
      <c r="J180" s="5" t="s">
        <v>1416</v>
      </c>
      <c r="K180" s="5" t="s">
        <v>42</v>
      </c>
      <c r="L180" s="5" t="s">
        <v>1417</v>
      </c>
      <c r="M180" s="5"/>
      <c r="N180" s="5" t="s">
        <v>1418</v>
      </c>
      <c r="O180" s="5" t="s">
        <v>45</v>
      </c>
    </row>
    <row r="181" customFormat="false" ht="23.85" hidden="false" customHeight="false" outlineLevel="0" collapsed="false">
      <c r="A181" s="5" t="s">
        <v>1419</v>
      </c>
      <c r="B181" s="5" t="s">
        <v>33</v>
      </c>
      <c r="C181" s="5" t="s">
        <v>1378</v>
      </c>
      <c r="D181" s="5" t="s">
        <v>1403</v>
      </c>
      <c r="E181" s="5" t="s">
        <v>1404</v>
      </c>
      <c r="F181" s="5" t="s">
        <v>1405</v>
      </c>
      <c r="G181" s="5" t="s">
        <v>1420</v>
      </c>
      <c r="H181" s="5" t="s">
        <v>1421</v>
      </c>
      <c r="I181" s="5" t="s">
        <v>1422</v>
      </c>
      <c r="J181" s="5" t="s">
        <v>1423</v>
      </c>
      <c r="K181" s="5" t="s">
        <v>97</v>
      </c>
      <c r="L181" s="5" t="s">
        <v>1424</v>
      </c>
      <c r="M181" s="5"/>
      <c r="N181" s="5" t="s">
        <v>1418</v>
      </c>
      <c r="O181" s="5" t="s">
        <v>45</v>
      </c>
    </row>
    <row r="182" customFormat="false" ht="23.85" hidden="false" customHeight="false" outlineLevel="0" collapsed="false">
      <c r="A182" s="5" t="s">
        <v>1425</v>
      </c>
      <c r="B182" s="5" t="s">
        <v>33</v>
      </c>
      <c r="C182" s="5" t="s">
        <v>106</v>
      </c>
      <c r="D182" s="5" t="s">
        <v>1426</v>
      </c>
      <c r="E182" s="5" t="s">
        <v>1427</v>
      </c>
      <c r="F182" s="5" t="s">
        <v>1428</v>
      </c>
      <c r="G182" s="5" t="s">
        <v>1429</v>
      </c>
      <c r="H182" s="5" t="s">
        <v>1430</v>
      </c>
      <c r="I182" s="5" t="s">
        <v>1431</v>
      </c>
      <c r="J182" s="5" t="s">
        <v>1432</v>
      </c>
      <c r="K182" s="5" t="s">
        <v>97</v>
      </c>
      <c r="L182" s="5" t="s">
        <v>1433</v>
      </c>
      <c r="M182" s="5"/>
      <c r="N182" s="5" t="s">
        <v>1434</v>
      </c>
      <c r="O182" s="5" t="s">
        <v>45</v>
      </c>
    </row>
    <row r="183" customFormat="false" ht="23.85" hidden="false" customHeight="false" outlineLevel="0" collapsed="false">
      <c r="A183" s="5" t="s">
        <v>1435</v>
      </c>
      <c r="B183" s="5" t="s">
        <v>33</v>
      </c>
      <c r="C183" s="5" t="s">
        <v>106</v>
      </c>
      <c r="D183" s="5" t="s">
        <v>1426</v>
      </c>
      <c r="E183" s="5" t="s">
        <v>1427</v>
      </c>
      <c r="F183" s="5" t="s">
        <v>1428</v>
      </c>
      <c r="G183" s="5" t="s">
        <v>1436</v>
      </c>
      <c r="H183" s="5" t="s">
        <v>1437</v>
      </c>
      <c r="I183" s="5" t="s">
        <v>1438</v>
      </c>
      <c r="J183" s="5" t="s">
        <v>1439</v>
      </c>
      <c r="K183" s="5" t="s">
        <v>73</v>
      </c>
      <c r="L183" s="5" t="s">
        <v>1440</v>
      </c>
      <c r="M183" s="5"/>
      <c r="N183" s="5" t="s">
        <v>1441</v>
      </c>
      <c r="O183" s="5" t="s">
        <v>45</v>
      </c>
    </row>
    <row r="184" customFormat="false" ht="23.85" hidden="false" customHeight="false" outlineLevel="0" collapsed="false">
      <c r="A184" s="5" t="s">
        <v>1442</v>
      </c>
      <c r="B184" s="5" t="s">
        <v>33</v>
      </c>
      <c r="C184" s="5" t="s">
        <v>106</v>
      </c>
      <c r="D184" s="5" t="s">
        <v>1426</v>
      </c>
      <c r="E184" s="5" t="s">
        <v>1427</v>
      </c>
      <c r="F184" s="5" t="s">
        <v>1428</v>
      </c>
      <c r="G184" s="5" t="s">
        <v>1443</v>
      </c>
      <c r="H184" s="5" t="s">
        <v>1444</v>
      </c>
      <c r="I184" s="5" t="s">
        <v>1445</v>
      </c>
      <c r="J184" s="5" t="s">
        <v>1446</v>
      </c>
      <c r="K184" s="5" t="s">
        <v>73</v>
      </c>
      <c r="L184" s="5" t="s">
        <v>1447</v>
      </c>
      <c r="M184" s="5"/>
      <c r="N184" s="5" t="s">
        <v>1448</v>
      </c>
      <c r="O184" s="5" t="s">
        <v>45</v>
      </c>
    </row>
    <row r="185" customFormat="false" ht="23.85" hidden="false" customHeight="false" outlineLevel="0" collapsed="false">
      <c r="A185" s="5" t="s">
        <v>1449</v>
      </c>
      <c r="B185" s="5" t="s">
        <v>33</v>
      </c>
      <c r="C185" s="5" t="s">
        <v>106</v>
      </c>
      <c r="D185" s="5" t="s">
        <v>1450</v>
      </c>
      <c r="E185" s="5" t="s">
        <v>1451</v>
      </c>
      <c r="F185" s="5" t="s">
        <v>1452</v>
      </c>
      <c r="G185" s="5" t="s">
        <v>1453</v>
      </c>
      <c r="H185" s="5" t="s">
        <v>1454</v>
      </c>
      <c r="I185" s="5" t="s">
        <v>1455</v>
      </c>
      <c r="J185" s="5" t="s">
        <v>1456</v>
      </c>
      <c r="K185" s="5" t="s">
        <v>42</v>
      </c>
      <c r="L185" s="5" t="s">
        <v>1457</v>
      </c>
      <c r="M185" s="5"/>
      <c r="N185" s="5" t="s">
        <v>1458</v>
      </c>
      <c r="O185" s="5" t="s">
        <v>45</v>
      </c>
    </row>
    <row r="186" customFormat="false" ht="23.85" hidden="false" customHeight="false" outlineLevel="0" collapsed="false">
      <c r="A186" s="5" t="s">
        <v>1459</v>
      </c>
      <c r="B186" s="5" t="s">
        <v>33</v>
      </c>
      <c r="C186" s="5" t="s">
        <v>106</v>
      </c>
      <c r="D186" s="5" t="s">
        <v>1450</v>
      </c>
      <c r="E186" s="5" t="s">
        <v>1451</v>
      </c>
      <c r="F186" s="5" t="s">
        <v>1452</v>
      </c>
      <c r="G186" s="5" t="s">
        <v>1460</v>
      </c>
      <c r="H186" s="5" t="s">
        <v>1461</v>
      </c>
      <c r="I186" s="5" t="s">
        <v>1462</v>
      </c>
      <c r="J186" s="5" t="s">
        <v>1463</v>
      </c>
      <c r="K186" s="5" t="s">
        <v>42</v>
      </c>
      <c r="L186" s="5" t="s">
        <v>1464</v>
      </c>
      <c r="M186" s="5"/>
      <c r="N186" s="5" t="s">
        <v>1458</v>
      </c>
      <c r="O186" s="5" t="s">
        <v>45</v>
      </c>
    </row>
    <row r="187" customFormat="false" ht="23.85" hidden="false" customHeight="false" outlineLevel="0" collapsed="false">
      <c r="A187" s="5" t="s">
        <v>1465</v>
      </c>
      <c r="B187" s="5" t="s">
        <v>33</v>
      </c>
      <c r="C187" s="5" t="s">
        <v>106</v>
      </c>
      <c r="D187" s="5" t="s">
        <v>1450</v>
      </c>
      <c r="E187" s="5" t="s">
        <v>1451</v>
      </c>
      <c r="F187" s="5" t="s">
        <v>1452</v>
      </c>
      <c r="G187" s="5" t="s">
        <v>1466</v>
      </c>
      <c r="H187" s="5" t="s">
        <v>1384</v>
      </c>
      <c r="I187" s="5" t="s">
        <v>1467</v>
      </c>
      <c r="J187" s="5" t="s">
        <v>1468</v>
      </c>
      <c r="K187" s="5" t="s">
        <v>97</v>
      </c>
      <c r="L187" s="5" t="s">
        <v>1469</v>
      </c>
      <c r="M187" s="5"/>
      <c r="N187" s="5" t="s">
        <v>1470</v>
      </c>
      <c r="O187" s="5" t="s">
        <v>45</v>
      </c>
    </row>
    <row r="188" customFormat="false" ht="35.05" hidden="false" customHeight="false" outlineLevel="0" collapsed="false">
      <c r="A188" s="5" t="s">
        <v>1471</v>
      </c>
      <c r="B188" s="5" t="s">
        <v>33</v>
      </c>
      <c r="C188" s="5" t="s">
        <v>129</v>
      </c>
      <c r="D188" s="5" t="s">
        <v>1472</v>
      </c>
      <c r="E188" s="5" t="s">
        <v>1473</v>
      </c>
      <c r="F188" s="5" t="s">
        <v>1474</v>
      </c>
      <c r="G188" s="5" t="s">
        <v>1475</v>
      </c>
      <c r="H188" s="5" t="s">
        <v>1476</v>
      </c>
      <c r="I188" s="5" t="s">
        <v>1477</v>
      </c>
      <c r="J188" s="5" t="s">
        <v>1478</v>
      </c>
      <c r="K188" s="5" t="s">
        <v>73</v>
      </c>
      <c r="L188" s="5" t="s">
        <v>1479</v>
      </c>
      <c r="M188" s="5"/>
      <c r="N188" s="5" t="s">
        <v>1480</v>
      </c>
      <c r="O188" s="5" t="s">
        <v>45</v>
      </c>
    </row>
    <row r="189" customFormat="false" ht="23.85" hidden="false" customHeight="false" outlineLevel="0" collapsed="false">
      <c r="A189" s="5" t="s">
        <v>1481</v>
      </c>
      <c r="B189" s="5" t="s">
        <v>33</v>
      </c>
      <c r="C189" s="5" t="s">
        <v>129</v>
      </c>
      <c r="D189" s="5" t="s">
        <v>1472</v>
      </c>
      <c r="E189" s="5" t="s">
        <v>1473</v>
      </c>
      <c r="F189" s="5" t="s">
        <v>1474</v>
      </c>
      <c r="G189" s="5" t="s">
        <v>1482</v>
      </c>
      <c r="H189" s="5" t="s">
        <v>1483</v>
      </c>
      <c r="I189" s="5" t="s">
        <v>1484</v>
      </c>
      <c r="J189" s="5" t="s">
        <v>1485</v>
      </c>
      <c r="K189" s="5" t="s">
        <v>73</v>
      </c>
      <c r="L189" s="5" t="s">
        <v>1486</v>
      </c>
      <c r="M189" s="5"/>
      <c r="N189" s="5" t="s">
        <v>1487</v>
      </c>
      <c r="O189" s="5" t="s">
        <v>45</v>
      </c>
    </row>
    <row r="190" customFormat="false" ht="23.85" hidden="false" customHeight="false" outlineLevel="0" collapsed="false">
      <c r="A190" s="5" t="s">
        <v>1488</v>
      </c>
      <c r="B190" s="5" t="s">
        <v>33</v>
      </c>
      <c r="C190" s="5" t="s">
        <v>129</v>
      </c>
      <c r="D190" s="5" t="s">
        <v>1472</v>
      </c>
      <c r="E190" s="5" t="s">
        <v>1473</v>
      </c>
      <c r="F190" s="5" t="s">
        <v>1474</v>
      </c>
      <c r="G190" s="5" t="s">
        <v>1489</v>
      </c>
      <c r="H190" s="5" t="s">
        <v>1445</v>
      </c>
      <c r="I190" s="5" t="s">
        <v>1490</v>
      </c>
      <c r="J190" s="5" t="s">
        <v>1446</v>
      </c>
      <c r="K190" s="5" t="s">
        <v>97</v>
      </c>
      <c r="L190" s="5" t="s">
        <v>1491</v>
      </c>
      <c r="M190" s="5"/>
      <c r="N190" s="5" t="s">
        <v>619</v>
      </c>
      <c r="O190" s="5" t="s">
        <v>45</v>
      </c>
    </row>
    <row r="191" customFormat="false" ht="23.85" hidden="false" customHeight="false" outlineLevel="0" collapsed="false">
      <c r="A191" s="5" t="s">
        <v>1492</v>
      </c>
      <c r="B191" s="5" t="s">
        <v>33</v>
      </c>
      <c r="C191" s="5" t="s">
        <v>129</v>
      </c>
      <c r="D191" s="5" t="s">
        <v>1493</v>
      </c>
      <c r="E191" s="5" t="s">
        <v>1494</v>
      </c>
      <c r="F191" s="5" t="s">
        <v>1495</v>
      </c>
      <c r="G191" s="5" t="s">
        <v>1496</v>
      </c>
      <c r="H191" s="5" t="s">
        <v>1170</v>
      </c>
      <c r="I191" s="5" t="s">
        <v>1497</v>
      </c>
      <c r="J191" s="5" t="s">
        <v>1498</v>
      </c>
      <c r="K191" s="5" t="s">
        <v>42</v>
      </c>
      <c r="L191" s="5" t="s">
        <v>1499</v>
      </c>
      <c r="M191" s="5"/>
      <c r="N191" s="5" t="s">
        <v>1500</v>
      </c>
      <c r="O191" s="5" t="s">
        <v>45</v>
      </c>
    </row>
    <row r="192" customFormat="false" ht="23.85" hidden="false" customHeight="false" outlineLevel="0" collapsed="false">
      <c r="A192" s="5" t="s">
        <v>1501</v>
      </c>
      <c r="B192" s="5" t="s">
        <v>33</v>
      </c>
      <c r="C192" s="5" t="s">
        <v>129</v>
      </c>
      <c r="D192" s="5" t="s">
        <v>1493</v>
      </c>
      <c r="E192" s="5" t="s">
        <v>1494</v>
      </c>
      <c r="F192" s="5" t="s">
        <v>1495</v>
      </c>
      <c r="G192" s="5" t="s">
        <v>1502</v>
      </c>
      <c r="H192" s="5" t="s">
        <v>1503</v>
      </c>
      <c r="I192" s="5" t="s">
        <v>1504</v>
      </c>
      <c r="J192" s="5" t="s">
        <v>1505</v>
      </c>
      <c r="K192" s="5" t="s">
        <v>42</v>
      </c>
      <c r="L192" s="5" t="s">
        <v>1506</v>
      </c>
      <c r="M192" s="5"/>
      <c r="N192" s="5" t="s">
        <v>1500</v>
      </c>
      <c r="O192" s="5" t="s">
        <v>45</v>
      </c>
    </row>
    <row r="193" customFormat="false" ht="23.85" hidden="false" customHeight="false" outlineLevel="0" collapsed="false">
      <c r="A193" s="5" t="s">
        <v>1507</v>
      </c>
      <c r="B193" s="5" t="s">
        <v>33</v>
      </c>
      <c r="C193" s="5" t="s">
        <v>129</v>
      </c>
      <c r="D193" s="5" t="s">
        <v>1493</v>
      </c>
      <c r="E193" s="5" t="s">
        <v>1494</v>
      </c>
      <c r="F193" s="5" t="s">
        <v>1495</v>
      </c>
      <c r="G193" s="5" t="s">
        <v>1508</v>
      </c>
      <c r="H193" s="5" t="s">
        <v>1509</v>
      </c>
      <c r="I193" s="5" t="s">
        <v>1510</v>
      </c>
      <c r="J193" s="5" t="s">
        <v>1511</v>
      </c>
      <c r="K193" s="5" t="s">
        <v>97</v>
      </c>
      <c r="L193" s="5" t="s">
        <v>1512</v>
      </c>
      <c r="M193" s="5"/>
      <c r="N193" s="5" t="s">
        <v>619</v>
      </c>
      <c r="O193" s="5" t="s">
        <v>45</v>
      </c>
    </row>
    <row r="194" customFormat="false" ht="23.85" hidden="false" customHeight="false" outlineLevel="0" collapsed="false">
      <c r="A194" s="5" t="s">
        <v>1513</v>
      </c>
      <c r="B194" s="5" t="s">
        <v>33</v>
      </c>
      <c r="C194" s="5" t="s">
        <v>34</v>
      </c>
      <c r="D194" s="5" t="s">
        <v>1514</v>
      </c>
      <c r="E194" s="5" t="s">
        <v>1515</v>
      </c>
      <c r="F194" s="5" t="s">
        <v>1516</v>
      </c>
      <c r="G194" s="5" t="s">
        <v>1517</v>
      </c>
      <c r="H194" s="5" t="s">
        <v>1518</v>
      </c>
      <c r="I194" s="5" t="s">
        <v>1519</v>
      </c>
      <c r="J194" s="5" t="s">
        <v>1520</v>
      </c>
      <c r="K194" s="5" t="s">
        <v>73</v>
      </c>
      <c r="L194" s="5" t="s">
        <v>1521</v>
      </c>
      <c r="M194" s="5"/>
      <c r="N194" s="5" t="s">
        <v>1522</v>
      </c>
      <c r="O194" s="5" t="s">
        <v>45</v>
      </c>
    </row>
    <row r="195" customFormat="false" ht="35.05" hidden="false" customHeight="false" outlineLevel="0" collapsed="false">
      <c r="A195" s="5" t="s">
        <v>1523</v>
      </c>
      <c r="B195" s="5" t="s">
        <v>33</v>
      </c>
      <c r="C195" s="5" t="s">
        <v>34</v>
      </c>
      <c r="D195" s="5" t="s">
        <v>1514</v>
      </c>
      <c r="E195" s="5" t="s">
        <v>1515</v>
      </c>
      <c r="F195" s="5" t="s">
        <v>1516</v>
      </c>
      <c r="G195" s="5" t="s">
        <v>1524</v>
      </c>
      <c r="H195" s="5" t="s">
        <v>1525</v>
      </c>
      <c r="I195" s="5" t="s">
        <v>1526</v>
      </c>
      <c r="J195" s="5" t="s">
        <v>1527</v>
      </c>
      <c r="K195" s="5" t="s">
        <v>73</v>
      </c>
      <c r="L195" s="5" t="s">
        <v>1528</v>
      </c>
      <c r="M195" s="5"/>
      <c r="N195" s="5" t="s">
        <v>1522</v>
      </c>
      <c r="O195" s="5" t="s">
        <v>45</v>
      </c>
    </row>
    <row r="196" customFormat="false" ht="23.85" hidden="false" customHeight="false" outlineLevel="0" collapsed="false">
      <c r="A196" s="5" t="s">
        <v>1529</v>
      </c>
      <c r="B196" s="5" t="s">
        <v>33</v>
      </c>
      <c r="C196" s="5" t="s">
        <v>34</v>
      </c>
      <c r="D196" s="5" t="s">
        <v>1514</v>
      </c>
      <c r="E196" s="5" t="s">
        <v>1515</v>
      </c>
      <c r="F196" s="5" t="s">
        <v>1516</v>
      </c>
      <c r="G196" s="5" t="s">
        <v>1530</v>
      </c>
      <c r="H196" s="5" t="s">
        <v>1531</v>
      </c>
      <c r="I196" s="5" t="s">
        <v>1532</v>
      </c>
      <c r="J196" s="5" t="s">
        <v>1533</v>
      </c>
      <c r="K196" s="5" t="s">
        <v>97</v>
      </c>
      <c r="L196" s="5" t="s">
        <v>1534</v>
      </c>
      <c r="M196" s="5"/>
      <c r="N196" s="5" t="s">
        <v>1535</v>
      </c>
      <c r="O196" s="5" t="s">
        <v>45</v>
      </c>
    </row>
    <row r="197" customFormat="false" ht="23.85" hidden="false" customHeight="false" outlineLevel="0" collapsed="false">
      <c r="A197" s="5" t="s">
        <v>1536</v>
      </c>
      <c r="B197" s="5" t="s">
        <v>33</v>
      </c>
      <c r="C197" s="5" t="s">
        <v>574</v>
      </c>
      <c r="D197" s="5" t="s">
        <v>1537</v>
      </c>
      <c r="E197" s="5" t="s">
        <v>1538</v>
      </c>
      <c r="F197" s="5" t="s">
        <v>1539</v>
      </c>
      <c r="G197" s="5" t="s">
        <v>1540</v>
      </c>
      <c r="H197" s="5" t="s">
        <v>1541</v>
      </c>
      <c r="I197" s="5" t="s">
        <v>1542</v>
      </c>
      <c r="J197" s="5" t="s">
        <v>1543</v>
      </c>
      <c r="K197" s="5" t="s">
        <v>42</v>
      </c>
      <c r="L197" s="5" t="s">
        <v>1544</v>
      </c>
      <c r="M197" s="5"/>
      <c r="N197" s="5" t="s">
        <v>1545</v>
      </c>
      <c r="O197" s="5" t="s">
        <v>45</v>
      </c>
    </row>
    <row r="198" customFormat="false" ht="23.85" hidden="false" customHeight="false" outlineLevel="0" collapsed="false">
      <c r="A198" s="5" t="s">
        <v>1546</v>
      </c>
      <c r="B198" s="5" t="s">
        <v>33</v>
      </c>
      <c r="C198" s="5" t="s">
        <v>574</v>
      </c>
      <c r="D198" s="5" t="s">
        <v>1537</v>
      </c>
      <c r="E198" s="5" t="s">
        <v>1538</v>
      </c>
      <c r="F198" s="5" t="s">
        <v>1539</v>
      </c>
      <c r="G198" s="5" t="s">
        <v>1547</v>
      </c>
      <c r="H198" s="5" t="s">
        <v>1548</v>
      </c>
      <c r="I198" s="5" t="s">
        <v>1549</v>
      </c>
      <c r="J198" s="5" t="s">
        <v>481</v>
      </c>
      <c r="K198" s="5" t="s">
        <v>73</v>
      </c>
      <c r="L198" s="5" t="s">
        <v>1550</v>
      </c>
      <c r="M198" s="5"/>
      <c r="N198" s="5" t="s">
        <v>1053</v>
      </c>
      <c r="O198" s="5" t="s">
        <v>45</v>
      </c>
    </row>
    <row r="199" customFormat="false" ht="23.85" hidden="false" customHeight="false" outlineLevel="0" collapsed="false">
      <c r="A199" s="5" t="s">
        <v>1551</v>
      </c>
      <c r="B199" s="5" t="s">
        <v>33</v>
      </c>
      <c r="C199" s="5" t="s">
        <v>574</v>
      </c>
      <c r="D199" s="5" t="s">
        <v>1537</v>
      </c>
      <c r="E199" s="5" t="s">
        <v>1538</v>
      </c>
      <c r="F199" s="5" t="s">
        <v>1539</v>
      </c>
      <c r="G199" s="5" t="s">
        <v>1552</v>
      </c>
      <c r="H199" s="5" t="s">
        <v>1553</v>
      </c>
      <c r="I199" s="5" t="s">
        <v>1554</v>
      </c>
      <c r="J199" s="5" t="s">
        <v>1555</v>
      </c>
      <c r="K199" s="5" t="s">
        <v>73</v>
      </c>
      <c r="L199" s="5" t="s">
        <v>1556</v>
      </c>
      <c r="M199" s="5"/>
      <c r="N199" s="5" t="s">
        <v>1557</v>
      </c>
      <c r="O199" s="5" t="s">
        <v>45</v>
      </c>
    </row>
    <row r="200" customFormat="false" ht="35.05" hidden="false" customHeight="false" outlineLevel="0" collapsed="false">
      <c r="A200" s="5" t="s">
        <v>1558</v>
      </c>
      <c r="B200" s="5" t="s">
        <v>33</v>
      </c>
      <c r="C200" s="5" t="s">
        <v>452</v>
      </c>
      <c r="D200" s="5" t="s">
        <v>1559</v>
      </c>
      <c r="E200" s="5" t="s">
        <v>1560</v>
      </c>
      <c r="F200" s="5" t="s">
        <v>1561</v>
      </c>
      <c r="G200" s="5" t="s">
        <v>1562</v>
      </c>
      <c r="H200" s="5" t="s">
        <v>1563</v>
      </c>
      <c r="I200" s="5" t="s">
        <v>1564</v>
      </c>
      <c r="J200" s="5" t="s">
        <v>1565</v>
      </c>
      <c r="K200" s="5" t="s">
        <v>73</v>
      </c>
      <c r="L200" s="5" t="s">
        <v>1566</v>
      </c>
      <c r="M200" s="5"/>
      <c r="N200" s="5" t="s">
        <v>1567</v>
      </c>
      <c r="O200" s="5" t="s">
        <v>45</v>
      </c>
    </row>
    <row r="201" customFormat="false" ht="23.85" hidden="false" customHeight="false" outlineLevel="0" collapsed="false">
      <c r="A201" s="5" t="s">
        <v>1568</v>
      </c>
      <c r="B201" s="5" t="s">
        <v>33</v>
      </c>
      <c r="C201" s="5" t="s">
        <v>452</v>
      </c>
      <c r="D201" s="5" t="s">
        <v>1559</v>
      </c>
      <c r="E201" s="5" t="s">
        <v>1560</v>
      </c>
      <c r="F201" s="5" t="s">
        <v>1561</v>
      </c>
      <c r="G201" s="5" t="s">
        <v>1569</v>
      </c>
      <c r="H201" s="5" t="s">
        <v>1570</v>
      </c>
      <c r="I201" s="5" t="s">
        <v>490</v>
      </c>
      <c r="J201" s="5" t="s">
        <v>1571</v>
      </c>
      <c r="K201" s="5" t="s">
        <v>73</v>
      </c>
      <c r="L201" s="5" t="s">
        <v>1572</v>
      </c>
      <c r="M201" s="5"/>
      <c r="N201" s="5" t="s">
        <v>1567</v>
      </c>
      <c r="O201" s="5" t="s">
        <v>45</v>
      </c>
    </row>
    <row r="202" customFormat="false" ht="23.85" hidden="false" customHeight="false" outlineLevel="0" collapsed="false">
      <c r="A202" s="5" t="s">
        <v>1573</v>
      </c>
      <c r="B202" s="5" t="s">
        <v>33</v>
      </c>
      <c r="C202" s="5" t="s">
        <v>452</v>
      </c>
      <c r="D202" s="5" t="s">
        <v>1559</v>
      </c>
      <c r="E202" s="5" t="s">
        <v>1560</v>
      </c>
      <c r="F202" s="5" t="s">
        <v>1561</v>
      </c>
      <c r="G202" s="5" t="s">
        <v>1574</v>
      </c>
      <c r="H202" s="5" t="s">
        <v>1575</v>
      </c>
      <c r="I202" s="5" t="s">
        <v>1576</v>
      </c>
      <c r="J202" s="5" t="s">
        <v>1577</v>
      </c>
      <c r="K202" s="5" t="s">
        <v>97</v>
      </c>
      <c r="L202" s="5" t="s">
        <v>1578</v>
      </c>
      <c r="M202" s="5"/>
      <c r="N202" s="5" t="s">
        <v>1579</v>
      </c>
      <c r="O202" s="5" t="s">
        <v>45</v>
      </c>
    </row>
    <row r="203" customFormat="false" ht="23.85" hidden="false" customHeight="false" outlineLevel="0" collapsed="false">
      <c r="A203" s="5" t="s">
        <v>1580</v>
      </c>
      <c r="B203" s="5" t="s">
        <v>33</v>
      </c>
      <c r="C203" s="5" t="s">
        <v>1581</v>
      </c>
      <c r="D203" s="5" t="s">
        <v>1582</v>
      </c>
      <c r="E203" s="5" t="s">
        <v>1583</v>
      </c>
      <c r="F203" s="5" t="s">
        <v>1584</v>
      </c>
      <c r="G203" s="5" t="s">
        <v>1585</v>
      </c>
      <c r="H203" s="5" t="s">
        <v>1586</v>
      </c>
      <c r="I203" s="5" t="s">
        <v>1587</v>
      </c>
      <c r="J203" s="5" t="s">
        <v>1588</v>
      </c>
      <c r="K203" s="5" t="s">
        <v>73</v>
      </c>
      <c r="L203" s="5" t="s">
        <v>1589</v>
      </c>
      <c r="M203" s="5"/>
      <c r="N203" s="5" t="s">
        <v>1590</v>
      </c>
      <c r="O203" s="5" t="s">
        <v>45</v>
      </c>
    </row>
    <row r="204" customFormat="false" ht="23.85" hidden="false" customHeight="false" outlineLevel="0" collapsed="false">
      <c r="A204" s="5" t="s">
        <v>1591</v>
      </c>
      <c r="B204" s="5" t="s">
        <v>33</v>
      </c>
      <c r="C204" s="5" t="s">
        <v>1581</v>
      </c>
      <c r="D204" s="5" t="s">
        <v>1582</v>
      </c>
      <c r="E204" s="5" t="s">
        <v>1583</v>
      </c>
      <c r="F204" s="5" t="s">
        <v>1584</v>
      </c>
      <c r="G204" s="5" t="s">
        <v>1592</v>
      </c>
      <c r="H204" s="5" t="s">
        <v>1593</v>
      </c>
      <c r="I204" s="5" t="s">
        <v>488</v>
      </c>
      <c r="J204" s="5" t="s">
        <v>489</v>
      </c>
      <c r="K204" s="5" t="s">
        <v>97</v>
      </c>
      <c r="L204" s="5" t="s">
        <v>1594</v>
      </c>
      <c r="M204" s="5"/>
      <c r="N204" s="5" t="s">
        <v>734</v>
      </c>
      <c r="O204" s="5" t="s">
        <v>45</v>
      </c>
    </row>
    <row r="205" customFormat="false" ht="35.05" hidden="false" customHeight="false" outlineLevel="0" collapsed="false">
      <c r="A205" s="5" t="s">
        <v>1595</v>
      </c>
      <c r="B205" s="5" t="s">
        <v>33</v>
      </c>
      <c r="C205" s="5" t="s">
        <v>1581</v>
      </c>
      <c r="D205" s="5" t="s">
        <v>1582</v>
      </c>
      <c r="E205" s="5" t="s">
        <v>1583</v>
      </c>
      <c r="F205" s="5" t="s">
        <v>1584</v>
      </c>
      <c r="G205" s="5" t="s">
        <v>1596</v>
      </c>
      <c r="H205" s="5" t="s">
        <v>1384</v>
      </c>
      <c r="I205" s="5" t="s">
        <v>1021</v>
      </c>
      <c r="J205" s="5" t="s">
        <v>1593</v>
      </c>
      <c r="K205" s="5" t="s">
        <v>97</v>
      </c>
      <c r="L205" s="5" t="s">
        <v>1597</v>
      </c>
      <c r="M205" s="5"/>
      <c r="N205" s="5" t="s">
        <v>1598</v>
      </c>
      <c r="O205" s="5" t="s">
        <v>45</v>
      </c>
    </row>
    <row r="206" customFormat="false" ht="23.85" hidden="false" customHeight="false" outlineLevel="0" collapsed="false">
      <c r="A206" s="5" t="s">
        <v>1599</v>
      </c>
      <c r="B206" s="5" t="s">
        <v>33</v>
      </c>
      <c r="C206" s="5" t="s">
        <v>82</v>
      </c>
      <c r="D206" s="5" t="s">
        <v>1600</v>
      </c>
      <c r="E206" s="5" t="s">
        <v>1601</v>
      </c>
      <c r="F206" s="5" t="s">
        <v>1602</v>
      </c>
      <c r="G206" s="5" t="s">
        <v>1603</v>
      </c>
      <c r="H206" s="5" t="s">
        <v>1604</v>
      </c>
      <c r="I206" s="5" t="s">
        <v>1605</v>
      </c>
      <c r="J206" s="5" t="s">
        <v>1606</v>
      </c>
      <c r="K206" s="5" t="s">
        <v>73</v>
      </c>
      <c r="L206" s="5" t="s">
        <v>1607</v>
      </c>
      <c r="M206" s="5"/>
      <c r="N206" s="5" t="s">
        <v>1608</v>
      </c>
      <c r="O206" s="5" t="s">
        <v>45</v>
      </c>
    </row>
    <row r="207" customFormat="false" ht="23.85" hidden="false" customHeight="false" outlineLevel="0" collapsed="false">
      <c r="A207" s="5" t="s">
        <v>1609</v>
      </c>
      <c r="B207" s="5" t="s">
        <v>33</v>
      </c>
      <c r="C207" s="5" t="s">
        <v>82</v>
      </c>
      <c r="D207" s="5" t="s">
        <v>1600</v>
      </c>
      <c r="E207" s="5" t="s">
        <v>1601</v>
      </c>
      <c r="F207" s="5" t="s">
        <v>1602</v>
      </c>
      <c r="G207" s="5" t="s">
        <v>1610</v>
      </c>
      <c r="H207" s="5" t="s">
        <v>1611</v>
      </c>
      <c r="I207" s="5" t="s">
        <v>1612</v>
      </c>
      <c r="J207" s="5" t="s">
        <v>1613</v>
      </c>
      <c r="K207" s="5" t="s">
        <v>97</v>
      </c>
      <c r="L207" s="5" t="s">
        <v>1614</v>
      </c>
      <c r="M207" s="5"/>
      <c r="N207" s="5" t="s">
        <v>1615</v>
      </c>
      <c r="O207" s="5" t="s">
        <v>45</v>
      </c>
    </row>
    <row r="208" customFormat="false" ht="23.85" hidden="false" customHeight="false" outlineLevel="0" collapsed="false">
      <c r="A208" s="5" t="s">
        <v>1616</v>
      </c>
      <c r="B208" s="5" t="s">
        <v>33</v>
      </c>
      <c r="C208" s="5" t="s">
        <v>82</v>
      </c>
      <c r="D208" s="5" t="s">
        <v>1600</v>
      </c>
      <c r="E208" s="5" t="s">
        <v>1601</v>
      </c>
      <c r="F208" s="5" t="s">
        <v>1602</v>
      </c>
      <c r="G208" s="5" t="s">
        <v>1617</v>
      </c>
      <c r="H208" s="5" t="s">
        <v>1618</v>
      </c>
      <c r="I208" s="5" t="s">
        <v>1619</v>
      </c>
      <c r="J208" s="5" t="s">
        <v>1620</v>
      </c>
      <c r="K208" s="5" t="s">
        <v>97</v>
      </c>
      <c r="L208" s="5" t="s">
        <v>1621</v>
      </c>
      <c r="M208" s="5"/>
      <c r="N208" s="5" t="s">
        <v>1615</v>
      </c>
      <c r="O208" s="5" t="s">
        <v>45</v>
      </c>
    </row>
    <row r="209" customFormat="false" ht="46.25" hidden="false" customHeight="false" outlineLevel="0" collapsed="false">
      <c r="A209" s="5" t="s">
        <v>1622</v>
      </c>
      <c r="B209" s="5" t="s">
        <v>175</v>
      </c>
      <c r="C209" s="5" t="s">
        <v>1623</v>
      </c>
      <c r="D209" s="5" t="s">
        <v>1624</v>
      </c>
      <c r="E209" s="5" t="s">
        <v>1625</v>
      </c>
      <c r="F209" s="5" t="s">
        <v>1626</v>
      </c>
      <c r="G209" s="5" t="s">
        <v>1627</v>
      </c>
      <c r="H209" s="5" t="s">
        <v>1628</v>
      </c>
      <c r="I209" s="5" t="s">
        <v>1629</v>
      </c>
      <c r="J209" s="5" t="s">
        <v>1630</v>
      </c>
      <c r="K209" s="5" t="s">
        <v>73</v>
      </c>
      <c r="L209" s="5" t="s">
        <v>1631</v>
      </c>
      <c r="M209" s="5"/>
      <c r="N209" s="5" t="s">
        <v>1632</v>
      </c>
      <c r="O209" s="5" t="s">
        <v>45</v>
      </c>
    </row>
    <row r="210" customFormat="false" ht="23.85" hidden="false" customHeight="false" outlineLevel="0" collapsed="false">
      <c r="A210" s="5" t="s">
        <v>1633</v>
      </c>
      <c r="B210" s="5" t="s">
        <v>175</v>
      </c>
      <c r="C210" s="5" t="s">
        <v>1623</v>
      </c>
      <c r="D210" s="5" t="s">
        <v>1624</v>
      </c>
      <c r="E210" s="5" t="s">
        <v>1625</v>
      </c>
      <c r="F210" s="5" t="s">
        <v>1626</v>
      </c>
      <c r="G210" s="5" t="s">
        <v>1634</v>
      </c>
      <c r="H210" s="5" t="s">
        <v>489</v>
      </c>
      <c r="I210" s="5" t="s">
        <v>1593</v>
      </c>
      <c r="J210" s="5" t="s">
        <v>1635</v>
      </c>
      <c r="K210" s="5" t="s">
        <v>97</v>
      </c>
      <c r="L210" s="5" t="s">
        <v>1636</v>
      </c>
      <c r="M210" s="5"/>
      <c r="N210" s="5" t="s">
        <v>1637</v>
      </c>
      <c r="O210" s="5" t="s">
        <v>45</v>
      </c>
    </row>
    <row r="211" customFormat="false" ht="23.85" hidden="false" customHeight="false" outlineLevel="0" collapsed="false">
      <c r="A211" s="5" t="s">
        <v>1638</v>
      </c>
      <c r="B211" s="5" t="s">
        <v>175</v>
      </c>
      <c r="C211" s="5" t="s">
        <v>1623</v>
      </c>
      <c r="D211" s="5" t="s">
        <v>1624</v>
      </c>
      <c r="E211" s="5" t="s">
        <v>1625</v>
      </c>
      <c r="F211" s="5" t="s">
        <v>1626</v>
      </c>
      <c r="G211" s="5" t="s">
        <v>1639</v>
      </c>
      <c r="H211" s="5" t="s">
        <v>1640</v>
      </c>
      <c r="I211" s="5" t="s">
        <v>1641</v>
      </c>
      <c r="J211" s="5" t="s">
        <v>1642</v>
      </c>
      <c r="K211" s="5" t="s">
        <v>97</v>
      </c>
      <c r="L211" s="5" t="s">
        <v>1643</v>
      </c>
      <c r="M211" s="5"/>
      <c r="N211" s="5" t="s">
        <v>1644</v>
      </c>
      <c r="O211" s="5" t="s">
        <v>45</v>
      </c>
    </row>
    <row r="212" customFormat="false" ht="23.85" hidden="false" customHeight="false" outlineLevel="0" collapsed="false">
      <c r="A212" s="5" t="s">
        <v>1645</v>
      </c>
      <c r="B212" s="5" t="s">
        <v>175</v>
      </c>
      <c r="C212" s="5" t="s">
        <v>1623</v>
      </c>
      <c r="D212" s="5" t="s">
        <v>1646</v>
      </c>
      <c r="E212" s="5" t="s">
        <v>1647</v>
      </c>
      <c r="F212" s="5" t="s">
        <v>1648</v>
      </c>
      <c r="G212" s="5" t="s">
        <v>1649</v>
      </c>
      <c r="H212" s="5" t="s">
        <v>1650</v>
      </c>
      <c r="I212" s="5" t="s">
        <v>1651</v>
      </c>
      <c r="J212" s="5" t="s">
        <v>1652</v>
      </c>
      <c r="K212" s="5" t="s">
        <v>73</v>
      </c>
      <c r="L212" s="5" t="s">
        <v>1653</v>
      </c>
      <c r="M212" s="5"/>
      <c r="N212" s="5" t="s">
        <v>1654</v>
      </c>
      <c r="O212" s="5" t="s">
        <v>45</v>
      </c>
    </row>
    <row r="213" customFormat="false" ht="23.85" hidden="false" customHeight="false" outlineLevel="0" collapsed="false">
      <c r="A213" s="5" t="s">
        <v>1655</v>
      </c>
      <c r="B213" s="5" t="s">
        <v>175</v>
      </c>
      <c r="C213" s="5" t="s">
        <v>1623</v>
      </c>
      <c r="D213" s="5" t="s">
        <v>1646</v>
      </c>
      <c r="E213" s="5" t="s">
        <v>1647</v>
      </c>
      <c r="F213" s="5" t="s">
        <v>1648</v>
      </c>
      <c r="G213" s="5" t="s">
        <v>1656</v>
      </c>
      <c r="H213" s="5" t="s">
        <v>1657</v>
      </c>
      <c r="I213" s="5" t="s">
        <v>1651</v>
      </c>
      <c r="J213" s="5" t="s">
        <v>1391</v>
      </c>
      <c r="K213" s="5" t="s">
        <v>42</v>
      </c>
      <c r="L213" s="5" t="s">
        <v>1658</v>
      </c>
      <c r="M213" s="5"/>
      <c r="N213" s="5" t="s">
        <v>1654</v>
      </c>
      <c r="O213" s="5" t="s">
        <v>45</v>
      </c>
    </row>
    <row r="214" customFormat="false" ht="35.05" hidden="false" customHeight="false" outlineLevel="0" collapsed="false">
      <c r="A214" s="5" t="s">
        <v>1659</v>
      </c>
      <c r="B214" s="5" t="s">
        <v>175</v>
      </c>
      <c r="C214" s="5" t="s">
        <v>1623</v>
      </c>
      <c r="D214" s="5" t="s">
        <v>1646</v>
      </c>
      <c r="E214" s="5" t="s">
        <v>1647</v>
      </c>
      <c r="F214" s="5" t="s">
        <v>1648</v>
      </c>
      <c r="G214" s="5" t="s">
        <v>1660</v>
      </c>
      <c r="H214" s="5" t="s">
        <v>1661</v>
      </c>
      <c r="I214" s="5" t="s">
        <v>1662</v>
      </c>
      <c r="J214" s="5" t="s">
        <v>1663</v>
      </c>
      <c r="K214" s="5" t="s">
        <v>73</v>
      </c>
      <c r="L214" s="5" t="s">
        <v>1664</v>
      </c>
      <c r="M214" s="5"/>
      <c r="N214" s="5" t="s">
        <v>1654</v>
      </c>
      <c r="O214" s="5" t="s">
        <v>45</v>
      </c>
    </row>
    <row r="215" customFormat="false" ht="35.05" hidden="false" customHeight="false" outlineLevel="0" collapsed="false">
      <c r="A215" s="5" t="s">
        <v>1665</v>
      </c>
      <c r="B215" s="5" t="s">
        <v>175</v>
      </c>
      <c r="C215" s="5" t="s">
        <v>1623</v>
      </c>
      <c r="D215" s="5" t="s">
        <v>1666</v>
      </c>
      <c r="E215" s="5" t="s">
        <v>1667</v>
      </c>
      <c r="F215" s="5" t="s">
        <v>1668</v>
      </c>
      <c r="G215" s="5" t="s">
        <v>1669</v>
      </c>
      <c r="H215" s="5" t="s">
        <v>1670</v>
      </c>
      <c r="I215" s="5" t="s">
        <v>1671</v>
      </c>
      <c r="J215" s="5" t="s">
        <v>1672</v>
      </c>
      <c r="K215" s="5" t="s">
        <v>42</v>
      </c>
      <c r="L215" s="5" t="s">
        <v>1673</v>
      </c>
      <c r="M215" s="5"/>
      <c r="N215" s="5" t="s">
        <v>1674</v>
      </c>
      <c r="O215" s="5" t="s">
        <v>45</v>
      </c>
    </row>
    <row r="216" customFormat="false" ht="35.05" hidden="false" customHeight="false" outlineLevel="0" collapsed="false">
      <c r="A216" s="5" t="s">
        <v>1675</v>
      </c>
      <c r="B216" s="5" t="s">
        <v>175</v>
      </c>
      <c r="C216" s="5" t="s">
        <v>1623</v>
      </c>
      <c r="D216" s="5" t="s">
        <v>1666</v>
      </c>
      <c r="E216" s="5" t="s">
        <v>1667</v>
      </c>
      <c r="F216" s="5" t="s">
        <v>1668</v>
      </c>
      <c r="G216" s="5" t="s">
        <v>1676</v>
      </c>
      <c r="H216" s="5" t="s">
        <v>1677</v>
      </c>
      <c r="I216" s="5" t="s">
        <v>1678</v>
      </c>
      <c r="J216" s="5" t="s">
        <v>1679</v>
      </c>
      <c r="K216" s="5" t="s">
        <v>42</v>
      </c>
      <c r="L216" s="5" t="s">
        <v>1680</v>
      </c>
      <c r="M216" s="5"/>
      <c r="N216" s="5" t="s">
        <v>1681</v>
      </c>
      <c r="O216" s="5" t="s">
        <v>45</v>
      </c>
    </row>
    <row r="217" customFormat="false" ht="35.05" hidden="false" customHeight="false" outlineLevel="0" collapsed="false">
      <c r="A217" s="5" t="s">
        <v>1682</v>
      </c>
      <c r="B217" s="5" t="s">
        <v>175</v>
      </c>
      <c r="C217" s="5" t="s">
        <v>1623</v>
      </c>
      <c r="D217" s="5" t="s">
        <v>1666</v>
      </c>
      <c r="E217" s="5" t="s">
        <v>1667</v>
      </c>
      <c r="F217" s="5" t="s">
        <v>1668</v>
      </c>
      <c r="G217" s="5" t="s">
        <v>1683</v>
      </c>
      <c r="H217" s="5" t="s">
        <v>1684</v>
      </c>
      <c r="I217" s="5" t="s">
        <v>1685</v>
      </c>
      <c r="J217" s="5" t="s">
        <v>1686</v>
      </c>
      <c r="K217" s="5" t="s">
        <v>97</v>
      </c>
      <c r="L217" s="5" t="s">
        <v>1687</v>
      </c>
      <c r="M217" s="5"/>
      <c r="N217" s="5" t="s">
        <v>1674</v>
      </c>
      <c r="O217" s="5" t="s">
        <v>45</v>
      </c>
    </row>
    <row r="218" customFormat="false" ht="35.05" hidden="false" customHeight="false" outlineLevel="0" collapsed="false">
      <c r="A218" s="5" t="s">
        <v>1688</v>
      </c>
      <c r="B218" s="5" t="s">
        <v>175</v>
      </c>
      <c r="C218" s="5" t="s">
        <v>1689</v>
      </c>
      <c r="D218" s="5" t="s">
        <v>1690</v>
      </c>
      <c r="E218" s="5" t="s">
        <v>1691</v>
      </c>
      <c r="F218" s="5" t="s">
        <v>1692</v>
      </c>
      <c r="G218" s="5" t="s">
        <v>1693</v>
      </c>
      <c r="H218" s="5" t="s">
        <v>1694</v>
      </c>
      <c r="I218" s="5" t="s">
        <v>1695</v>
      </c>
      <c r="J218" s="5" t="s">
        <v>1696</v>
      </c>
      <c r="K218" s="5" t="s">
        <v>73</v>
      </c>
      <c r="L218" s="5" t="s">
        <v>1697</v>
      </c>
      <c r="M218" s="5"/>
      <c r="N218" s="5" t="s">
        <v>1598</v>
      </c>
      <c r="O218" s="5" t="s">
        <v>45</v>
      </c>
    </row>
    <row r="219" customFormat="false" ht="35.05" hidden="false" customHeight="false" outlineLevel="0" collapsed="false">
      <c r="A219" s="5" t="s">
        <v>1698</v>
      </c>
      <c r="B219" s="5" t="s">
        <v>175</v>
      </c>
      <c r="C219" s="5" t="s">
        <v>1689</v>
      </c>
      <c r="D219" s="5" t="s">
        <v>1690</v>
      </c>
      <c r="E219" s="5" t="s">
        <v>1691</v>
      </c>
      <c r="F219" s="5" t="s">
        <v>1692</v>
      </c>
      <c r="G219" s="5" t="s">
        <v>1699</v>
      </c>
      <c r="H219" s="5" t="s">
        <v>1700</v>
      </c>
      <c r="I219" s="5" t="s">
        <v>1548</v>
      </c>
      <c r="J219" s="5" t="s">
        <v>1701</v>
      </c>
      <c r="K219" s="5" t="s">
        <v>73</v>
      </c>
      <c r="L219" s="5" t="s">
        <v>1702</v>
      </c>
      <c r="M219" s="5"/>
      <c r="N219" s="5" t="s">
        <v>1598</v>
      </c>
      <c r="O219" s="5" t="s">
        <v>45</v>
      </c>
    </row>
    <row r="220" customFormat="false" ht="35.05" hidden="false" customHeight="false" outlineLevel="0" collapsed="false">
      <c r="A220" s="5" t="s">
        <v>1703</v>
      </c>
      <c r="B220" s="5" t="s">
        <v>175</v>
      </c>
      <c r="C220" s="5" t="s">
        <v>1689</v>
      </c>
      <c r="D220" s="5" t="s">
        <v>1690</v>
      </c>
      <c r="E220" s="5" t="s">
        <v>1691</v>
      </c>
      <c r="F220" s="5" t="s">
        <v>1692</v>
      </c>
      <c r="G220" s="5" t="s">
        <v>1704</v>
      </c>
      <c r="H220" s="5" t="s">
        <v>1705</v>
      </c>
      <c r="I220" s="5" t="s">
        <v>1706</v>
      </c>
      <c r="J220" s="5" t="s">
        <v>1707</v>
      </c>
      <c r="K220" s="5" t="s">
        <v>42</v>
      </c>
      <c r="L220" s="5" t="s">
        <v>1708</v>
      </c>
      <c r="M220" s="5"/>
      <c r="N220" s="5" t="s">
        <v>1598</v>
      </c>
      <c r="O220" s="5" t="s">
        <v>45</v>
      </c>
    </row>
    <row r="221" customFormat="false" ht="23.85" hidden="false" customHeight="false" outlineLevel="0" collapsed="false">
      <c r="A221" s="5" t="s">
        <v>1709</v>
      </c>
      <c r="B221" s="5" t="s">
        <v>175</v>
      </c>
      <c r="C221" s="5" t="s">
        <v>176</v>
      </c>
      <c r="D221" s="5" t="s">
        <v>1710</v>
      </c>
      <c r="E221" s="5" t="s">
        <v>1711</v>
      </c>
      <c r="F221" s="5" t="s">
        <v>1712</v>
      </c>
      <c r="G221" s="5" t="s">
        <v>1713</v>
      </c>
      <c r="H221" s="5" t="s">
        <v>1714</v>
      </c>
      <c r="I221" s="5" t="s">
        <v>1715</v>
      </c>
      <c r="J221" s="5" t="s">
        <v>1716</v>
      </c>
      <c r="K221" s="5" t="s">
        <v>42</v>
      </c>
      <c r="L221" s="5" t="s">
        <v>1717</v>
      </c>
      <c r="M221" s="5"/>
      <c r="N221" s="5" t="s">
        <v>1718</v>
      </c>
      <c r="O221" s="5" t="s">
        <v>45</v>
      </c>
    </row>
    <row r="222" customFormat="false" ht="35.05" hidden="false" customHeight="false" outlineLevel="0" collapsed="false">
      <c r="A222" s="5" t="s">
        <v>1719</v>
      </c>
      <c r="B222" s="5" t="s">
        <v>175</v>
      </c>
      <c r="C222" s="5" t="s">
        <v>176</v>
      </c>
      <c r="D222" s="5" t="s">
        <v>1710</v>
      </c>
      <c r="E222" s="5" t="s">
        <v>1711</v>
      </c>
      <c r="F222" s="5" t="s">
        <v>1712</v>
      </c>
      <c r="G222" s="5" t="s">
        <v>1720</v>
      </c>
      <c r="H222" s="5" t="s">
        <v>1721</v>
      </c>
      <c r="I222" s="5" t="s">
        <v>1722</v>
      </c>
      <c r="J222" s="5" t="s">
        <v>1723</v>
      </c>
      <c r="K222" s="5" t="s">
        <v>97</v>
      </c>
      <c r="L222" s="5" t="s">
        <v>1724</v>
      </c>
      <c r="M222" s="5"/>
      <c r="N222" s="5" t="s">
        <v>1725</v>
      </c>
      <c r="O222" s="5" t="s">
        <v>45</v>
      </c>
    </row>
    <row r="223" customFormat="false" ht="23.85" hidden="false" customHeight="false" outlineLevel="0" collapsed="false">
      <c r="A223" s="5" t="s">
        <v>1726</v>
      </c>
      <c r="B223" s="5" t="s">
        <v>175</v>
      </c>
      <c r="C223" s="5" t="s">
        <v>176</v>
      </c>
      <c r="D223" s="5" t="s">
        <v>1710</v>
      </c>
      <c r="E223" s="5" t="s">
        <v>1711</v>
      </c>
      <c r="F223" s="5" t="s">
        <v>1712</v>
      </c>
      <c r="G223" s="5" t="s">
        <v>1727</v>
      </c>
      <c r="H223" s="5" t="s">
        <v>1728</v>
      </c>
      <c r="I223" s="5" t="s">
        <v>1729</v>
      </c>
      <c r="J223" s="5" t="s">
        <v>1730</v>
      </c>
      <c r="K223" s="5" t="s">
        <v>73</v>
      </c>
      <c r="L223" s="5" t="s">
        <v>1731</v>
      </c>
      <c r="M223" s="5"/>
      <c r="N223" s="5" t="s">
        <v>1725</v>
      </c>
      <c r="O223" s="5" t="s">
        <v>45</v>
      </c>
    </row>
    <row r="224" customFormat="false" ht="23.85" hidden="false" customHeight="false" outlineLevel="0" collapsed="false">
      <c r="A224" s="5" t="s">
        <v>1732</v>
      </c>
      <c r="B224" s="5" t="s">
        <v>175</v>
      </c>
      <c r="C224" s="5" t="s">
        <v>199</v>
      </c>
      <c r="D224" s="5" t="s">
        <v>1733</v>
      </c>
      <c r="E224" s="5" t="s">
        <v>1734</v>
      </c>
      <c r="F224" s="5" t="s">
        <v>1735</v>
      </c>
      <c r="G224" s="5" t="s">
        <v>1736</v>
      </c>
      <c r="H224" s="5" t="s">
        <v>1737</v>
      </c>
      <c r="I224" s="5" t="s">
        <v>1738</v>
      </c>
      <c r="J224" s="5" t="s">
        <v>1739</v>
      </c>
      <c r="K224" s="5" t="s">
        <v>42</v>
      </c>
      <c r="L224" s="5" t="s">
        <v>1740</v>
      </c>
      <c r="M224" s="5"/>
      <c r="N224" s="5" t="s">
        <v>1741</v>
      </c>
      <c r="O224" s="5" t="s">
        <v>45</v>
      </c>
    </row>
    <row r="225" customFormat="false" ht="35.05" hidden="false" customHeight="false" outlineLevel="0" collapsed="false">
      <c r="A225" s="5" t="s">
        <v>1742</v>
      </c>
      <c r="B225" s="5" t="s">
        <v>175</v>
      </c>
      <c r="C225" s="5" t="s">
        <v>199</v>
      </c>
      <c r="D225" s="5" t="s">
        <v>1733</v>
      </c>
      <c r="E225" s="5" t="s">
        <v>1734</v>
      </c>
      <c r="F225" s="5" t="s">
        <v>1735</v>
      </c>
      <c r="G225" s="5" t="s">
        <v>1743</v>
      </c>
      <c r="H225" s="5" t="s">
        <v>1744</v>
      </c>
      <c r="I225" s="5" t="s">
        <v>1745</v>
      </c>
      <c r="J225" s="5" t="s">
        <v>1746</v>
      </c>
      <c r="K225" s="5" t="s">
        <v>42</v>
      </c>
      <c r="L225" s="5" t="s">
        <v>1747</v>
      </c>
      <c r="M225" s="5"/>
      <c r="N225" s="5" t="s">
        <v>1748</v>
      </c>
      <c r="O225" s="5" t="s">
        <v>45</v>
      </c>
    </row>
    <row r="226" customFormat="false" ht="35.05" hidden="false" customHeight="false" outlineLevel="0" collapsed="false">
      <c r="A226" s="5" t="s">
        <v>1749</v>
      </c>
      <c r="B226" s="5" t="s">
        <v>175</v>
      </c>
      <c r="C226" s="5" t="s">
        <v>199</v>
      </c>
      <c r="D226" s="5" t="s">
        <v>1733</v>
      </c>
      <c r="E226" s="5" t="s">
        <v>1734</v>
      </c>
      <c r="F226" s="5" t="s">
        <v>1735</v>
      </c>
      <c r="G226" s="5" t="s">
        <v>1750</v>
      </c>
      <c r="H226" s="5" t="s">
        <v>1751</v>
      </c>
      <c r="I226" s="5" t="s">
        <v>1752</v>
      </c>
      <c r="J226" s="5" t="s">
        <v>1753</v>
      </c>
      <c r="K226" s="5" t="s">
        <v>42</v>
      </c>
      <c r="L226" s="5" t="s">
        <v>1754</v>
      </c>
      <c r="M226" s="5"/>
      <c r="N226" s="5" t="s">
        <v>1748</v>
      </c>
      <c r="O226" s="5" t="s">
        <v>45</v>
      </c>
    </row>
    <row r="227" customFormat="false" ht="23.85" hidden="false" customHeight="false" outlineLevel="0" collapsed="false">
      <c r="A227" s="5" t="s">
        <v>1755</v>
      </c>
      <c r="B227" s="5" t="s">
        <v>175</v>
      </c>
      <c r="C227" s="5" t="s">
        <v>199</v>
      </c>
      <c r="D227" s="5" t="s">
        <v>1756</v>
      </c>
      <c r="E227" s="5" t="s">
        <v>1757</v>
      </c>
      <c r="F227" s="5" t="s">
        <v>1758</v>
      </c>
      <c r="G227" s="5" t="s">
        <v>1759</v>
      </c>
      <c r="H227" s="5" t="s">
        <v>1760</v>
      </c>
      <c r="I227" s="5" t="s">
        <v>1761</v>
      </c>
      <c r="J227" s="5" t="s">
        <v>1762</v>
      </c>
      <c r="K227" s="5" t="s">
        <v>73</v>
      </c>
      <c r="L227" s="5" t="s">
        <v>1763</v>
      </c>
      <c r="M227" s="5"/>
      <c r="N227" s="5" t="s">
        <v>1764</v>
      </c>
      <c r="O227" s="5" t="s">
        <v>45</v>
      </c>
    </row>
    <row r="228" customFormat="false" ht="23.85" hidden="false" customHeight="false" outlineLevel="0" collapsed="false">
      <c r="A228" s="5" t="s">
        <v>1765</v>
      </c>
      <c r="B228" s="5" t="s">
        <v>175</v>
      </c>
      <c r="C228" s="5" t="s">
        <v>199</v>
      </c>
      <c r="D228" s="5" t="s">
        <v>1756</v>
      </c>
      <c r="E228" s="5" t="s">
        <v>1757</v>
      </c>
      <c r="F228" s="5" t="s">
        <v>1758</v>
      </c>
      <c r="G228" s="5" t="s">
        <v>1766</v>
      </c>
      <c r="H228" s="5" t="s">
        <v>1767</v>
      </c>
      <c r="I228" s="5" t="s">
        <v>1768</v>
      </c>
      <c r="J228" s="5" t="s">
        <v>1769</v>
      </c>
      <c r="K228" s="5" t="s">
        <v>73</v>
      </c>
      <c r="L228" s="5" t="s">
        <v>1770</v>
      </c>
      <c r="M228" s="5"/>
      <c r="N228" s="5" t="s">
        <v>1771</v>
      </c>
      <c r="O228" s="5" t="s">
        <v>45</v>
      </c>
    </row>
    <row r="229" customFormat="false" ht="23.85" hidden="false" customHeight="false" outlineLevel="0" collapsed="false">
      <c r="A229" s="5" t="s">
        <v>1772</v>
      </c>
      <c r="B229" s="5" t="s">
        <v>175</v>
      </c>
      <c r="C229" s="5" t="s">
        <v>199</v>
      </c>
      <c r="D229" s="5" t="s">
        <v>1756</v>
      </c>
      <c r="E229" s="5" t="s">
        <v>1757</v>
      </c>
      <c r="F229" s="5" t="s">
        <v>1758</v>
      </c>
      <c r="G229" s="5" t="s">
        <v>1773</v>
      </c>
      <c r="H229" s="5" t="s">
        <v>1774</v>
      </c>
      <c r="I229" s="5" t="s">
        <v>1775</v>
      </c>
      <c r="J229" s="5" t="s">
        <v>1776</v>
      </c>
      <c r="K229" s="5" t="s">
        <v>42</v>
      </c>
      <c r="L229" s="5" t="s">
        <v>1777</v>
      </c>
      <c r="M229" s="5"/>
      <c r="N229" s="5" t="s">
        <v>1778</v>
      </c>
      <c r="O229" s="5" t="s">
        <v>45</v>
      </c>
    </row>
    <row r="230" customFormat="false" ht="23.85" hidden="false" customHeight="false" outlineLevel="0" collapsed="false">
      <c r="A230" s="5" t="s">
        <v>1779</v>
      </c>
      <c r="B230" s="5" t="s">
        <v>175</v>
      </c>
      <c r="C230" s="5" t="s">
        <v>199</v>
      </c>
      <c r="D230" s="5" t="s">
        <v>1780</v>
      </c>
      <c r="E230" s="5" t="s">
        <v>1781</v>
      </c>
      <c r="F230" s="5" t="s">
        <v>1782</v>
      </c>
      <c r="G230" s="5" t="s">
        <v>1783</v>
      </c>
      <c r="H230" s="5" t="s">
        <v>1784</v>
      </c>
      <c r="I230" s="5" t="s">
        <v>506</v>
      </c>
      <c r="J230" s="5" t="s">
        <v>678</v>
      </c>
      <c r="K230" s="5" t="s">
        <v>42</v>
      </c>
      <c r="L230" s="5" t="s">
        <v>1785</v>
      </c>
      <c r="M230" s="5"/>
      <c r="N230" s="5" t="s">
        <v>1786</v>
      </c>
      <c r="O230" s="5" t="s">
        <v>45</v>
      </c>
    </row>
    <row r="231" customFormat="false" ht="23.85" hidden="false" customHeight="false" outlineLevel="0" collapsed="false">
      <c r="A231" s="5" t="s">
        <v>1787</v>
      </c>
      <c r="B231" s="5" t="s">
        <v>175</v>
      </c>
      <c r="C231" s="5" t="s">
        <v>199</v>
      </c>
      <c r="D231" s="5" t="s">
        <v>1780</v>
      </c>
      <c r="E231" s="5" t="s">
        <v>1781</v>
      </c>
      <c r="F231" s="5" t="s">
        <v>1782</v>
      </c>
      <c r="G231" s="5" t="s">
        <v>1788</v>
      </c>
      <c r="H231" s="5" t="s">
        <v>677</v>
      </c>
      <c r="I231" s="5" t="s">
        <v>1789</v>
      </c>
      <c r="J231" s="5" t="s">
        <v>1790</v>
      </c>
      <c r="K231" s="5" t="s">
        <v>97</v>
      </c>
      <c r="L231" s="5" t="s">
        <v>1791</v>
      </c>
      <c r="M231" s="5"/>
      <c r="N231" s="5" t="s">
        <v>1786</v>
      </c>
      <c r="O231" s="5" t="s">
        <v>45</v>
      </c>
    </row>
    <row r="232" customFormat="false" ht="23.85" hidden="false" customHeight="false" outlineLevel="0" collapsed="false">
      <c r="A232" s="5" t="s">
        <v>1792</v>
      </c>
      <c r="B232" s="5" t="s">
        <v>175</v>
      </c>
      <c r="C232" s="5" t="s">
        <v>199</v>
      </c>
      <c r="D232" s="5" t="s">
        <v>1780</v>
      </c>
      <c r="E232" s="5" t="s">
        <v>1781</v>
      </c>
      <c r="F232" s="5" t="s">
        <v>1782</v>
      </c>
      <c r="G232" s="5" t="s">
        <v>1793</v>
      </c>
      <c r="H232" s="5" t="s">
        <v>211</v>
      </c>
      <c r="I232" s="5" t="s">
        <v>213</v>
      </c>
      <c r="J232" s="5" t="s">
        <v>212</v>
      </c>
      <c r="K232" s="5" t="s">
        <v>42</v>
      </c>
      <c r="L232" s="5" t="s">
        <v>1794</v>
      </c>
      <c r="M232" s="5"/>
      <c r="N232" s="5" t="s">
        <v>1786</v>
      </c>
      <c r="O232" s="5" t="s">
        <v>45</v>
      </c>
    </row>
    <row r="233" customFormat="false" ht="23.85" hidden="false" customHeight="false" outlineLevel="0" collapsed="false">
      <c r="A233" s="5" t="s">
        <v>1795</v>
      </c>
      <c r="B233" s="5" t="s">
        <v>175</v>
      </c>
      <c r="C233" s="5" t="s">
        <v>199</v>
      </c>
      <c r="D233" s="5" t="s">
        <v>1796</v>
      </c>
      <c r="E233" s="5" t="s">
        <v>1797</v>
      </c>
      <c r="F233" s="5" t="s">
        <v>1798</v>
      </c>
      <c r="G233" s="5" t="s">
        <v>1799</v>
      </c>
      <c r="H233" s="5" t="s">
        <v>1170</v>
      </c>
      <c r="I233" s="5" t="s">
        <v>1800</v>
      </c>
      <c r="J233" s="5" t="s">
        <v>1801</v>
      </c>
      <c r="K233" s="5" t="s">
        <v>97</v>
      </c>
      <c r="L233" s="5" t="s">
        <v>1802</v>
      </c>
      <c r="M233" s="5"/>
      <c r="N233" s="5" t="s">
        <v>1803</v>
      </c>
      <c r="O233" s="5" t="s">
        <v>45</v>
      </c>
    </row>
    <row r="234" customFormat="false" ht="35.05" hidden="false" customHeight="false" outlineLevel="0" collapsed="false">
      <c r="A234" s="5" t="s">
        <v>1804</v>
      </c>
      <c r="B234" s="5" t="s">
        <v>175</v>
      </c>
      <c r="C234" s="5" t="s">
        <v>199</v>
      </c>
      <c r="D234" s="5" t="s">
        <v>1796</v>
      </c>
      <c r="E234" s="5" t="s">
        <v>1797</v>
      </c>
      <c r="F234" s="5" t="s">
        <v>1798</v>
      </c>
      <c r="G234" s="5" t="s">
        <v>1805</v>
      </c>
      <c r="H234" s="5" t="s">
        <v>1806</v>
      </c>
      <c r="I234" s="5" t="s">
        <v>1807</v>
      </c>
      <c r="J234" s="5" t="s">
        <v>1808</v>
      </c>
      <c r="K234" s="5" t="s">
        <v>97</v>
      </c>
      <c r="L234" s="5" t="s">
        <v>1809</v>
      </c>
      <c r="M234" s="5"/>
      <c r="N234" s="5" t="s">
        <v>1803</v>
      </c>
      <c r="O234" s="5" t="s">
        <v>45</v>
      </c>
    </row>
    <row r="235" customFormat="false" ht="23.85" hidden="false" customHeight="false" outlineLevel="0" collapsed="false">
      <c r="A235" s="5" t="s">
        <v>1810</v>
      </c>
      <c r="B235" s="5" t="s">
        <v>175</v>
      </c>
      <c r="C235" s="5" t="s">
        <v>199</v>
      </c>
      <c r="D235" s="5" t="s">
        <v>1796</v>
      </c>
      <c r="E235" s="5" t="s">
        <v>1797</v>
      </c>
      <c r="F235" s="5" t="s">
        <v>1798</v>
      </c>
      <c r="G235" s="5" t="s">
        <v>1811</v>
      </c>
      <c r="H235" s="5" t="s">
        <v>211</v>
      </c>
      <c r="I235" s="5" t="s">
        <v>1812</v>
      </c>
      <c r="J235" s="5" t="s">
        <v>1813</v>
      </c>
      <c r="K235" s="5" t="s">
        <v>42</v>
      </c>
      <c r="L235" s="5" t="s">
        <v>1814</v>
      </c>
      <c r="M235" s="5"/>
      <c r="N235" s="5" t="s">
        <v>1815</v>
      </c>
      <c r="O235" s="5" t="s">
        <v>45</v>
      </c>
    </row>
    <row r="236" customFormat="false" ht="23.85" hidden="false" customHeight="false" outlineLevel="0" collapsed="false">
      <c r="A236" s="5" t="s">
        <v>1816</v>
      </c>
      <c r="B236" s="5" t="s">
        <v>175</v>
      </c>
      <c r="C236" s="5" t="s">
        <v>199</v>
      </c>
      <c r="D236" s="5" t="s">
        <v>1817</v>
      </c>
      <c r="E236" s="5" t="s">
        <v>1818</v>
      </c>
      <c r="F236" s="5" t="s">
        <v>1819</v>
      </c>
      <c r="G236" s="5" t="s">
        <v>1820</v>
      </c>
      <c r="H236" s="5" t="s">
        <v>1821</v>
      </c>
      <c r="I236" s="5" t="s">
        <v>1822</v>
      </c>
      <c r="J236" s="5" t="s">
        <v>1823</v>
      </c>
      <c r="K236" s="5" t="s">
        <v>73</v>
      </c>
      <c r="L236" s="5" t="s">
        <v>1824</v>
      </c>
      <c r="M236" s="5"/>
      <c r="N236" s="5" t="s">
        <v>1825</v>
      </c>
      <c r="O236" s="5" t="s">
        <v>45</v>
      </c>
    </row>
    <row r="237" customFormat="false" ht="23.85" hidden="false" customHeight="false" outlineLevel="0" collapsed="false">
      <c r="A237" s="5" t="s">
        <v>1826</v>
      </c>
      <c r="B237" s="5" t="s">
        <v>175</v>
      </c>
      <c r="C237" s="5" t="s">
        <v>199</v>
      </c>
      <c r="D237" s="5" t="s">
        <v>1817</v>
      </c>
      <c r="E237" s="5" t="s">
        <v>1818</v>
      </c>
      <c r="F237" s="5" t="s">
        <v>1819</v>
      </c>
      <c r="G237" s="5" t="s">
        <v>1827</v>
      </c>
      <c r="H237" s="5" t="s">
        <v>1828</v>
      </c>
      <c r="I237" s="5" t="s">
        <v>1829</v>
      </c>
      <c r="J237" s="5" t="s">
        <v>1830</v>
      </c>
      <c r="K237" s="5" t="s">
        <v>97</v>
      </c>
      <c r="L237" s="5" t="s">
        <v>1831</v>
      </c>
      <c r="M237" s="5"/>
      <c r="N237" s="5" t="s">
        <v>1825</v>
      </c>
      <c r="O237" s="5" t="s">
        <v>45</v>
      </c>
    </row>
    <row r="238" customFormat="false" ht="23.85" hidden="false" customHeight="false" outlineLevel="0" collapsed="false">
      <c r="A238" s="5" t="s">
        <v>1832</v>
      </c>
      <c r="B238" s="5" t="s">
        <v>175</v>
      </c>
      <c r="C238" s="5" t="s">
        <v>199</v>
      </c>
      <c r="D238" s="5" t="s">
        <v>1817</v>
      </c>
      <c r="E238" s="5" t="s">
        <v>1818</v>
      </c>
      <c r="F238" s="5" t="s">
        <v>1819</v>
      </c>
      <c r="G238" s="5" t="s">
        <v>1833</v>
      </c>
      <c r="H238" s="5" t="s">
        <v>1834</v>
      </c>
      <c r="I238" s="5" t="s">
        <v>1835</v>
      </c>
      <c r="J238" s="5" t="s">
        <v>1836</v>
      </c>
      <c r="K238" s="5" t="s">
        <v>42</v>
      </c>
      <c r="L238" s="5" t="s">
        <v>1837</v>
      </c>
      <c r="M238" s="5"/>
      <c r="N238" s="5" t="s">
        <v>1825</v>
      </c>
      <c r="O238" s="5" t="s">
        <v>45</v>
      </c>
    </row>
    <row r="239" customFormat="false" ht="23.85" hidden="false" customHeight="false" outlineLevel="0" collapsed="false">
      <c r="A239" s="5" t="s">
        <v>1838</v>
      </c>
      <c r="B239" s="5" t="s">
        <v>175</v>
      </c>
      <c r="C239" s="5" t="s">
        <v>199</v>
      </c>
      <c r="D239" s="5" t="s">
        <v>1839</v>
      </c>
      <c r="E239" s="5" t="s">
        <v>1840</v>
      </c>
      <c r="F239" s="5" t="s">
        <v>1841</v>
      </c>
      <c r="G239" s="5" t="s">
        <v>1842</v>
      </c>
      <c r="H239" s="5" t="s">
        <v>1843</v>
      </c>
      <c r="I239" s="5" t="s">
        <v>1844</v>
      </c>
      <c r="J239" s="5" t="s">
        <v>1845</v>
      </c>
      <c r="K239" s="5" t="s">
        <v>97</v>
      </c>
      <c r="L239" s="5" t="s">
        <v>1846</v>
      </c>
      <c r="M239" s="5"/>
      <c r="N239" s="5" t="s">
        <v>1847</v>
      </c>
      <c r="O239" s="5" t="s">
        <v>45</v>
      </c>
    </row>
    <row r="240" customFormat="false" ht="23.85" hidden="false" customHeight="false" outlineLevel="0" collapsed="false">
      <c r="A240" s="5" t="s">
        <v>1848</v>
      </c>
      <c r="B240" s="5" t="s">
        <v>175</v>
      </c>
      <c r="C240" s="5" t="s">
        <v>199</v>
      </c>
      <c r="D240" s="5" t="s">
        <v>1839</v>
      </c>
      <c r="E240" s="5" t="s">
        <v>1840</v>
      </c>
      <c r="F240" s="5" t="s">
        <v>1841</v>
      </c>
      <c r="G240" s="5" t="s">
        <v>1849</v>
      </c>
      <c r="H240" s="5" t="s">
        <v>1850</v>
      </c>
      <c r="I240" s="5" t="s">
        <v>1851</v>
      </c>
      <c r="J240" s="5" t="s">
        <v>1852</v>
      </c>
      <c r="K240" s="5" t="s">
        <v>73</v>
      </c>
      <c r="L240" s="5" t="s">
        <v>1853</v>
      </c>
      <c r="M240" s="5"/>
      <c r="N240" s="5" t="s">
        <v>1847</v>
      </c>
      <c r="O240" s="5" t="s">
        <v>45</v>
      </c>
    </row>
    <row r="241" customFormat="false" ht="23.85" hidden="false" customHeight="false" outlineLevel="0" collapsed="false">
      <c r="A241" s="5" t="s">
        <v>1854</v>
      </c>
      <c r="B241" s="5" t="s">
        <v>175</v>
      </c>
      <c r="C241" s="5" t="s">
        <v>199</v>
      </c>
      <c r="D241" s="5" t="s">
        <v>1839</v>
      </c>
      <c r="E241" s="5" t="s">
        <v>1840</v>
      </c>
      <c r="F241" s="5" t="s">
        <v>1841</v>
      </c>
      <c r="G241" s="5" t="s">
        <v>1855</v>
      </c>
      <c r="H241" s="5" t="s">
        <v>1856</v>
      </c>
      <c r="I241" s="5" t="s">
        <v>1857</v>
      </c>
      <c r="J241" s="5" t="s">
        <v>1858</v>
      </c>
      <c r="K241" s="5" t="s">
        <v>97</v>
      </c>
      <c r="L241" s="5" t="s">
        <v>1859</v>
      </c>
      <c r="M241" s="5"/>
      <c r="N241" s="5" t="s">
        <v>1847</v>
      </c>
      <c r="O241" s="5" t="s">
        <v>45</v>
      </c>
    </row>
    <row r="242" customFormat="false" ht="23.85" hidden="false" customHeight="false" outlineLevel="0" collapsed="false">
      <c r="A242" s="5" t="s">
        <v>1860</v>
      </c>
      <c r="B242" s="5" t="s">
        <v>175</v>
      </c>
      <c r="C242" s="5" t="s">
        <v>199</v>
      </c>
      <c r="D242" s="5" t="s">
        <v>1861</v>
      </c>
      <c r="E242" s="5" t="s">
        <v>1862</v>
      </c>
      <c r="F242" s="5" t="s">
        <v>1863</v>
      </c>
      <c r="G242" s="5" t="s">
        <v>1864</v>
      </c>
      <c r="H242" s="5" t="s">
        <v>1865</v>
      </c>
      <c r="I242" s="5" t="s">
        <v>1866</v>
      </c>
      <c r="J242" s="5" t="s">
        <v>1867</v>
      </c>
      <c r="K242" s="5" t="s">
        <v>73</v>
      </c>
      <c r="L242" s="5" t="s">
        <v>1868</v>
      </c>
      <c r="M242" s="5"/>
      <c r="N242" s="5" t="s">
        <v>1869</v>
      </c>
      <c r="O242" s="5" t="s">
        <v>45</v>
      </c>
    </row>
    <row r="243" customFormat="false" ht="23.85" hidden="false" customHeight="false" outlineLevel="0" collapsed="false">
      <c r="A243" s="5" t="s">
        <v>1870</v>
      </c>
      <c r="B243" s="5" t="s">
        <v>175</v>
      </c>
      <c r="C243" s="5" t="s">
        <v>199</v>
      </c>
      <c r="D243" s="5" t="s">
        <v>1861</v>
      </c>
      <c r="E243" s="5" t="s">
        <v>1862</v>
      </c>
      <c r="F243" s="5" t="s">
        <v>1863</v>
      </c>
      <c r="G243" s="5" t="s">
        <v>1871</v>
      </c>
      <c r="H243" s="5" t="s">
        <v>213</v>
      </c>
      <c r="I243" s="5" t="s">
        <v>506</v>
      </c>
      <c r="J243" s="5" t="s">
        <v>1872</v>
      </c>
      <c r="K243" s="5" t="s">
        <v>73</v>
      </c>
      <c r="L243" s="5" t="s">
        <v>1873</v>
      </c>
      <c r="M243" s="5"/>
      <c r="N243" s="5" t="s">
        <v>1869</v>
      </c>
      <c r="O243" s="5" t="s">
        <v>45</v>
      </c>
    </row>
    <row r="244" customFormat="false" ht="23.85" hidden="false" customHeight="false" outlineLevel="0" collapsed="false">
      <c r="A244" s="5" t="s">
        <v>1874</v>
      </c>
      <c r="B244" s="5" t="s">
        <v>175</v>
      </c>
      <c r="C244" s="5" t="s">
        <v>199</v>
      </c>
      <c r="D244" s="5" t="s">
        <v>1861</v>
      </c>
      <c r="E244" s="5" t="s">
        <v>1862</v>
      </c>
      <c r="F244" s="5" t="s">
        <v>1863</v>
      </c>
      <c r="G244" s="5" t="s">
        <v>1875</v>
      </c>
      <c r="H244" s="5" t="s">
        <v>1876</v>
      </c>
      <c r="I244" s="5" t="s">
        <v>1877</v>
      </c>
      <c r="J244" s="5" t="s">
        <v>1878</v>
      </c>
      <c r="K244" s="5" t="s">
        <v>42</v>
      </c>
      <c r="L244" s="5" t="s">
        <v>1879</v>
      </c>
      <c r="M244" s="5"/>
      <c r="N244" s="5" t="s">
        <v>1869</v>
      </c>
      <c r="O244" s="5" t="s">
        <v>45</v>
      </c>
    </row>
    <row r="245" customFormat="false" ht="35.05" hidden="false" customHeight="false" outlineLevel="0" collapsed="false">
      <c r="A245" s="5" t="s">
        <v>1880</v>
      </c>
      <c r="B245" s="5" t="s">
        <v>175</v>
      </c>
      <c r="C245" s="5" t="s">
        <v>878</v>
      </c>
      <c r="D245" s="5" t="s">
        <v>1881</v>
      </c>
      <c r="E245" s="5" t="s">
        <v>1882</v>
      </c>
      <c r="F245" s="5" t="s">
        <v>1883</v>
      </c>
      <c r="G245" s="5" t="s">
        <v>1884</v>
      </c>
      <c r="H245" s="5" t="s">
        <v>1885</v>
      </c>
      <c r="I245" s="5" t="s">
        <v>1886</v>
      </c>
      <c r="J245" s="5" t="s">
        <v>1887</v>
      </c>
      <c r="K245" s="5" t="s">
        <v>73</v>
      </c>
      <c r="L245" s="5" t="s">
        <v>1888</v>
      </c>
      <c r="M245" s="5"/>
      <c r="N245" s="5" t="s">
        <v>1889</v>
      </c>
      <c r="O245" s="5" t="s">
        <v>45</v>
      </c>
    </row>
    <row r="246" customFormat="false" ht="35.05" hidden="false" customHeight="false" outlineLevel="0" collapsed="false">
      <c r="A246" s="5" t="s">
        <v>1890</v>
      </c>
      <c r="B246" s="5" t="s">
        <v>175</v>
      </c>
      <c r="C246" s="5" t="s">
        <v>878</v>
      </c>
      <c r="D246" s="5" t="s">
        <v>1881</v>
      </c>
      <c r="E246" s="5" t="s">
        <v>1882</v>
      </c>
      <c r="F246" s="5" t="s">
        <v>1883</v>
      </c>
      <c r="G246" s="5" t="s">
        <v>1891</v>
      </c>
      <c r="H246" s="5" t="s">
        <v>1892</v>
      </c>
      <c r="I246" s="5" t="s">
        <v>1893</v>
      </c>
      <c r="J246" s="5" t="s">
        <v>1894</v>
      </c>
      <c r="K246" s="5" t="s">
        <v>42</v>
      </c>
      <c r="L246" s="5" t="s">
        <v>1895</v>
      </c>
      <c r="M246" s="5"/>
      <c r="N246" s="5" t="s">
        <v>1889</v>
      </c>
      <c r="O246" s="5" t="s">
        <v>45</v>
      </c>
    </row>
    <row r="247" customFormat="false" ht="23.85" hidden="false" customHeight="false" outlineLevel="0" collapsed="false">
      <c r="A247" s="5" t="s">
        <v>1896</v>
      </c>
      <c r="B247" s="5" t="s">
        <v>175</v>
      </c>
      <c r="C247" s="5" t="s">
        <v>878</v>
      </c>
      <c r="D247" s="5" t="s">
        <v>1881</v>
      </c>
      <c r="E247" s="5" t="s">
        <v>1882</v>
      </c>
      <c r="F247" s="5" t="s">
        <v>1883</v>
      </c>
      <c r="G247" s="5" t="s">
        <v>1897</v>
      </c>
      <c r="H247" s="5" t="s">
        <v>1898</v>
      </c>
      <c r="I247" s="5" t="s">
        <v>1899</v>
      </c>
      <c r="J247" s="5" t="s">
        <v>1900</v>
      </c>
      <c r="K247" s="5" t="s">
        <v>42</v>
      </c>
      <c r="L247" s="5" t="s">
        <v>1901</v>
      </c>
      <c r="M247" s="5"/>
      <c r="N247" s="5" t="s">
        <v>1889</v>
      </c>
      <c r="O247" s="5" t="s">
        <v>45</v>
      </c>
    </row>
    <row r="248" customFormat="false" ht="23.85" hidden="false" customHeight="false" outlineLevel="0" collapsed="false">
      <c r="A248" s="5" t="s">
        <v>1902</v>
      </c>
      <c r="B248" s="5" t="s">
        <v>175</v>
      </c>
      <c r="C248" s="5" t="s">
        <v>878</v>
      </c>
      <c r="D248" s="5" t="s">
        <v>1903</v>
      </c>
      <c r="E248" s="5" t="s">
        <v>1904</v>
      </c>
      <c r="F248" s="5" t="s">
        <v>1905</v>
      </c>
      <c r="G248" s="5" t="s">
        <v>1906</v>
      </c>
      <c r="H248" s="5" t="s">
        <v>1907</v>
      </c>
      <c r="I248" s="5" t="s">
        <v>1908</v>
      </c>
      <c r="J248" s="5" t="s">
        <v>1909</v>
      </c>
      <c r="K248" s="5" t="s">
        <v>73</v>
      </c>
      <c r="L248" s="5" t="s">
        <v>1910</v>
      </c>
      <c r="M248" s="5"/>
      <c r="N248" s="5" t="s">
        <v>1911</v>
      </c>
      <c r="O248" s="5" t="s">
        <v>45</v>
      </c>
    </row>
    <row r="249" customFormat="false" ht="23.85" hidden="false" customHeight="false" outlineLevel="0" collapsed="false">
      <c r="A249" s="5" t="s">
        <v>1912</v>
      </c>
      <c r="B249" s="5" t="s">
        <v>175</v>
      </c>
      <c r="C249" s="5" t="s">
        <v>878</v>
      </c>
      <c r="D249" s="5" t="s">
        <v>1903</v>
      </c>
      <c r="E249" s="5" t="s">
        <v>1904</v>
      </c>
      <c r="F249" s="5" t="s">
        <v>1905</v>
      </c>
      <c r="G249" s="5" t="s">
        <v>1913</v>
      </c>
      <c r="H249" s="5" t="s">
        <v>1909</v>
      </c>
      <c r="I249" s="5" t="s">
        <v>1907</v>
      </c>
      <c r="J249" s="5" t="s">
        <v>1914</v>
      </c>
      <c r="K249" s="5" t="s">
        <v>73</v>
      </c>
      <c r="L249" s="5" t="s">
        <v>1915</v>
      </c>
      <c r="M249" s="5"/>
      <c r="N249" s="5" t="s">
        <v>1911</v>
      </c>
      <c r="O249" s="5" t="s">
        <v>45</v>
      </c>
    </row>
    <row r="250" customFormat="false" ht="23.85" hidden="false" customHeight="false" outlineLevel="0" collapsed="false">
      <c r="A250" s="5" t="s">
        <v>1916</v>
      </c>
      <c r="B250" s="5" t="s">
        <v>175</v>
      </c>
      <c r="C250" s="5" t="s">
        <v>878</v>
      </c>
      <c r="D250" s="5" t="s">
        <v>1903</v>
      </c>
      <c r="E250" s="5" t="s">
        <v>1904</v>
      </c>
      <c r="F250" s="5" t="s">
        <v>1905</v>
      </c>
      <c r="G250" s="5" t="s">
        <v>1917</v>
      </c>
      <c r="H250" s="5" t="s">
        <v>743</v>
      </c>
      <c r="I250" s="5" t="s">
        <v>1918</v>
      </c>
      <c r="J250" s="5" t="s">
        <v>1909</v>
      </c>
      <c r="K250" s="5" t="s">
        <v>97</v>
      </c>
      <c r="L250" s="5" t="s">
        <v>1919</v>
      </c>
      <c r="M250" s="5"/>
      <c r="N250" s="5" t="s">
        <v>1911</v>
      </c>
      <c r="O250" s="5" t="s">
        <v>45</v>
      </c>
    </row>
    <row r="251" customFormat="false" ht="23.85" hidden="false" customHeight="false" outlineLevel="0" collapsed="false">
      <c r="A251" s="5" t="s">
        <v>1920</v>
      </c>
      <c r="B251" s="5" t="s">
        <v>175</v>
      </c>
      <c r="C251" s="5" t="s">
        <v>736</v>
      </c>
      <c r="D251" s="5" t="s">
        <v>1921</v>
      </c>
      <c r="E251" s="5" t="s">
        <v>1922</v>
      </c>
      <c r="F251" s="5" t="s">
        <v>1923</v>
      </c>
      <c r="G251" s="5" t="s">
        <v>1924</v>
      </c>
      <c r="H251" s="5" t="s">
        <v>1925</v>
      </c>
      <c r="I251" s="5" t="s">
        <v>1926</v>
      </c>
      <c r="J251" s="5" t="s">
        <v>1927</v>
      </c>
      <c r="K251" s="5" t="s">
        <v>97</v>
      </c>
      <c r="L251" s="5" t="s">
        <v>1928</v>
      </c>
      <c r="M251" s="5"/>
      <c r="N251" s="5" t="s">
        <v>1929</v>
      </c>
      <c r="O251" s="5" t="s">
        <v>45</v>
      </c>
    </row>
    <row r="252" customFormat="false" ht="23.85" hidden="false" customHeight="false" outlineLevel="0" collapsed="false">
      <c r="A252" s="5" t="s">
        <v>1930</v>
      </c>
      <c r="B252" s="5" t="s">
        <v>175</v>
      </c>
      <c r="C252" s="5" t="s">
        <v>736</v>
      </c>
      <c r="D252" s="5" t="s">
        <v>1921</v>
      </c>
      <c r="E252" s="5" t="s">
        <v>1922</v>
      </c>
      <c r="F252" s="5" t="s">
        <v>1923</v>
      </c>
      <c r="G252" s="5" t="s">
        <v>1931</v>
      </c>
      <c r="H252" s="5" t="s">
        <v>1932</v>
      </c>
      <c r="I252" s="5" t="s">
        <v>1933</v>
      </c>
      <c r="J252" s="5" t="s">
        <v>1934</v>
      </c>
      <c r="K252" s="5" t="s">
        <v>73</v>
      </c>
      <c r="L252" s="5" t="s">
        <v>1935</v>
      </c>
      <c r="M252" s="5"/>
      <c r="N252" s="5" t="s">
        <v>1929</v>
      </c>
      <c r="O252" s="5" t="s">
        <v>45</v>
      </c>
    </row>
    <row r="253" customFormat="false" ht="23.85" hidden="false" customHeight="false" outlineLevel="0" collapsed="false">
      <c r="A253" s="5" t="s">
        <v>1936</v>
      </c>
      <c r="B253" s="5" t="s">
        <v>175</v>
      </c>
      <c r="C253" s="5" t="s">
        <v>736</v>
      </c>
      <c r="D253" s="5" t="s">
        <v>1921</v>
      </c>
      <c r="E253" s="5" t="s">
        <v>1922</v>
      </c>
      <c r="F253" s="5" t="s">
        <v>1923</v>
      </c>
      <c r="G253" s="5" t="s">
        <v>1937</v>
      </c>
      <c r="H253" s="5" t="s">
        <v>1938</v>
      </c>
      <c r="I253" s="5" t="s">
        <v>1939</v>
      </c>
      <c r="J253" s="5" t="s">
        <v>1940</v>
      </c>
      <c r="K253" s="5" t="s">
        <v>42</v>
      </c>
      <c r="L253" s="5" t="s">
        <v>1941</v>
      </c>
      <c r="M253" s="5"/>
      <c r="N253" s="5" t="s">
        <v>759</v>
      </c>
      <c r="O253" s="5" t="s">
        <v>45</v>
      </c>
    </row>
    <row r="254" customFormat="false" ht="23.85" hidden="false" customHeight="false" outlineLevel="0" collapsed="false">
      <c r="A254" s="5" t="s">
        <v>1942</v>
      </c>
      <c r="B254" s="5" t="s">
        <v>175</v>
      </c>
      <c r="C254" s="5" t="s">
        <v>1943</v>
      </c>
      <c r="D254" s="5" t="s">
        <v>1944</v>
      </c>
      <c r="E254" s="5" t="s">
        <v>1945</v>
      </c>
      <c r="F254" s="5" t="s">
        <v>1946</v>
      </c>
      <c r="G254" s="5" t="s">
        <v>1947</v>
      </c>
      <c r="H254" s="5" t="s">
        <v>1948</v>
      </c>
      <c r="I254" s="5" t="s">
        <v>1949</v>
      </c>
      <c r="J254" s="5" t="s">
        <v>1950</v>
      </c>
      <c r="K254" s="5" t="s">
        <v>97</v>
      </c>
      <c r="L254" s="5" t="s">
        <v>1951</v>
      </c>
      <c r="M254" s="5"/>
      <c r="N254" s="5" t="s">
        <v>1952</v>
      </c>
      <c r="O254" s="5" t="s">
        <v>45</v>
      </c>
    </row>
    <row r="255" customFormat="false" ht="23.85" hidden="false" customHeight="false" outlineLevel="0" collapsed="false">
      <c r="A255" s="5" t="s">
        <v>1953</v>
      </c>
      <c r="B255" s="5" t="s">
        <v>175</v>
      </c>
      <c r="C255" s="5" t="s">
        <v>1943</v>
      </c>
      <c r="D255" s="5" t="s">
        <v>1944</v>
      </c>
      <c r="E255" s="5" t="s">
        <v>1945</v>
      </c>
      <c r="F255" s="5" t="s">
        <v>1946</v>
      </c>
      <c r="G255" s="5" t="s">
        <v>1954</v>
      </c>
      <c r="H255" s="5" t="s">
        <v>1955</v>
      </c>
      <c r="I255" s="5" t="s">
        <v>1956</v>
      </c>
      <c r="J255" s="5" t="s">
        <v>1957</v>
      </c>
      <c r="K255" s="5" t="s">
        <v>73</v>
      </c>
      <c r="L255" s="5" t="s">
        <v>1958</v>
      </c>
      <c r="M255" s="5"/>
      <c r="N255" s="5" t="s">
        <v>752</v>
      </c>
      <c r="O255" s="5" t="s">
        <v>45</v>
      </c>
    </row>
    <row r="256" customFormat="false" ht="23.85" hidden="false" customHeight="false" outlineLevel="0" collapsed="false">
      <c r="A256" s="5" t="s">
        <v>1959</v>
      </c>
      <c r="B256" s="5" t="s">
        <v>175</v>
      </c>
      <c r="C256" s="5" t="s">
        <v>1943</v>
      </c>
      <c r="D256" s="5" t="s">
        <v>1944</v>
      </c>
      <c r="E256" s="5" t="s">
        <v>1945</v>
      </c>
      <c r="F256" s="5" t="s">
        <v>1946</v>
      </c>
      <c r="G256" s="5" t="s">
        <v>1960</v>
      </c>
      <c r="H256" s="5" t="s">
        <v>1961</v>
      </c>
      <c r="I256" s="5" t="s">
        <v>1962</v>
      </c>
      <c r="J256" s="5" t="s">
        <v>1963</v>
      </c>
      <c r="K256" s="5" t="s">
        <v>73</v>
      </c>
      <c r="L256" s="5" t="s">
        <v>1964</v>
      </c>
      <c r="M256" s="5"/>
      <c r="N256" s="5" t="s">
        <v>1965</v>
      </c>
      <c r="O256" s="5" t="s">
        <v>45</v>
      </c>
    </row>
    <row r="257" customFormat="false" ht="23.85" hidden="false" customHeight="false" outlineLevel="0" collapsed="false">
      <c r="A257" s="5" t="s">
        <v>1966</v>
      </c>
      <c r="B257" s="5" t="s">
        <v>175</v>
      </c>
      <c r="C257" s="5" t="s">
        <v>688</v>
      </c>
      <c r="D257" s="5" t="s">
        <v>1967</v>
      </c>
      <c r="E257" s="5" t="s">
        <v>1968</v>
      </c>
      <c r="F257" s="5" t="s">
        <v>1969</v>
      </c>
      <c r="G257" s="5" t="s">
        <v>1970</v>
      </c>
      <c r="H257" s="5" t="s">
        <v>1971</v>
      </c>
      <c r="I257" s="5" t="s">
        <v>1972</v>
      </c>
      <c r="J257" s="5" t="s">
        <v>1973</v>
      </c>
      <c r="K257" s="5" t="s">
        <v>73</v>
      </c>
      <c r="L257" s="5" t="s">
        <v>1974</v>
      </c>
      <c r="M257" s="5"/>
      <c r="N257" s="5" t="s">
        <v>697</v>
      </c>
      <c r="O257" s="5" t="s">
        <v>45</v>
      </c>
    </row>
    <row r="258" customFormat="false" ht="23.85" hidden="false" customHeight="false" outlineLevel="0" collapsed="false">
      <c r="A258" s="5" t="s">
        <v>1975</v>
      </c>
      <c r="B258" s="5" t="s">
        <v>175</v>
      </c>
      <c r="C258" s="5" t="s">
        <v>688</v>
      </c>
      <c r="D258" s="5" t="s">
        <v>1967</v>
      </c>
      <c r="E258" s="5" t="s">
        <v>1968</v>
      </c>
      <c r="F258" s="5" t="s">
        <v>1969</v>
      </c>
      <c r="G258" s="5" t="s">
        <v>1976</v>
      </c>
      <c r="H258" s="5" t="s">
        <v>1253</v>
      </c>
      <c r="I258" s="5" t="s">
        <v>677</v>
      </c>
      <c r="J258" s="5" t="s">
        <v>1977</v>
      </c>
      <c r="K258" s="5" t="s">
        <v>97</v>
      </c>
      <c r="L258" s="5" t="s">
        <v>1978</v>
      </c>
      <c r="M258" s="5"/>
      <c r="N258" s="5" t="s">
        <v>697</v>
      </c>
      <c r="O258" s="5" t="s">
        <v>45</v>
      </c>
    </row>
    <row r="259" customFormat="false" ht="23.85" hidden="false" customHeight="false" outlineLevel="0" collapsed="false">
      <c r="A259" s="5" t="s">
        <v>1979</v>
      </c>
      <c r="B259" s="5" t="s">
        <v>175</v>
      </c>
      <c r="C259" s="5" t="s">
        <v>688</v>
      </c>
      <c r="D259" s="5" t="s">
        <v>1967</v>
      </c>
      <c r="E259" s="5" t="s">
        <v>1968</v>
      </c>
      <c r="F259" s="5" t="s">
        <v>1969</v>
      </c>
      <c r="G259" s="5" t="s">
        <v>1980</v>
      </c>
      <c r="H259" s="5" t="s">
        <v>702</v>
      </c>
      <c r="I259" s="5" t="s">
        <v>700</v>
      </c>
      <c r="J259" s="5" t="s">
        <v>701</v>
      </c>
      <c r="K259" s="5" t="s">
        <v>42</v>
      </c>
      <c r="L259" s="5" t="s">
        <v>1981</v>
      </c>
      <c r="M259" s="5"/>
      <c r="N259" s="5" t="s">
        <v>1982</v>
      </c>
      <c r="O259" s="5" t="s">
        <v>45</v>
      </c>
    </row>
    <row r="260" customFormat="false" ht="23.85" hidden="false" customHeight="false" outlineLevel="0" collapsed="false">
      <c r="A260" s="5" t="s">
        <v>1983</v>
      </c>
      <c r="B260" s="5" t="s">
        <v>175</v>
      </c>
      <c r="C260" s="5" t="s">
        <v>688</v>
      </c>
      <c r="D260" s="5" t="s">
        <v>1984</v>
      </c>
      <c r="E260" s="5" t="s">
        <v>1985</v>
      </c>
      <c r="F260" s="5" t="s">
        <v>1986</v>
      </c>
      <c r="G260" s="5" t="s">
        <v>1987</v>
      </c>
      <c r="H260" s="5" t="s">
        <v>1988</v>
      </c>
      <c r="I260" s="5" t="s">
        <v>790</v>
      </c>
      <c r="J260" s="5" t="s">
        <v>1989</v>
      </c>
      <c r="K260" s="5" t="s">
        <v>73</v>
      </c>
      <c r="L260" s="5" t="s">
        <v>1990</v>
      </c>
      <c r="M260" s="5"/>
      <c r="N260" s="5" t="s">
        <v>710</v>
      </c>
      <c r="O260" s="5" t="s">
        <v>45</v>
      </c>
    </row>
    <row r="261" customFormat="false" ht="23.85" hidden="false" customHeight="false" outlineLevel="0" collapsed="false">
      <c r="A261" s="5" t="s">
        <v>1991</v>
      </c>
      <c r="B261" s="5" t="s">
        <v>175</v>
      </c>
      <c r="C261" s="5" t="s">
        <v>688</v>
      </c>
      <c r="D261" s="5" t="s">
        <v>1984</v>
      </c>
      <c r="E261" s="5" t="s">
        <v>1985</v>
      </c>
      <c r="F261" s="5" t="s">
        <v>1986</v>
      </c>
      <c r="G261" s="5" t="s">
        <v>1992</v>
      </c>
      <c r="H261" s="5" t="s">
        <v>1993</v>
      </c>
      <c r="I261" s="5" t="s">
        <v>1994</v>
      </c>
      <c r="J261" s="5" t="s">
        <v>1995</v>
      </c>
      <c r="K261" s="5" t="s">
        <v>73</v>
      </c>
      <c r="L261" s="5" t="s">
        <v>1996</v>
      </c>
      <c r="M261" s="5"/>
      <c r="N261" s="5" t="s">
        <v>710</v>
      </c>
      <c r="O261" s="5" t="s">
        <v>45</v>
      </c>
    </row>
    <row r="262" customFormat="false" ht="23.85" hidden="false" customHeight="false" outlineLevel="0" collapsed="false">
      <c r="A262" s="5" t="s">
        <v>1997</v>
      </c>
      <c r="B262" s="5" t="s">
        <v>175</v>
      </c>
      <c r="C262" s="5" t="s">
        <v>688</v>
      </c>
      <c r="D262" s="5" t="s">
        <v>1984</v>
      </c>
      <c r="E262" s="5" t="s">
        <v>1985</v>
      </c>
      <c r="F262" s="5" t="s">
        <v>1986</v>
      </c>
      <c r="G262" s="5" t="s">
        <v>1998</v>
      </c>
      <c r="H262" s="5" t="s">
        <v>1999</v>
      </c>
      <c r="I262" s="5" t="s">
        <v>2000</v>
      </c>
      <c r="J262" s="5" t="s">
        <v>2001</v>
      </c>
      <c r="K262" s="5" t="s">
        <v>73</v>
      </c>
      <c r="L262" s="5" t="s">
        <v>2002</v>
      </c>
      <c r="M262" s="5"/>
      <c r="N262" s="5" t="s">
        <v>710</v>
      </c>
      <c r="O262" s="5" t="s">
        <v>45</v>
      </c>
    </row>
    <row r="263" customFormat="false" ht="35.05" hidden="false" customHeight="false" outlineLevel="0" collapsed="false">
      <c r="A263" s="5" t="s">
        <v>2003</v>
      </c>
      <c r="B263" s="5" t="s">
        <v>175</v>
      </c>
      <c r="C263" s="5" t="s">
        <v>268</v>
      </c>
      <c r="D263" s="5" t="s">
        <v>2004</v>
      </c>
      <c r="E263" s="5" t="s">
        <v>2005</v>
      </c>
      <c r="F263" s="5" t="s">
        <v>2006</v>
      </c>
      <c r="G263" s="5" t="s">
        <v>2007</v>
      </c>
      <c r="H263" s="5" t="s">
        <v>2008</v>
      </c>
      <c r="I263" s="5" t="s">
        <v>2009</v>
      </c>
      <c r="J263" s="5" t="s">
        <v>2010</v>
      </c>
      <c r="K263" s="5" t="s">
        <v>97</v>
      </c>
      <c r="L263" s="5" t="s">
        <v>2011</v>
      </c>
      <c r="M263" s="5"/>
      <c r="N263" s="5" t="s">
        <v>277</v>
      </c>
      <c r="O263" s="5" t="s">
        <v>45</v>
      </c>
    </row>
    <row r="264" customFormat="false" ht="35.05" hidden="false" customHeight="false" outlineLevel="0" collapsed="false">
      <c r="A264" s="5" t="s">
        <v>2012</v>
      </c>
      <c r="B264" s="5" t="s">
        <v>175</v>
      </c>
      <c r="C264" s="5" t="s">
        <v>268</v>
      </c>
      <c r="D264" s="5" t="s">
        <v>2004</v>
      </c>
      <c r="E264" s="5" t="s">
        <v>2005</v>
      </c>
      <c r="F264" s="5" t="s">
        <v>2006</v>
      </c>
      <c r="G264" s="5" t="s">
        <v>2013</v>
      </c>
      <c r="H264" s="5" t="s">
        <v>2014</v>
      </c>
      <c r="I264" s="5" t="s">
        <v>2015</v>
      </c>
      <c r="J264" s="5" t="s">
        <v>2016</v>
      </c>
      <c r="K264" s="5" t="s">
        <v>42</v>
      </c>
      <c r="L264" s="5" t="s">
        <v>2017</v>
      </c>
      <c r="M264" s="5"/>
      <c r="N264" s="5" t="s">
        <v>277</v>
      </c>
      <c r="O264" s="5" t="s">
        <v>45</v>
      </c>
    </row>
    <row r="265" customFormat="false" ht="35.05" hidden="false" customHeight="false" outlineLevel="0" collapsed="false">
      <c r="A265" s="5" t="s">
        <v>2018</v>
      </c>
      <c r="B265" s="5" t="s">
        <v>175</v>
      </c>
      <c r="C265" s="5" t="s">
        <v>268</v>
      </c>
      <c r="D265" s="5" t="s">
        <v>2004</v>
      </c>
      <c r="E265" s="5" t="s">
        <v>2005</v>
      </c>
      <c r="F265" s="5" t="s">
        <v>2006</v>
      </c>
      <c r="G265" s="5" t="s">
        <v>2019</v>
      </c>
      <c r="H265" s="5" t="s">
        <v>2020</v>
      </c>
      <c r="I265" s="5" t="s">
        <v>2021</v>
      </c>
      <c r="J265" s="5" t="s">
        <v>2022</v>
      </c>
      <c r="K265" s="5" t="s">
        <v>73</v>
      </c>
      <c r="L265" s="5" t="s">
        <v>2023</v>
      </c>
      <c r="M265" s="5"/>
      <c r="N265" s="5" t="s">
        <v>277</v>
      </c>
      <c r="O265" s="5" t="s">
        <v>45</v>
      </c>
    </row>
    <row r="266" customFormat="false" ht="23.85" hidden="false" customHeight="false" outlineLevel="0" collapsed="false">
      <c r="A266" s="5" t="s">
        <v>2024</v>
      </c>
      <c r="B266" s="5" t="s">
        <v>175</v>
      </c>
      <c r="C266" s="5" t="s">
        <v>245</v>
      </c>
      <c r="D266" s="5" t="s">
        <v>2025</v>
      </c>
      <c r="E266" s="5" t="s">
        <v>2026</v>
      </c>
      <c r="F266" s="5" t="s">
        <v>2027</v>
      </c>
      <c r="G266" s="5" t="s">
        <v>2028</v>
      </c>
      <c r="H266" s="5" t="s">
        <v>1885</v>
      </c>
      <c r="I266" s="5" t="s">
        <v>1253</v>
      </c>
      <c r="J266" s="5" t="s">
        <v>1977</v>
      </c>
      <c r="K266" s="5" t="s">
        <v>42</v>
      </c>
      <c r="L266" s="5" t="s">
        <v>2029</v>
      </c>
      <c r="M266" s="5"/>
      <c r="N266" s="5" t="s">
        <v>2030</v>
      </c>
      <c r="O266" s="5" t="s">
        <v>45</v>
      </c>
    </row>
    <row r="267" customFormat="false" ht="23.85" hidden="false" customHeight="false" outlineLevel="0" collapsed="false">
      <c r="A267" s="5" t="s">
        <v>2031</v>
      </c>
      <c r="B267" s="5" t="s">
        <v>175</v>
      </c>
      <c r="C267" s="5" t="s">
        <v>245</v>
      </c>
      <c r="D267" s="5" t="s">
        <v>2025</v>
      </c>
      <c r="E267" s="5" t="s">
        <v>2026</v>
      </c>
      <c r="F267" s="5" t="s">
        <v>2027</v>
      </c>
      <c r="G267" s="5" t="s">
        <v>2032</v>
      </c>
      <c r="H267" s="5" t="s">
        <v>1977</v>
      </c>
      <c r="I267" s="5" t="s">
        <v>2033</v>
      </c>
      <c r="J267" s="5" t="s">
        <v>1253</v>
      </c>
      <c r="K267" s="5" t="s">
        <v>73</v>
      </c>
      <c r="L267" s="5" t="s">
        <v>2034</v>
      </c>
      <c r="M267" s="5"/>
      <c r="N267" s="5" t="s">
        <v>2035</v>
      </c>
      <c r="O267" s="5" t="s">
        <v>45</v>
      </c>
    </row>
    <row r="268" customFormat="false" ht="23.85" hidden="false" customHeight="false" outlineLevel="0" collapsed="false">
      <c r="A268" s="5" t="s">
        <v>2036</v>
      </c>
      <c r="B268" s="5" t="s">
        <v>175</v>
      </c>
      <c r="C268" s="5" t="s">
        <v>245</v>
      </c>
      <c r="D268" s="5" t="s">
        <v>2025</v>
      </c>
      <c r="E268" s="5" t="s">
        <v>2026</v>
      </c>
      <c r="F268" s="5" t="s">
        <v>2027</v>
      </c>
      <c r="G268" s="5" t="s">
        <v>2037</v>
      </c>
      <c r="H268" s="5" t="s">
        <v>2038</v>
      </c>
      <c r="I268" s="5" t="s">
        <v>2039</v>
      </c>
      <c r="J268" s="5" t="s">
        <v>2040</v>
      </c>
      <c r="K268" s="5" t="s">
        <v>73</v>
      </c>
      <c r="L268" s="5" t="s">
        <v>2041</v>
      </c>
      <c r="M268" s="5"/>
      <c r="N268" s="5" t="s">
        <v>2042</v>
      </c>
      <c r="O268" s="5" t="s">
        <v>45</v>
      </c>
    </row>
    <row r="269" customFormat="false" ht="23.85" hidden="false" customHeight="false" outlineLevel="0" collapsed="false">
      <c r="A269" s="5" t="s">
        <v>2043</v>
      </c>
      <c r="B269" s="5" t="s">
        <v>175</v>
      </c>
      <c r="C269" s="5" t="s">
        <v>245</v>
      </c>
      <c r="D269" s="5" t="s">
        <v>2044</v>
      </c>
      <c r="E269" s="5" t="s">
        <v>2045</v>
      </c>
      <c r="F269" s="5" t="s">
        <v>2046</v>
      </c>
      <c r="G269" s="5" t="s">
        <v>2047</v>
      </c>
      <c r="H269" s="5" t="s">
        <v>2048</v>
      </c>
      <c r="I269" s="5" t="s">
        <v>2049</v>
      </c>
      <c r="J269" s="5" t="s">
        <v>2050</v>
      </c>
      <c r="K269" s="5" t="s">
        <v>97</v>
      </c>
      <c r="L269" s="5" t="s">
        <v>2051</v>
      </c>
      <c r="M269" s="5"/>
      <c r="N269" s="5" t="s">
        <v>2052</v>
      </c>
      <c r="O269" s="5" t="s">
        <v>45</v>
      </c>
    </row>
    <row r="270" customFormat="false" ht="23.85" hidden="false" customHeight="false" outlineLevel="0" collapsed="false">
      <c r="A270" s="5" t="s">
        <v>2053</v>
      </c>
      <c r="B270" s="5" t="s">
        <v>175</v>
      </c>
      <c r="C270" s="5" t="s">
        <v>245</v>
      </c>
      <c r="D270" s="5" t="s">
        <v>2044</v>
      </c>
      <c r="E270" s="5" t="s">
        <v>2045</v>
      </c>
      <c r="F270" s="5" t="s">
        <v>2046</v>
      </c>
      <c r="G270" s="5" t="s">
        <v>2054</v>
      </c>
      <c r="H270" s="5" t="s">
        <v>2055</v>
      </c>
      <c r="I270" s="5" t="s">
        <v>2056</v>
      </c>
      <c r="J270" s="5" t="s">
        <v>2057</v>
      </c>
      <c r="K270" s="5" t="s">
        <v>97</v>
      </c>
      <c r="L270" s="5" t="s">
        <v>2058</v>
      </c>
      <c r="M270" s="5"/>
      <c r="N270" s="5" t="s">
        <v>2059</v>
      </c>
      <c r="O270" s="5" t="s">
        <v>45</v>
      </c>
    </row>
    <row r="271" customFormat="false" ht="23.85" hidden="false" customHeight="false" outlineLevel="0" collapsed="false">
      <c r="A271" s="5" t="s">
        <v>2060</v>
      </c>
      <c r="B271" s="5" t="s">
        <v>175</v>
      </c>
      <c r="C271" s="5" t="s">
        <v>245</v>
      </c>
      <c r="D271" s="5" t="s">
        <v>2044</v>
      </c>
      <c r="E271" s="5" t="s">
        <v>2045</v>
      </c>
      <c r="F271" s="5" t="s">
        <v>2046</v>
      </c>
      <c r="G271" s="5" t="s">
        <v>2061</v>
      </c>
      <c r="H271" s="5" t="s">
        <v>2062</v>
      </c>
      <c r="I271" s="5" t="s">
        <v>2063</v>
      </c>
      <c r="J271" s="5" t="s">
        <v>2064</v>
      </c>
      <c r="K271" s="5" t="s">
        <v>97</v>
      </c>
      <c r="L271" s="5" t="s">
        <v>2065</v>
      </c>
      <c r="M271" s="5"/>
      <c r="N271" s="5" t="s">
        <v>2059</v>
      </c>
      <c r="O271" s="5" t="s">
        <v>45</v>
      </c>
    </row>
    <row r="272" customFormat="false" ht="23.85" hidden="false" customHeight="false" outlineLevel="0" collapsed="false">
      <c r="A272" s="5" t="s">
        <v>2066</v>
      </c>
      <c r="B272" s="5" t="s">
        <v>175</v>
      </c>
      <c r="C272" s="5" t="s">
        <v>245</v>
      </c>
      <c r="D272" s="5" t="s">
        <v>2067</v>
      </c>
      <c r="E272" s="5" t="s">
        <v>2068</v>
      </c>
      <c r="F272" s="5" t="s">
        <v>2069</v>
      </c>
      <c r="G272" s="5" t="s">
        <v>2070</v>
      </c>
      <c r="H272" s="5" t="s">
        <v>2071</v>
      </c>
      <c r="I272" s="5" t="s">
        <v>2072</v>
      </c>
      <c r="J272" s="5" t="s">
        <v>2073</v>
      </c>
      <c r="K272" s="5" t="s">
        <v>73</v>
      </c>
      <c r="L272" s="5" t="s">
        <v>2074</v>
      </c>
      <c r="M272" s="5"/>
      <c r="N272" s="5" t="s">
        <v>2059</v>
      </c>
      <c r="O272" s="5" t="s">
        <v>45</v>
      </c>
    </row>
    <row r="273" customFormat="false" ht="23.85" hidden="false" customHeight="false" outlineLevel="0" collapsed="false">
      <c r="A273" s="5" t="s">
        <v>2075</v>
      </c>
      <c r="B273" s="5" t="s">
        <v>175</v>
      </c>
      <c r="C273" s="5" t="s">
        <v>245</v>
      </c>
      <c r="D273" s="5" t="s">
        <v>2067</v>
      </c>
      <c r="E273" s="5" t="s">
        <v>2068</v>
      </c>
      <c r="F273" s="5" t="s">
        <v>2069</v>
      </c>
      <c r="G273" s="5" t="s">
        <v>2076</v>
      </c>
      <c r="H273" s="5" t="s">
        <v>2077</v>
      </c>
      <c r="I273" s="5" t="s">
        <v>2078</v>
      </c>
      <c r="J273" s="5" t="s">
        <v>2079</v>
      </c>
      <c r="K273" s="5" t="s">
        <v>73</v>
      </c>
      <c r="L273" s="5" t="s">
        <v>2080</v>
      </c>
      <c r="M273" s="5"/>
      <c r="N273" s="5" t="s">
        <v>2059</v>
      </c>
      <c r="O273" s="5" t="s">
        <v>45</v>
      </c>
    </row>
    <row r="274" customFormat="false" ht="23.85" hidden="false" customHeight="false" outlineLevel="0" collapsed="false">
      <c r="A274" s="5" t="s">
        <v>2081</v>
      </c>
      <c r="B274" s="5" t="s">
        <v>175</v>
      </c>
      <c r="C274" s="5" t="s">
        <v>245</v>
      </c>
      <c r="D274" s="5" t="s">
        <v>2067</v>
      </c>
      <c r="E274" s="5" t="s">
        <v>2068</v>
      </c>
      <c r="F274" s="5" t="s">
        <v>2069</v>
      </c>
      <c r="G274" s="5" t="s">
        <v>2082</v>
      </c>
      <c r="H274" s="5" t="s">
        <v>2083</v>
      </c>
      <c r="I274" s="5" t="s">
        <v>2084</v>
      </c>
      <c r="J274" s="5" t="s">
        <v>2085</v>
      </c>
      <c r="K274" s="5" t="s">
        <v>73</v>
      </c>
      <c r="L274" s="5" t="s">
        <v>2086</v>
      </c>
      <c r="M274" s="5"/>
      <c r="N274" s="5" t="s">
        <v>2059</v>
      </c>
      <c r="O274" s="5" t="s">
        <v>45</v>
      </c>
    </row>
    <row r="275" customFormat="false" ht="23.85" hidden="false" customHeight="false" outlineLevel="0" collapsed="false">
      <c r="A275" s="5" t="s">
        <v>2087</v>
      </c>
      <c r="B275" s="5" t="s">
        <v>175</v>
      </c>
      <c r="C275" s="5" t="s">
        <v>245</v>
      </c>
      <c r="D275" s="5" t="s">
        <v>2088</v>
      </c>
      <c r="E275" s="5" t="s">
        <v>2089</v>
      </c>
      <c r="F275" s="5" t="s">
        <v>2090</v>
      </c>
      <c r="G275" s="5" t="s">
        <v>2091</v>
      </c>
      <c r="H275" s="5" t="s">
        <v>2092</v>
      </c>
      <c r="I275" s="5" t="s">
        <v>2093</v>
      </c>
      <c r="J275" s="5" t="s">
        <v>2094</v>
      </c>
      <c r="K275" s="5" t="s">
        <v>42</v>
      </c>
      <c r="L275" s="5" t="s">
        <v>2095</v>
      </c>
      <c r="M275" s="5"/>
      <c r="N275" s="5" t="s">
        <v>2096</v>
      </c>
      <c r="O275" s="5" t="s">
        <v>45</v>
      </c>
    </row>
    <row r="276" customFormat="false" ht="23.85" hidden="false" customHeight="false" outlineLevel="0" collapsed="false">
      <c r="A276" s="5" t="s">
        <v>2097</v>
      </c>
      <c r="B276" s="5" t="s">
        <v>175</v>
      </c>
      <c r="C276" s="5" t="s">
        <v>245</v>
      </c>
      <c r="D276" s="5" t="s">
        <v>2088</v>
      </c>
      <c r="E276" s="5" t="s">
        <v>2089</v>
      </c>
      <c r="F276" s="5" t="s">
        <v>2090</v>
      </c>
      <c r="G276" s="5" t="s">
        <v>2098</v>
      </c>
      <c r="H276" s="5" t="s">
        <v>2099</v>
      </c>
      <c r="I276" s="5" t="s">
        <v>2100</v>
      </c>
      <c r="J276" s="5" t="s">
        <v>2101</v>
      </c>
      <c r="K276" s="5" t="s">
        <v>73</v>
      </c>
      <c r="L276" s="5" t="s">
        <v>2102</v>
      </c>
      <c r="M276" s="5"/>
      <c r="N276" s="5" t="s">
        <v>2103</v>
      </c>
      <c r="O276" s="5" t="s">
        <v>45</v>
      </c>
    </row>
    <row r="277" customFormat="false" ht="23.85" hidden="false" customHeight="false" outlineLevel="0" collapsed="false">
      <c r="A277" s="5" t="s">
        <v>2104</v>
      </c>
      <c r="B277" s="5" t="s">
        <v>175</v>
      </c>
      <c r="C277" s="5" t="s">
        <v>245</v>
      </c>
      <c r="D277" s="5" t="s">
        <v>2088</v>
      </c>
      <c r="E277" s="5" t="s">
        <v>2089</v>
      </c>
      <c r="F277" s="5" t="s">
        <v>2090</v>
      </c>
      <c r="G277" s="5" t="s">
        <v>2105</v>
      </c>
      <c r="H277" s="5" t="s">
        <v>2106</v>
      </c>
      <c r="I277" s="5" t="s">
        <v>2107</v>
      </c>
      <c r="J277" s="5" t="s">
        <v>2108</v>
      </c>
      <c r="K277" s="5" t="s">
        <v>73</v>
      </c>
      <c r="L277" s="5" t="s">
        <v>2109</v>
      </c>
      <c r="M277" s="5"/>
      <c r="N277" s="5" t="s">
        <v>2096</v>
      </c>
      <c r="O277" s="5" t="s">
        <v>45</v>
      </c>
    </row>
    <row r="278" customFormat="false" ht="23.85" hidden="false" customHeight="false" outlineLevel="0" collapsed="false">
      <c r="A278" s="5" t="s">
        <v>2110</v>
      </c>
      <c r="B278" s="5" t="s">
        <v>175</v>
      </c>
      <c r="C278" s="5" t="s">
        <v>245</v>
      </c>
      <c r="D278" s="5" t="s">
        <v>2111</v>
      </c>
      <c r="E278" s="5" t="s">
        <v>2112</v>
      </c>
      <c r="F278" s="5" t="s">
        <v>2113</v>
      </c>
      <c r="G278" s="5" t="s">
        <v>2114</v>
      </c>
      <c r="H278" s="5" t="s">
        <v>2115</v>
      </c>
      <c r="I278" s="5" t="s">
        <v>2116</v>
      </c>
      <c r="J278" s="5" t="s">
        <v>2117</v>
      </c>
      <c r="K278" s="5" t="s">
        <v>42</v>
      </c>
      <c r="L278" s="5" t="s">
        <v>2118</v>
      </c>
      <c r="M278" s="5"/>
      <c r="N278" s="5" t="s">
        <v>2119</v>
      </c>
      <c r="O278" s="5" t="s">
        <v>45</v>
      </c>
    </row>
    <row r="279" customFormat="false" ht="23.85" hidden="false" customHeight="false" outlineLevel="0" collapsed="false">
      <c r="A279" s="5" t="s">
        <v>2120</v>
      </c>
      <c r="B279" s="5" t="s">
        <v>175</v>
      </c>
      <c r="C279" s="5" t="s">
        <v>245</v>
      </c>
      <c r="D279" s="5" t="s">
        <v>2111</v>
      </c>
      <c r="E279" s="5" t="s">
        <v>2112</v>
      </c>
      <c r="F279" s="5" t="s">
        <v>2113</v>
      </c>
      <c r="G279" s="5" t="s">
        <v>2121</v>
      </c>
      <c r="H279" s="5" t="s">
        <v>2122</v>
      </c>
      <c r="I279" s="5" t="s">
        <v>2123</v>
      </c>
      <c r="J279" s="5" t="s">
        <v>2124</v>
      </c>
      <c r="K279" s="5" t="s">
        <v>73</v>
      </c>
      <c r="L279" s="5" t="s">
        <v>2125</v>
      </c>
      <c r="M279" s="5"/>
      <c r="N279" s="5" t="s">
        <v>2119</v>
      </c>
      <c r="O279" s="5" t="s">
        <v>45</v>
      </c>
    </row>
    <row r="280" customFormat="false" ht="23.85" hidden="false" customHeight="false" outlineLevel="0" collapsed="false">
      <c r="A280" s="5" t="s">
        <v>2126</v>
      </c>
      <c r="B280" s="5" t="s">
        <v>175</v>
      </c>
      <c r="C280" s="5" t="s">
        <v>245</v>
      </c>
      <c r="D280" s="5" t="s">
        <v>2111</v>
      </c>
      <c r="E280" s="5" t="s">
        <v>2112</v>
      </c>
      <c r="F280" s="5" t="s">
        <v>2113</v>
      </c>
      <c r="G280" s="5" t="s">
        <v>2127</v>
      </c>
      <c r="H280" s="5" t="s">
        <v>2128</v>
      </c>
      <c r="I280" s="5" t="s">
        <v>2129</v>
      </c>
      <c r="J280" s="5" t="s">
        <v>2130</v>
      </c>
      <c r="K280" s="5" t="s">
        <v>42</v>
      </c>
      <c r="L280" s="5" t="s">
        <v>2131</v>
      </c>
      <c r="M280" s="5"/>
      <c r="N280" s="5" t="s">
        <v>2119</v>
      </c>
      <c r="O280" s="5" t="s">
        <v>45</v>
      </c>
    </row>
    <row r="281" customFormat="false" ht="35.05" hidden="false" customHeight="false" outlineLevel="0" collapsed="false">
      <c r="A281" s="5" t="s">
        <v>2132</v>
      </c>
      <c r="B281" s="5" t="s">
        <v>175</v>
      </c>
      <c r="C281" s="5" t="s">
        <v>761</v>
      </c>
      <c r="D281" s="5" t="s">
        <v>2133</v>
      </c>
      <c r="E281" s="5" t="s">
        <v>2134</v>
      </c>
      <c r="F281" s="5" t="s">
        <v>2135</v>
      </c>
      <c r="G281" s="5" t="s">
        <v>2136</v>
      </c>
      <c r="H281" s="5" t="s">
        <v>2137</v>
      </c>
      <c r="I281" s="5" t="s">
        <v>2138</v>
      </c>
      <c r="J281" s="5" t="s">
        <v>2139</v>
      </c>
      <c r="K281" s="5" t="s">
        <v>73</v>
      </c>
      <c r="L281" s="5" t="s">
        <v>2140</v>
      </c>
      <c r="M281" s="5"/>
      <c r="N281" s="5" t="s">
        <v>2141</v>
      </c>
      <c r="O281" s="5" t="s">
        <v>45</v>
      </c>
    </row>
    <row r="282" customFormat="false" ht="23.85" hidden="false" customHeight="false" outlineLevel="0" collapsed="false">
      <c r="A282" s="5" t="s">
        <v>2142</v>
      </c>
      <c r="B282" s="5" t="s">
        <v>175</v>
      </c>
      <c r="C282" s="5" t="s">
        <v>761</v>
      </c>
      <c r="D282" s="5" t="s">
        <v>2133</v>
      </c>
      <c r="E282" s="5" t="s">
        <v>2134</v>
      </c>
      <c r="F282" s="5" t="s">
        <v>2135</v>
      </c>
      <c r="G282" s="5" t="s">
        <v>2143</v>
      </c>
      <c r="H282" s="5" t="s">
        <v>2144</v>
      </c>
      <c r="I282" s="5" t="s">
        <v>2145</v>
      </c>
      <c r="J282" s="5" t="s">
        <v>2146</v>
      </c>
      <c r="K282" s="5" t="s">
        <v>73</v>
      </c>
      <c r="L282" s="5" t="s">
        <v>2147</v>
      </c>
      <c r="M282" s="5"/>
      <c r="N282" s="5" t="s">
        <v>2148</v>
      </c>
      <c r="O282" s="5" t="s">
        <v>45</v>
      </c>
    </row>
    <row r="283" customFormat="false" ht="23.85" hidden="false" customHeight="false" outlineLevel="0" collapsed="false">
      <c r="A283" s="5" t="s">
        <v>2149</v>
      </c>
      <c r="B283" s="5" t="s">
        <v>175</v>
      </c>
      <c r="C283" s="5" t="s">
        <v>761</v>
      </c>
      <c r="D283" s="5" t="s">
        <v>2133</v>
      </c>
      <c r="E283" s="5" t="s">
        <v>2134</v>
      </c>
      <c r="F283" s="5" t="s">
        <v>2135</v>
      </c>
      <c r="G283" s="5" t="s">
        <v>2150</v>
      </c>
      <c r="H283" s="5" t="s">
        <v>2151</v>
      </c>
      <c r="I283" s="5" t="s">
        <v>2152</v>
      </c>
      <c r="J283" s="5" t="s">
        <v>2153</v>
      </c>
      <c r="K283" s="5" t="s">
        <v>97</v>
      </c>
      <c r="L283" s="5" t="s">
        <v>2154</v>
      </c>
      <c r="M283" s="5"/>
      <c r="N283" s="5" t="s">
        <v>777</v>
      </c>
      <c r="O283" s="5" t="s">
        <v>45</v>
      </c>
    </row>
    <row r="284" customFormat="false" ht="23.85" hidden="false" customHeight="false" outlineLevel="0" collapsed="false">
      <c r="A284" s="5" t="s">
        <v>2155</v>
      </c>
      <c r="B284" s="5" t="s">
        <v>175</v>
      </c>
      <c r="C284" s="5" t="s">
        <v>761</v>
      </c>
      <c r="D284" s="5" t="s">
        <v>2156</v>
      </c>
      <c r="E284" s="5" t="s">
        <v>2157</v>
      </c>
      <c r="F284" s="5" t="s">
        <v>2158</v>
      </c>
      <c r="G284" s="5" t="s">
        <v>2159</v>
      </c>
      <c r="H284" s="5" t="s">
        <v>2160</v>
      </c>
      <c r="I284" s="5" t="s">
        <v>2161</v>
      </c>
      <c r="J284" s="5" t="s">
        <v>2162</v>
      </c>
      <c r="K284" s="5" t="s">
        <v>42</v>
      </c>
      <c r="L284" s="5" t="s">
        <v>2163</v>
      </c>
      <c r="M284" s="5"/>
      <c r="N284" s="5" t="s">
        <v>2164</v>
      </c>
      <c r="O284" s="5" t="s">
        <v>45</v>
      </c>
    </row>
    <row r="285" customFormat="false" ht="35.05" hidden="false" customHeight="false" outlineLevel="0" collapsed="false">
      <c r="A285" s="5" t="s">
        <v>2165</v>
      </c>
      <c r="B285" s="5" t="s">
        <v>175</v>
      </c>
      <c r="C285" s="5" t="s">
        <v>761</v>
      </c>
      <c r="D285" s="5" t="s">
        <v>2156</v>
      </c>
      <c r="E285" s="5" t="s">
        <v>2157</v>
      </c>
      <c r="F285" s="5" t="s">
        <v>2158</v>
      </c>
      <c r="G285" s="5" t="s">
        <v>2166</v>
      </c>
      <c r="H285" s="5" t="s">
        <v>2167</v>
      </c>
      <c r="I285" s="5" t="s">
        <v>2168</v>
      </c>
      <c r="J285" s="5" t="s">
        <v>2169</v>
      </c>
      <c r="K285" s="5" t="s">
        <v>97</v>
      </c>
      <c r="L285" s="5" t="s">
        <v>2170</v>
      </c>
      <c r="M285" s="5"/>
      <c r="N285" s="5" t="s">
        <v>2164</v>
      </c>
      <c r="O285" s="5" t="s">
        <v>45</v>
      </c>
    </row>
    <row r="286" customFormat="false" ht="23.85" hidden="false" customHeight="false" outlineLevel="0" collapsed="false">
      <c r="A286" s="5" t="s">
        <v>2171</v>
      </c>
      <c r="B286" s="5" t="s">
        <v>175</v>
      </c>
      <c r="C286" s="5" t="s">
        <v>761</v>
      </c>
      <c r="D286" s="5" t="s">
        <v>2156</v>
      </c>
      <c r="E286" s="5" t="s">
        <v>2157</v>
      </c>
      <c r="F286" s="5" t="s">
        <v>2158</v>
      </c>
      <c r="G286" s="5" t="s">
        <v>2172</v>
      </c>
      <c r="H286" s="5" t="s">
        <v>2173</v>
      </c>
      <c r="I286" s="5" t="s">
        <v>2174</v>
      </c>
      <c r="J286" s="5" t="s">
        <v>2175</v>
      </c>
      <c r="K286" s="5" t="s">
        <v>73</v>
      </c>
      <c r="L286" s="5" t="s">
        <v>2176</v>
      </c>
      <c r="M286" s="5"/>
      <c r="N286" s="5" t="s">
        <v>770</v>
      </c>
      <c r="O286" s="5" t="s">
        <v>45</v>
      </c>
    </row>
    <row r="287" customFormat="false" ht="35.05" hidden="false" customHeight="false" outlineLevel="0" collapsed="false">
      <c r="A287" s="5" t="s">
        <v>2177</v>
      </c>
      <c r="B287" s="5" t="s">
        <v>175</v>
      </c>
      <c r="C287" s="5" t="s">
        <v>785</v>
      </c>
      <c r="D287" s="5" t="s">
        <v>2178</v>
      </c>
      <c r="E287" s="5" t="s">
        <v>2179</v>
      </c>
      <c r="F287" s="5" t="s">
        <v>2180</v>
      </c>
      <c r="G287" s="5" t="s">
        <v>2181</v>
      </c>
      <c r="H287" s="5" t="s">
        <v>2182</v>
      </c>
      <c r="I287" s="5" t="s">
        <v>2183</v>
      </c>
      <c r="J287" s="5" t="s">
        <v>2184</v>
      </c>
      <c r="K287" s="5" t="s">
        <v>97</v>
      </c>
      <c r="L287" s="5" t="s">
        <v>2185</v>
      </c>
      <c r="M287" s="5"/>
      <c r="N287" s="5" t="s">
        <v>2186</v>
      </c>
      <c r="O287" s="5" t="s">
        <v>45</v>
      </c>
    </row>
    <row r="288" customFormat="false" ht="23.85" hidden="false" customHeight="false" outlineLevel="0" collapsed="false">
      <c r="A288" s="5" t="s">
        <v>2187</v>
      </c>
      <c r="B288" s="5" t="s">
        <v>175</v>
      </c>
      <c r="C288" s="5" t="s">
        <v>785</v>
      </c>
      <c r="D288" s="5" t="s">
        <v>2178</v>
      </c>
      <c r="E288" s="5" t="s">
        <v>2179</v>
      </c>
      <c r="F288" s="5" t="s">
        <v>2180</v>
      </c>
      <c r="G288" s="5" t="s">
        <v>2188</v>
      </c>
      <c r="H288" s="5" t="s">
        <v>2189</v>
      </c>
      <c r="I288" s="5" t="s">
        <v>2190</v>
      </c>
      <c r="J288" s="5" t="s">
        <v>2191</v>
      </c>
      <c r="K288" s="5" t="s">
        <v>73</v>
      </c>
      <c r="L288" s="5" t="s">
        <v>2192</v>
      </c>
      <c r="M288" s="5"/>
      <c r="N288" s="5" t="s">
        <v>2186</v>
      </c>
      <c r="O288" s="5" t="s">
        <v>45</v>
      </c>
    </row>
    <row r="289" customFormat="false" ht="23.85" hidden="false" customHeight="false" outlineLevel="0" collapsed="false">
      <c r="A289" s="5" t="s">
        <v>2193</v>
      </c>
      <c r="B289" s="5" t="s">
        <v>175</v>
      </c>
      <c r="C289" s="5" t="s">
        <v>785</v>
      </c>
      <c r="D289" s="5" t="s">
        <v>2178</v>
      </c>
      <c r="E289" s="5" t="s">
        <v>2179</v>
      </c>
      <c r="F289" s="5" t="s">
        <v>2180</v>
      </c>
      <c r="G289" s="5" t="s">
        <v>2194</v>
      </c>
      <c r="H289" s="5" t="s">
        <v>1694</v>
      </c>
      <c r="I289" s="5" t="s">
        <v>2195</v>
      </c>
      <c r="J289" s="5" t="s">
        <v>2196</v>
      </c>
      <c r="K289" s="5" t="s">
        <v>73</v>
      </c>
      <c r="L289" s="5" t="s">
        <v>1697</v>
      </c>
      <c r="M289" s="5"/>
      <c r="N289" s="5" t="s">
        <v>1598</v>
      </c>
      <c r="O289" s="5" t="s">
        <v>45</v>
      </c>
    </row>
    <row r="290" customFormat="false" ht="23.85" hidden="false" customHeight="false" outlineLevel="0" collapsed="false">
      <c r="A290" s="5" t="s">
        <v>2197</v>
      </c>
      <c r="B290" s="5" t="s">
        <v>175</v>
      </c>
      <c r="C290" s="5" t="s">
        <v>809</v>
      </c>
      <c r="D290" s="5" t="s">
        <v>2198</v>
      </c>
      <c r="E290" s="5" t="s">
        <v>2199</v>
      </c>
      <c r="F290" s="5" t="s">
        <v>2200</v>
      </c>
      <c r="G290" s="5" t="s">
        <v>2201</v>
      </c>
      <c r="H290" s="5" t="s">
        <v>2202</v>
      </c>
      <c r="I290" s="5" t="s">
        <v>2203</v>
      </c>
      <c r="J290" s="5" t="s">
        <v>2204</v>
      </c>
      <c r="K290" s="5" t="s">
        <v>42</v>
      </c>
      <c r="L290" s="5" t="s">
        <v>2205</v>
      </c>
      <c r="M290" s="5"/>
      <c r="N290" s="5" t="s">
        <v>2206</v>
      </c>
      <c r="O290" s="5" t="s">
        <v>45</v>
      </c>
    </row>
    <row r="291" customFormat="false" ht="35.05" hidden="false" customHeight="false" outlineLevel="0" collapsed="false">
      <c r="A291" s="5" t="s">
        <v>2207</v>
      </c>
      <c r="B291" s="5" t="s">
        <v>175</v>
      </c>
      <c r="C291" s="5" t="s">
        <v>809</v>
      </c>
      <c r="D291" s="5" t="s">
        <v>2198</v>
      </c>
      <c r="E291" s="5" t="s">
        <v>2199</v>
      </c>
      <c r="F291" s="5" t="s">
        <v>2200</v>
      </c>
      <c r="G291" s="5" t="s">
        <v>2208</v>
      </c>
      <c r="H291" s="5" t="s">
        <v>2209</v>
      </c>
      <c r="I291" s="5" t="s">
        <v>2210</v>
      </c>
      <c r="J291" s="5" t="s">
        <v>2211</v>
      </c>
      <c r="K291" s="5" t="s">
        <v>97</v>
      </c>
      <c r="L291" s="5" t="s">
        <v>2212</v>
      </c>
      <c r="M291" s="5"/>
      <c r="N291" s="5" t="s">
        <v>2213</v>
      </c>
      <c r="O291" s="5" t="s">
        <v>45</v>
      </c>
    </row>
    <row r="292" customFormat="false" ht="23.85" hidden="false" customHeight="false" outlineLevel="0" collapsed="false">
      <c r="A292" s="5" t="s">
        <v>2214</v>
      </c>
      <c r="B292" s="5" t="s">
        <v>175</v>
      </c>
      <c r="C292" s="5" t="s">
        <v>809</v>
      </c>
      <c r="D292" s="5" t="s">
        <v>2198</v>
      </c>
      <c r="E292" s="5" t="s">
        <v>2199</v>
      </c>
      <c r="F292" s="5" t="s">
        <v>2200</v>
      </c>
      <c r="G292" s="5" t="s">
        <v>2215</v>
      </c>
      <c r="H292" s="5" t="s">
        <v>2216</v>
      </c>
      <c r="I292" s="5" t="s">
        <v>2217</v>
      </c>
      <c r="J292" s="5" t="s">
        <v>2218</v>
      </c>
      <c r="K292" s="5" t="s">
        <v>42</v>
      </c>
      <c r="L292" s="5" t="s">
        <v>2219</v>
      </c>
      <c r="M292" s="5"/>
      <c r="N292" s="5" t="s">
        <v>2220</v>
      </c>
      <c r="O292" s="5" t="s">
        <v>45</v>
      </c>
    </row>
    <row r="293" customFormat="false" ht="23.85" hidden="false" customHeight="false" outlineLevel="0" collapsed="false">
      <c r="A293" s="5" t="s">
        <v>2221</v>
      </c>
      <c r="B293" s="5" t="s">
        <v>175</v>
      </c>
      <c r="C293" s="5" t="s">
        <v>291</v>
      </c>
      <c r="D293" s="5" t="s">
        <v>2222</v>
      </c>
      <c r="E293" s="5" t="s">
        <v>2223</v>
      </c>
      <c r="F293" s="5" t="s">
        <v>2224</v>
      </c>
      <c r="G293" s="5" t="s">
        <v>2225</v>
      </c>
      <c r="H293" s="5" t="s">
        <v>1977</v>
      </c>
      <c r="I293" s="5" t="s">
        <v>1253</v>
      </c>
      <c r="J293" s="5" t="s">
        <v>1885</v>
      </c>
      <c r="K293" s="5" t="s">
        <v>73</v>
      </c>
      <c r="L293" s="5" t="s">
        <v>2226</v>
      </c>
      <c r="M293" s="5"/>
      <c r="N293" s="5" t="s">
        <v>2227</v>
      </c>
      <c r="O293" s="5" t="s">
        <v>45</v>
      </c>
    </row>
    <row r="294" customFormat="false" ht="23.85" hidden="false" customHeight="false" outlineLevel="0" collapsed="false">
      <c r="A294" s="5" t="s">
        <v>2228</v>
      </c>
      <c r="B294" s="5" t="s">
        <v>175</v>
      </c>
      <c r="C294" s="5" t="s">
        <v>291</v>
      </c>
      <c r="D294" s="5" t="s">
        <v>2222</v>
      </c>
      <c r="E294" s="5" t="s">
        <v>2223</v>
      </c>
      <c r="F294" s="5" t="s">
        <v>2224</v>
      </c>
      <c r="G294" s="5" t="s">
        <v>2229</v>
      </c>
      <c r="H294" s="5" t="s">
        <v>2230</v>
      </c>
      <c r="I294" s="5" t="s">
        <v>2231</v>
      </c>
      <c r="J294" s="5" t="s">
        <v>2232</v>
      </c>
      <c r="K294" s="5" t="s">
        <v>42</v>
      </c>
      <c r="L294" s="5" t="s">
        <v>2233</v>
      </c>
      <c r="M294" s="5"/>
      <c r="N294" s="5" t="s">
        <v>2234</v>
      </c>
      <c r="O294" s="5" t="s">
        <v>45</v>
      </c>
    </row>
    <row r="295" customFormat="false" ht="35.05" hidden="false" customHeight="false" outlineLevel="0" collapsed="false">
      <c r="A295" s="5" t="s">
        <v>2235</v>
      </c>
      <c r="B295" s="5" t="s">
        <v>175</v>
      </c>
      <c r="C295" s="5" t="s">
        <v>291</v>
      </c>
      <c r="D295" s="5" t="s">
        <v>2222</v>
      </c>
      <c r="E295" s="5" t="s">
        <v>2223</v>
      </c>
      <c r="F295" s="5" t="s">
        <v>2224</v>
      </c>
      <c r="G295" s="5" t="s">
        <v>2236</v>
      </c>
      <c r="H295" s="5" t="s">
        <v>2237</v>
      </c>
      <c r="I295" s="5" t="s">
        <v>2231</v>
      </c>
      <c r="J295" s="5" t="s">
        <v>2232</v>
      </c>
      <c r="K295" s="5" t="s">
        <v>97</v>
      </c>
      <c r="L295" s="5" t="s">
        <v>2238</v>
      </c>
      <c r="M295" s="5"/>
      <c r="N295" s="5" t="s">
        <v>2234</v>
      </c>
      <c r="O295" s="5" t="s">
        <v>45</v>
      </c>
    </row>
    <row r="296" customFormat="false" ht="23.85" hidden="false" customHeight="false" outlineLevel="0" collapsed="false">
      <c r="A296" s="5" t="s">
        <v>2239</v>
      </c>
      <c r="B296" s="5" t="s">
        <v>175</v>
      </c>
      <c r="C296" s="5" t="s">
        <v>291</v>
      </c>
      <c r="D296" s="5" t="s">
        <v>2240</v>
      </c>
      <c r="E296" s="5" t="s">
        <v>2241</v>
      </c>
      <c r="F296" s="5" t="s">
        <v>2242</v>
      </c>
      <c r="G296" s="5" t="s">
        <v>2243</v>
      </c>
      <c r="H296" s="5" t="s">
        <v>2244</v>
      </c>
      <c r="I296" s="5" t="s">
        <v>1701</v>
      </c>
      <c r="J296" s="5" t="s">
        <v>2245</v>
      </c>
      <c r="K296" s="5" t="s">
        <v>73</v>
      </c>
      <c r="L296" s="5" t="s">
        <v>2246</v>
      </c>
      <c r="M296" s="5"/>
      <c r="N296" s="5" t="s">
        <v>2227</v>
      </c>
      <c r="O296" s="5" t="s">
        <v>45</v>
      </c>
    </row>
    <row r="297" customFormat="false" ht="23.85" hidden="false" customHeight="false" outlineLevel="0" collapsed="false">
      <c r="A297" s="5" t="s">
        <v>2247</v>
      </c>
      <c r="B297" s="5" t="s">
        <v>175</v>
      </c>
      <c r="C297" s="5" t="s">
        <v>291</v>
      </c>
      <c r="D297" s="5" t="s">
        <v>2240</v>
      </c>
      <c r="E297" s="5" t="s">
        <v>2241</v>
      </c>
      <c r="F297" s="5" t="s">
        <v>2242</v>
      </c>
      <c r="G297" s="5" t="s">
        <v>2248</v>
      </c>
      <c r="H297" s="5" t="s">
        <v>2231</v>
      </c>
      <c r="I297" s="5" t="s">
        <v>2232</v>
      </c>
      <c r="J297" s="5" t="s">
        <v>2249</v>
      </c>
      <c r="K297" s="5" t="s">
        <v>73</v>
      </c>
      <c r="L297" s="5" t="s">
        <v>2250</v>
      </c>
      <c r="M297" s="5"/>
      <c r="N297" s="5" t="s">
        <v>2234</v>
      </c>
      <c r="O297" s="5" t="s">
        <v>45</v>
      </c>
    </row>
    <row r="298" customFormat="false" ht="35.05" hidden="false" customHeight="false" outlineLevel="0" collapsed="false">
      <c r="A298" s="5" t="s">
        <v>2251</v>
      </c>
      <c r="B298" s="5" t="s">
        <v>175</v>
      </c>
      <c r="C298" s="5" t="s">
        <v>291</v>
      </c>
      <c r="D298" s="5" t="s">
        <v>2240</v>
      </c>
      <c r="E298" s="5" t="s">
        <v>2241</v>
      </c>
      <c r="F298" s="5" t="s">
        <v>2242</v>
      </c>
      <c r="G298" s="5" t="s">
        <v>2252</v>
      </c>
      <c r="H298" s="5" t="s">
        <v>2253</v>
      </c>
      <c r="I298" s="5" t="s">
        <v>1384</v>
      </c>
      <c r="J298" s="5" t="s">
        <v>2254</v>
      </c>
      <c r="K298" s="5" t="s">
        <v>97</v>
      </c>
      <c r="L298" s="5" t="s">
        <v>2255</v>
      </c>
      <c r="M298" s="5"/>
      <c r="N298" s="5" t="s">
        <v>2227</v>
      </c>
      <c r="O298" s="5" t="s">
        <v>45</v>
      </c>
    </row>
    <row r="299" customFormat="false" ht="23.85" hidden="false" customHeight="false" outlineLevel="0" collapsed="false">
      <c r="A299" s="5" t="s">
        <v>2256</v>
      </c>
      <c r="B299" s="5" t="s">
        <v>175</v>
      </c>
      <c r="C299" s="5" t="s">
        <v>176</v>
      </c>
      <c r="D299" s="5" t="s">
        <v>2257</v>
      </c>
      <c r="E299" s="5" t="s">
        <v>2258</v>
      </c>
      <c r="F299" s="5" t="s">
        <v>2259</v>
      </c>
      <c r="G299" s="5" t="s">
        <v>2260</v>
      </c>
      <c r="H299" s="5" t="s">
        <v>1391</v>
      </c>
      <c r="I299" s="5" t="s">
        <v>2261</v>
      </c>
      <c r="J299" s="5" t="s">
        <v>2262</v>
      </c>
      <c r="K299" s="5" t="s">
        <v>42</v>
      </c>
      <c r="L299" s="5" t="s">
        <v>2263</v>
      </c>
      <c r="M299" s="5"/>
      <c r="N299" s="5" t="s">
        <v>1654</v>
      </c>
      <c r="O299" s="5" t="s">
        <v>45</v>
      </c>
    </row>
    <row r="300" customFormat="false" ht="23.85" hidden="false" customHeight="false" outlineLevel="0" collapsed="false">
      <c r="A300" s="5" t="s">
        <v>2264</v>
      </c>
      <c r="B300" s="5" t="s">
        <v>175</v>
      </c>
      <c r="C300" s="5" t="s">
        <v>176</v>
      </c>
      <c r="D300" s="5" t="s">
        <v>2257</v>
      </c>
      <c r="E300" s="5" t="s">
        <v>2258</v>
      </c>
      <c r="F300" s="5" t="s">
        <v>2259</v>
      </c>
      <c r="G300" s="5" t="s">
        <v>2265</v>
      </c>
      <c r="H300" s="5" t="s">
        <v>1652</v>
      </c>
      <c r="I300" s="5" t="s">
        <v>1685</v>
      </c>
      <c r="J300" s="5" t="s">
        <v>1650</v>
      </c>
      <c r="K300" s="5" t="s">
        <v>97</v>
      </c>
      <c r="L300" s="5" t="s">
        <v>2266</v>
      </c>
      <c r="M300" s="5"/>
      <c r="N300" s="5" t="s">
        <v>1654</v>
      </c>
      <c r="O300" s="5" t="s">
        <v>45</v>
      </c>
    </row>
    <row r="301" customFormat="false" ht="35.05" hidden="false" customHeight="false" outlineLevel="0" collapsed="false">
      <c r="A301" s="5" t="s">
        <v>2267</v>
      </c>
      <c r="B301" s="5" t="s">
        <v>175</v>
      </c>
      <c r="C301" s="5" t="s">
        <v>176</v>
      </c>
      <c r="D301" s="5" t="s">
        <v>2257</v>
      </c>
      <c r="E301" s="5" t="s">
        <v>2258</v>
      </c>
      <c r="F301" s="5" t="s">
        <v>2259</v>
      </c>
      <c r="G301" s="5" t="s">
        <v>2268</v>
      </c>
      <c r="H301" s="5" t="s">
        <v>2269</v>
      </c>
      <c r="I301" s="5" t="s">
        <v>2270</v>
      </c>
      <c r="J301" s="5" t="s">
        <v>2271</v>
      </c>
      <c r="K301" s="5" t="s">
        <v>42</v>
      </c>
      <c r="L301" s="5" t="s">
        <v>2272</v>
      </c>
      <c r="M301" s="5"/>
      <c r="N301" s="5" t="s">
        <v>2273</v>
      </c>
      <c r="O301" s="5" t="s">
        <v>45</v>
      </c>
    </row>
    <row r="302" customFormat="false" ht="23.85" hidden="false" customHeight="false" outlineLevel="0" collapsed="false">
      <c r="A302" s="5" t="s">
        <v>2274</v>
      </c>
      <c r="B302" s="5" t="s">
        <v>314</v>
      </c>
      <c r="C302" s="5" t="s">
        <v>2275</v>
      </c>
      <c r="D302" s="5" t="s">
        <v>2276</v>
      </c>
      <c r="E302" s="5" t="s">
        <v>2277</v>
      </c>
      <c r="F302" s="5" t="s">
        <v>2278</v>
      </c>
      <c r="G302" s="5" t="s">
        <v>2279</v>
      </c>
      <c r="H302" s="5" t="s">
        <v>2280</v>
      </c>
      <c r="I302" s="5" t="s">
        <v>2281</v>
      </c>
      <c r="J302" s="5" t="s">
        <v>2282</v>
      </c>
      <c r="K302" s="5" t="s">
        <v>42</v>
      </c>
      <c r="L302" s="5" t="s">
        <v>2283</v>
      </c>
      <c r="M302" s="5"/>
      <c r="N302" s="5" t="s">
        <v>2284</v>
      </c>
      <c r="O302" s="5" t="s">
        <v>45</v>
      </c>
    </row>
    <row r="303" customFormat="false" ht="23.85" hidden="false" customHeight="false" outlineLevel="0" collapsed="false">
      <c r="A303" s="5" t="s">
        <v>2285</v>
      </c>
      <c r="B303" s="5" t="s">
        <v>314</v>
      </c>
      <c r="C303" s="5" t="s">
        <v>2275</v>
      </c>
      <c r="D303" s="5" t="s">
        <v>2276</v>
      </c>
      <c r="E303" s="5" t="s">
        <v>2277</v>
      </c>
      <c r="F303" s="5" t="s">
        <v>2278</v>
      </c>
      <c r="G303" s="5" t="s">
        <v>2286</v>
      </c>
      <c r="H303" s="5" t="s">
        <v>2287</v>
      </c>
      <c r="I303" s="5" t="s">
        <v>2288</v>
      </c>
      <c r="J303" s="5" t="s">
        <v>1652</v>
      </c>
      <c r="K303" s="5" t="s">
        <v>42</v>
      </c>
      <c r="L303" s="5" t="s">
        <v>2289</v>
      </c>
      <c r="M303" s="5"/>
      <c r="N303" s="5" t="s">
        <v>2284</v>
      </c>
      <c r="O303" s="5" t="s">
        <v>45</v>
      </c>
    </row>
    <row r="304" customFormat="false" ht="23.85" hidden="false" customHeight="false" outlineLevel="0" collapsed="false">
      <c r="A304" s="5" t="s">
        <v>2290</v>
      </c>
      <c r="B304" s="5" t="s">
        <v>314</v>
      </c>
      <c r="C304" s="5" t="s">
        <v>2275</v>
      </c>
      <c r="D304" s="5" t="s">
        <v>2276</v>
      </c>
      <c r="E304" s="5" t="s">
        <v>2277</v>
      </c>
      <c r="F304" s="5" t="s">
        <v>2278</v>
      </c>
      <c r="G304" s="5" t="s">
        <v>2291</v>
      </c>
      <c r="H304" s="5" t="s">
        <v>2292</v>
      </c>
      <c r="I304" s="5" t="s">
        <v>488</v>
      </c>
      <c r="J304" s="5" t="s">
        <v>490</v>
      </c>
      <c r="K304" s="5" t="s">
        <v>73</v>
      </c>
      <c r="L304" s="5" t="s">
        <v>2293</v>
      </c>
      <c r="M304" s="5"/>
      <c r="N304" s="5" t="s">
        <v>2284</v>
      </c>
      <c r="O304" s="5" t="s">
        <v>45</v>
      </c>
    </row>
    <row r="305" customFormat="false" ht="46.25" hidden="false" customHeight="false" outlineLevel="0" collapsed="false">
      <c r="A305" s="5" t="s">
        <v>2294</v>
      </c>
      <c r="B305" s="5" t="s">
        <v>314</v>
      </c>
      <c r="C305" s="5" t="s">
        <v>2275</v>
      </c>
      <c r="D305" s="5" t="s">
        <v>2295</v>
      </c>
      <c r="E305" s="5" t="s">
        <v>2296</v>
      </c>
      <c r="F305" s="5" t="s">
        <v>2297</v>
      </c>
      <c r="G305" s="5" t="s">
        <v>2298</v>
      </c>
      <c r="H305" s="5" t="s">
        <v>2299</v>
      </c>
      <c r="I305" s="5" t="s">
        <v>2300</v>
      </c>
      <c r="J305" s="5" t="s">
        <v>2301</v>
      </c>
      <c r="K305" s="5" t="s">
        <v>97</v>
      </c>
      <c r="L305" s="5" t="s">
        <v>2302</v>
      </c>
      <c r="M305" s="5"/>
      <c r="N305" s="5" t="s">
        <v>2303</v>
      </c>
      <c r="O305" s="5" t="s">
        <v>45</v>
      </c>
    </row>
    <row r="306" customFormat="false" ht="23.85" hidden="false" customHeight="false" outlineLevel="0" collapsed="false">
      <c r="A306" s="5" t="s">
        <v>2304</v>
      </c>
      <c r="B306" s="5" t="s">
        <v>314</v>
      </c>
      <c r="C306" s="5" t="s">
        <v>2275</v>
      </c>
      <c r="D306" s="5" t="s">
        <v>2295</v>
      </c>
      <c r="E306" s="5" t="s">
        <v>2296</v>
      </c>
      <c r="F306" s="5" t="s">
        <v>2297</v>
      </c>
      <c r="G306" s="5" t="s">
        <v>2305</v>
      </c>
      <c r="H306" s="5" t="s">
        <v>2306</v>
      </c>
      <c r="I306" s="5" t="s">
        <v>2307</v>
      </c>
      <c r="J306" s="5" t="s">
        <v>2308</v>
      </c>
      <c r="K306" s="5" t="s">
        <v>42</v>
      </c>
      <c r="L306" s="5" t="s">
        <v>2309</v>
      </c>
      <c r="M306" s="5"/>
      <c r="N306" s="5" t="s">
        <v>2303</v>
      </c>
      <c r="O306" s="5" t="s">
        <v>45</v>
      </c>
    </row>
    <row r="307" customFormat="false" ht="23.85" hidden="false" customHeight="false" outlineLevel="0" collapsed="false">
      <c r="A307" s="5" t="s">
        <v>2310</v>
      </c>
      <c r="B307" s="5" t="s">
        <v>314</v>
      </c>
      <c r="C307" s="5" t="s">
        <v>2275</v>
      </c>
      <c r="D307" s="5" t="s">
        <v>2295</v>
      </c>
      <c r="E307" s="5" t="s">
        <v>2296</v>
      </c>
      <c r="F307" s="5" t="s">
        <v>2297</v>
      </c>
      <c r="G307" s="5" t="s">
        <v>2311</v>
      </c>
      <c r="H307" s="5" t="s">
        <v>2312</v>
      </c>
      <c r="I307" s="5" t="s">
        <v>1694</v>
      </c>
      <c r="J307" s="5" t="s">
        <v>980</v>
      </c>
      <c r="K307" s="5" t="s">
        <v>97</v>
      </c>
      <c r="L307" s="5" t="s">
        <v>2313</v>
      </c>
      <c r="M307" s="5"/>
      <c r="N307" s="5" t="s">
        <v>2314</v>
      </c>
      <c r="O307" s="5" t="s">
        <v>45</v>
      </c>
    </row>
    <row r="308" customFormat="false" ht="23.85" hidden="false" customHeight="false" outlineLevel="0" collapsed="false">
      <c r="A308" s="5" t="s">
        <v>2315</v>
      </c>
      <c r="B308" s="5" t="s">
        <v>314</v>
      </c>
      <c r="C308" s="5" t="s">
        <v>315</v>
      </c>
      <c r="D308" s="5" t="s">
        <v>2316</v>
      </c>
      <c r="E308" s="5" t="s">
        <v>2317</v>
      </c>
      <c r="F308" s="5" t="s">
        <v>2318</v>
      </c>
      <c r="G308" s="5" t="s">
        <v>2319</v>
      </c>
      <c r="H308" s="5" t="s">
        <v>2320</v>
      </c>
      <c r="I308" s="5" t="s">
        <v>2321</v>
      </c>
      <c r="J308" s="5" t="s">
        <v>2322</v>
      </c>
      <c r="K308" s="5" t="s">
        <v>73</v>
      </c>
      <c r="L308" s="5" t="s">
        <v>2323</v>
      </c>
      <c r="M308" s="5"/>
      <c r="N308" s="5" t="s">
        <v>2324</v>
      </c>
      <c r="O308" s="5" t="s">
        <v>45</v>
      </c>
    </row>
    <row r="309" customFormat="false" ht="23.85" hidden="false" customHeight="false" outlineLevel="0" collapsed="false">
      <c r="A309" s="5" t="s">
        <v>2325</v>
      </c>
      <c r="B309" s="5" t="s">
        <v>314</v>
      </c>
      <c r="C309" s="5" t="s">
        <v>315</v>
      </c>
      <c r="D309" s="5" t="s">
        <v>2316</v>
      </c>
      <c r="E309" s="5" t="s">
        <v>2317</v>
      </c>
      <c r="F309" s="5" t="s">
        <v>2318</v>
      </c>
      <c r="G309" s="5" t="s">
        <v>2326</v>
      </c>
      <c r="H309" s="5" t="s">
        <v>2327</v>
      </c>
      <c r="I309" s="5" t="s">
        <v>2328</v>
      </c>
      <c r="J309" s="5" t="s">
        <v>1955</v>
      </c>
      <c r="K309" s="5" t="s">
        <v>97</v>
      </c>
      <c r="L309" s="5" t="s">
        <v>2329</v>
      </c>
      <c r="M309" s="5"/>
      <c r="N309" s="5" t="s">
        <v>2330</v>
      </c>
      <c r="O309" s="5" t="s">
        <v>45</v>
      </c>
    </row>
    <row r="310" customFormat="false" ht="23.85" hidden="false" customHeight="false" outlineLevel="0" collapsed="false">
      <c r="A310" s="5" t="s">
        <v>2331</v>
      </c>
      <c r="B310" s="5" t="s">
        <v>314</v>
      </c>
      <c r="C310" s="5" t="s">
        <v>315</v>
      </c>
      <c r="D310" s="5" t="s">
        <v>2316</v>
      </c>
      <c r="E310" s="5" t="s">
        <v>2317</v>
      </c>
      <c r="F310" s="5" t="s">
        <v>2318</v>
      </c>
      <c r="G310" s="5" t="s">
        <v>2332</v>
      </c>
      <c r="H310" s="5" t="s">
        <v>2333</v>
      </c>
      <c r="I310" s="5" t="s">
        <v>1955</v>
      </c>
      <c r="J310" s="5" t="s">
        <v>2334</v>
      </c>
      <c r="K310" s="5" t="s">
        <v>42</v>
      </c>
      <c r="L310" s="5" t="s">
        <v>2335</v>
      </c>
      <c r="M310" s="5"/>
      <c r="N310" s="5" t="s">
        <v>2330</v>
      </c>
      <c r="O310" s="5" t="s">
        <v>45</v>
      </c>
    </row>
    <row r="311" customFormat="false" ht="35.05" hidden="false" customHeight="false" outlineLevel="0" collapsed="false">
      <c r="A311" s="5" t="s">
        <v>2336</v>
      </c>
      <c r="B311" s="5" t="s">
        <v>314</v>
      </c>
      <c r="C311" s="5" t="s">
        <v>315</v>
      </c>
      <c r="D311" s="5" t="s">
        <v>2337</v>
      </c>
      <c r="E311" s="5" t="s">
        <v>2338</v>
      </c>
      <c r="F311" s="5" t="s">
        <v>2339</v>
      </c>
      <c r="G311" s="5" t="s">
        <v>2340</v>
      </c>
      <c r="H311" s="5" t="s">
        <v>2341</v>
      </c>
      <c r="I311" s="5" t="s">
        <v>2342</v>
      </c>
      <c r="J311" s="5" t="s">
        <v>2343</v>
      </c>
      <c r="K311" s="5" t="s">
        <v>73</v>
      </c>
      <c r="L311" s="5" t="s">
        <v>2344</v>
      </c>
      <c r="M311" s="5"/>
      <c r="N311" s="5" t="s">
        <v>2345</v>
      </c>
      <c r="O311" s="5" t="s">
        <v>45</v>
      </c>
    </row>
    <row r="312" customFormat="false" ht="23.85" hidden="false" customHeight="false" outlineLevel="0" collapsed="false">
      <c r="A312" s="5" t="s">
        <v>2346</v>
      </c>
      <c r="B312" s="5" t="s">
        <v>314</v>
      </c>
      <c r="C312" s="5" t="s">
        <v>315</v>
      </c>
      <c r="D312" s="5" t="s">
        <v>2337</v>
      </c>
      <c r="E312" s="5" t="s">
        <v>2338</v>
      </c>
      <c r="F312" s="5" t="s">
        <v>2339</v>
      </c>
      <c r="G312" s="5" t="s">
        <v>2347</v>
      </c>
      <c r="H312" s="5" t="s">
        <v>2348</v>
      </c>
      <c r="I312" s="5" t="s">
        <v>2349</v>
      </c>
      <c r="J312" s="5" t="s">
        <v>2350</v>
      </c>
      <c r="K312" s="5" t="s">
        <v>73</v>
      </c>
      <c r="L312" s="5" t="s">
        <v>2351</v>
      </c>
      <c r="M312" s="5"/>
      <c r="N312" s="5" t="s">
        <v>2352</v>
      </c>
      <c r="O312" s="5" t="s">
        <v>45</v>
      </c>
    </row>
    <row r="313" customFormat="false" ht="23.85" hidden="false" customHeight="false" outlineLevel="0" collapsed="false">
      <c r="A313" s="5" t="s">
        <v>2353</v>
      </c>
      <c r="B313" s="5" t="s">
        <v>314</v>
      </c>
      <c r="C313" s="5" t="s">
        <v>315</v>
      </c>
      <c r="D313" s="5" t="s">
        <v>2337</v>
      </c>
      <c r="E313" s="5" t="s">
        <v>2338</v>
      </c>
      <c r="F313" s="5" t="s">
        <v>2339</v>
      </c>
      <c r="G313" s="5" t="s">
        <v>2354</v>
      </c>
      <c r="H313" s="5" t="s">
        <v>2355</v>
      </c>
      <c r="I313" s="5" t="s">
        <v>2356</v>
      </c>
      <c r="J313" s="5" t="s">
        <v>2357</v>
      </c>
      <c r="K313" s="5" t="s">
        <v>73</v>
      </c>
      <c r="L313" s="5" t="s">
        <v>2358</v>
      </c>
      <c r="M313" s="5"/>
      <c r="N313" s="5" t="s">
        <v>2352</v>
      </c>
      <c r="O313" s="5" t="s">
        <v>45</v>
      </c>
    </row>
    <row r="314" customFormat="false" ht="35.05" hidden="false" customHeight="false" outlineLevel="0" collapsed="false">
      <c r="A314" s="5" t="s">
        <v>2359</v>
      </c>
      <c r="B314" s="5" t="s">
        <v>314</v>
      </c>
      <c r="C314" s="5" t="s">
        <v>338</v>
      </c>
      <c r="D314" s="5" t="s">
        <v>2360</v>
      </c>
      <c r="E314" s="5" t="s">
        <v>2361</v>
      </c>
      <c r="F314" s="5" t="s">
        <v>2362</v>
      </c>
      <c r="G314" s="5" t="s">
        <v>2363</v>
      </c>
      <c r="H314" s="5" t="s">
        <v>1955</v>
      </c>
      <c r="I314" s="5" t="s">
        <v>2364</v>
      </c>
      <c r="J314" s="5" t="s">
        <v>2365</v>
      </c>
      <c r="K314" s="5" t="s">
        <v>73</v>
      </c>
      <c r="L314" s="5" t="s">
        <v>2335</v>
      </c>
      <c r="M314" s="5"/>
      <c r="N314" s="5" t="s">
        <v>2330</v>
      </c>
      <c r="O314" s="5" t="s">
        <v>45</v>
      </c>
    </row>
    <row r="315" customFormat="false" ht="35.05" hidden="false" customHeight="false" outlineLevel="0" collapsed="false">
      <c r="A315" s="5" t="s">
        <v>2366</v>
      </c>
      <c r="B315" s="5" t="s">
        <v>314</v>
      </c>
      <c r="C315" s="5" t="s">
        <v>338</v>
      </c>
      <c r="D315" s="5" t="s">
        <v>2360</v>
      </c>
      <c r="E315" s="5" t="s">
        <v>2361</v>
      </c>
      <c r="F315" s="5" t="s">
        <v>2362</v>
      </c>
      <c r="G315" s="5" t="s">
        <v>2367</v>
      </c>
      <c r="H315" s="5" t="s">
        <v>2368</v>
      </c>
      <c r="I315" s="5" t="s">
        <v>2369</v>
      </c>
      <c r="J315" s="5" t="s">
        <v>2370</v>
      </c>
      <c r="K315" s="5" t="s">
        <v>73</v>
      </c>
      <c r="L315" s="5" t="s">
        <v>2329</v>
      </c>
      <c r="M315" s="5"/>
      <c r="N315" s="5" t="s">
        <v>2330</v>
      </c>
      <c r="O315" s="5" t="s">
        <v>45</v>
      </c>
    </row>
    <row r="316" customFormat="false" ht="35.05" hidden="false" customHeight="false" outlineLevel="0" collapsed="false">
      <c r="A316" s="5" t="s">
        <v>2371</v>
      </c>
      <c r="B316" s="5" t="s">
        <v>314</v>
      </c>
      <c r="C316" s="5" t="s">
        <v>338</v>
      </c>
      <c r="D316" s="5" t="s">
        <v>2360</v>
      </c>
      <c r="E316" s="5" t="s">
        <v>2361</v>
      </c>
      <c r="F316" s="5" t="s">
        <v>2362</v>
      </c>
      <c r="G316" s="5" t="s">
        <v>2372</v>
      </c>
      <c r="H316" s="5" t="s">
        <v>2373</v>
      </c>
      <c r="I316" s="5" t="s">
        <v>2374</v>
      </c>
      <c r="J316" s="5" t="s">
        <v>1955</v>
      </c>
      <c r="K316" s="5" t="s">
        <v>97</v>
      </c>
      <c r="L316" s="5" t="s">
        <v>2335</v>
      </c>
      <c r="M316" s="5"/>
      <c r="N316" s="5" t="s">
        <v>2330</v>
      </c>
      <c r="O316" s="5" t="s">
        <v>45</v>
      </c>
    </row>
    <row r="317" customFormat="false" ht="35.05" hidden="false" customHeight="false" outlineLevel="0" collapsed="false">
      <c r="A317" s="5" t="s">
        <v>2375</v>
      </c>
      <c r="B317" s="5" t="s">
        <v>314</v>
      </c>
      <c r="C317" s="5" t="s">
        <v>338</v>
      </c>
      <c r="D317" s="5" t="s">
        <v>2376</v>
      </c>
      <c r="E317" s="5" t="s">
        <v>2377</v>
      </c>
      <c r="F317" s="5" t="s">
        <v>2378</v>
      </c>
      <c r="G317" s="5" t="s">
        <v>2379</v>
      </c>
      <c r="H317" s="5" t="s">
        <v>2380</v>
      </c>
      <c r="I317" s="5" t="s">
        <v>2381</v>
      </c>
      <c r="J317" s="5" t="s">
        <v>2382</v>
      </c>
      <c r="K317" s="5" t="s">
        <v>97</v>
      </c>
      <c r="L317" s="5" t="s">
        <v>2383</v>
      </c>
      <c r="M317" s="5"/>
      <c r="N317" s="5" t="s">
        <v>2384</v>
      </c>
      <c r="O317" s="5" t="s">
        <v>45</v>
      </c>
    </row>
    <row r="318" customFormat="false" ht="35.05" hidden="false" customHeight="false" outlineLevel="0" collapsed="false">
      <c r="A318" s="5" t="s">
        <v>2385</v>
      </c>
      <c r="B318" s="5" t="s">
        <v>314</v>
      </c>
      <c r="C318" s="5" t="s">
        <v>338</v>
      </c>
      <c r="D318" s="5" t="s">
        <v>2376</v>
      </c>
      <c r="E318" s="5" t="s">
        <v>2377</v>
      </c>
      <c r="F318" s="5" t="s">
        <v>2378</v>
      </c>
      <c r="G318" s="5" t="s">
        <v>2386</v>
      </c>
      <c r="H318" s="5" t="s">
        <v>2387</v>
      </c>
      <c r="I318" s="5" t="s">
        <v>2388</v>
      </c>
      <c r="J318" s="5" t="s">
        <v>2389</v>
      </c>
      <c r="K318" s="5" t="s">
        <v>73</v>
      </c>
      <c r="L318" s="5" t="s">
        <v>2390</v>
      </c>
      <c r="M318" s="5"/>
      <c r="N318" s="5" t="s">
        <v>2384</v>
      </c>
      <c r="O318" s="5" t="s">
        <v>45</v>
      </c>
    </row>
    <row r="319" customFormat="false" ht="46.25" hidden="false" customHeight="false" outlineLevel="0" collapsed="false">
      <c r="A319" s="5" t="s">
        <v>2391</v>
      </c>
      <c r="B319" s="5" t="s">
        <v>314</v>
      </c>
      <c r="C319" s="5" t="s">
        <v>338</v>
      </c>
      <c r="D319" s="5" t="s">
        <v>2376</v>
      </c>
      <c r="E319" s="5" t="s">
        <v>2377</v>
      </c>
      <c r="F319" s="5" t="s">
        <v>2378</v>
      </c>
      <c r="G319" s="5" t="s">
        <v>2392</v>
      </c>
      <c r="H319" s="5" t="s">
        <v>2393</v>
      </c>
      <c r="I319" s="5" t="s">
        <v>2394</v>
      </c>
      <c r="J319" s="5" t="s">
        <v>2395</v>
      </c>
      <c r="K319" s="5" t="s">
        <v>73</v>
      </c>
      <c r="L319" s="5" t="s">
        <v>2396</v>
      </c>
      <c r="M319" s="5"/>
      <c r="N319" s="5" t="s">
        <v>2384</v>
      </c>
      <c r="O319" s="5" t="s">
        <v>45</v>
      </c>
    </row>
    <row r="320" customFormat="false" ht="35.05" hidden="false" customHeight="false" outlineLevel="0" collapsed="false">
      <c r="A320" s="5" t="s">
        <v>2397</v>
      </c>
      <c r="B320" s="5" t="s">
        <v>314</v>
      </c>
      <c r="C320" s="5" t="s">
        <v>338</v>
      </c>
      <c r="D320" s="5" t="s">
        <v>2398</v>
      </c>
      <c r="E320" s="5" t="s">
        <v>2399</v>
      </c>
      <c r="F320" s="5" t="s">
        <v>2400</v>
      </c>
      <c r="G320" s="5" t="s">
        <v>2401</v>
      </c>
      <c r="H320" s="5" t="s">
        <v>2402</v>
      </c>
      <c r="I320" s="5" t="s">
        <v>2403</v>
      </c>
      <c r="J320" s="5" t="s">
        <v>2404</v>
      </c>
      <c r="K320" s="5" t="s">
        <v>97</v>
      </c>
      <c r="L320" s="5" t="s">
        <v>2405</v>
      </c>
      <c r="M320" s="5"/>
      <c r="N320" s="5" t="s">
        <v>2406</v>
      </c>
      <c r="O320" s="5" t="s">
        <v>45</v>
      </c>
    </row>
    <row r="321" customFormat="false" ht="35.05" hidden="false" customHeight="false" outlineLevel="0" collapsed="false">
      <c r="A321" s="5" t="s">
        <v>2407</v>
      </c>
      <c r="B321" s="5" t="s">
        <v>314</v>
      </c>
      <c r="C321" s="5" t="s">
        <v>338</v>
      </c>
      <c r="D321" s="5" t="s">
        <v>2398</v>
      </c>
      <c r="E321" s="5" t="s">
        <v>2399</v>
      </c>
      <c r="F321" s="5" t="s">
        <v>2400</v>
      </c>
      <c r="G321" s="5" t="s">
        <v>2408</v>
      </c>
      <c r="H321" s="5" t="s">
        <v>328</v>
      </c>
      <c r="I321" s="5" t="s">
        <v>2409</v>
      </c>
      <c r="J321" s="5" t="s">
        <v>1694</v>
      </c>
      <c r="K321" s="5" t="s">
        <v>73</v>
      </c>
      <c r="L321" s="5" t="s">
        <v>2410</v>
      </c>
      <c r="M321" s="5"/>
      <c r="N321" s="5" t="s">
        <v>2411</v>
      </c>
      <c r="O321" s="5" t="s">
        <v>45</v>
      </c>
    </row>
    <row r="322" customFormat="false" ht="35.05" hidden="false" customHeight="false" outlineLevel="0" collapsed="false">
      <c r="A322" s="5" t="s">
        <v>2412</v>
      </c>
      <c r="B322" s="5" t="s">
        <v>314</v>
      </c>
      <c r="C322" s="5" t="s">
        <v>338</v>
      </c>
      <c r="D322" s="5" t="s">
        <v>2398</v>
      </c>
      <c r="E322" s="5" t="s">
        <v>2399</v>
      </c>
      <c r="F322" s="5" t="s">
        <v>2400</v>
      </c>
      <c r="G322" s="5" t="s">
        <v>2413</v>
      </c>
      <c r="H322" s="5" t="s">
        <v>2414</v>
      </c>
      <c r="I322" s="5" t="s">
        <v>2415</v>
      </c>
      <c r="J322" s="5" t="s">
        <v>2416</v>
      </c>
      <c r="K322" s="5" t="s">
        <v>42</v>
      </c>
      <c r="L322" s="5" t="s">
        <v>2417</v>
      </c>
      <c r="M322" s="5"/>
      <c r="N322" s="5" t="s">
        <v>2418</v>
      </c>
      <c r="O322" s="5" t="s">
        <v>45</v>
      </c>
    </row>
    <row r="323" customFormat="false" ht="35.05" hidden="false" customHeight="false" outlineLevel="0" collapsed="false">
      <c r="A323" s="5" t="s">
        <v>2419</v>
      </c>
      <c r="B323" s="5" t="s">
        <v>314</v>
      </c>
      <c r="C323" s="5" t="s">
        <v>338</v>
      </c>
      <c r="D323" s="5" t="s">
        <v>2420</v>
      </c>
      <c r="E323" s="5" t="s">
        <v>2421</v>
      </c>
      <c r="F323" s="5" t="s">
        <v>2422</v>
      </c>
      <c r="G323" s="5" t="s">
        <v>2423</v>
      </c>
      <c r="H323" s="5" t="s">
        <v>677</v>
      </c>
      <c r="I323" s="5" t="s">
        <v>2424</v>
      </c>
      <c r="J323" s="5" t="s">
        <v>1885</v>
      </c>
      <c r="K323" s="5" t="s">
        <v>42</v>
      </c>
      <c r="L323" s="5" t="s">
        <v>2425</v>
      </c>
      <c r="M323" s="5"/>
      <c r="N323" s="5" t="s">
        <v>2426</v>
      </c>
      <c r="O323" s="5" t="s">
        <v>45</v>
      </c>
    </row>
    <row r="324" customFormat="false" ht="35.05" hidden="false" customHeight="false" outlineLevel="0" collapsed="false">
      <c r="A324" s="5" t="s">
        <v>2427</v>
      </c>
      <c r="B324" s="5" t="s">
        <v>314</v>
      </c>
      <c r="C324" s="5" t="s">
        <v>338</v>
      </c>
      <c r="D324" s="5" t="s">
        <v>2420</v>
      </c>
      <c r="E324" s="5" t="s">
        <v>2421</v>
      </c>
      <c r="F324" s="5" t="s">
        <v>2422</v>
      </c>
      <c r="G324" s="5" t="s">
        <v>2428</v>
      </c>
      <c r="H324" s="5" t="s">
        <v>2033</v>
      </c>
      <c r="I324" s="5" t="s">
        <v>2429</v>
      </c>
      <c r="J324" s="5" t="s">
        <v>2430</v>
      </c>
      <c r="K324" s="5" t="s">
        <v>42</v>
      </c>
      <c r="L324" s="5" t="s">
        <v>2431</v>
      </c>
      <c r="M324" s="5"/>
      <c r="N324" s="5" t="s">
        <v>2426</v>
      </c>
      <c r="O324" s="5" t="s">
        <v>45</v>
      </c>
    </row>
    <row r="325" customFormat="false" ht="35.05" hidden="false" customHeight="false" outlineLevel="0" collapsed="false">
      <c r="A325" s="5" t="s">
        <v>2432</v>
      </c>
      <c r="B325" s="5" t="s">
        <v>314</v>
      </c>
      <c r="C325" s="5" t="s">
        <v>338</v>
      </c>
      <c r="D325" s="5" t="s">
        <v>2420</v>
      </c>
      <c r="E325" s="5" t="s">
        <v>2421</v>
      </c>
      <c r="F325" s="5" t="s">
        <v>2422</v>
      </c>
      <c r="G325" s="5" t="s">
        <v>2433</v>
      </c>
      <c r="H325" s="5" t="s">
        <v>2434</v>
      </c>
      <c r="I325" s="5" t="s">
        <v>2435</v>
      </c>
      <c r="J325" s="5" t="s">
        <v>2436</v>
      </c>
      <c r="K325" s="5" t="s">
        <v>73</v>
      </c>
      <c r="L325" s="5" t="s">
        <v>2437</v>
      </c>
      <c r="M325" s="5"/>
      <c r="N325" s="5" t="s">
        <v>2438</v>
      </c>
      <c r="O325" s="5" t="s">
        <v>45</v>
      </c>
    </row>
    <row r="326" customFormat="false" ht="23.85" hidden="false" customHeight="false" outlineLevel="0" collapsed="false">
      <c r="A326" s="5" t="s">
        <v>2439</v>
      </c>
      <c r="B326" s="5" t="s">
        <v>314</v>
      </c>
      <c r="C326" s="5" t="s">
        <v>383</v>
      </c>
      <c r="D326" s="5" t="s">
        <v>2440</v>
      </c>
      <c r="E326" s="5" t="s">
        <v>2441</v>
      </c>
      <c r="F326" s="5" t="s">
        <v>2442</v>
      </c>
      <c r="G326" s="5" t="s">
        <v>2443</v>
      </c>
      <c r="H326" s="5" t="s">
        <v>2444</v>
      </c>
      <c r="I326" s="5" t="s">
        <v>2445</v>
      </c>
      <c r="J326" s="5" t="s">
        <v>2446</v>
      </c>
      <c r="K326" s="5" t="s">
        <v>42</v>
      </c>
      <c r="L326" s="5" t="s">
        <v>2447</v>
      </c>
      <c r="M326" s="5"/>
      <c r="N326" s="5" t="s">
        <v>2448</v>
      </c>
      <c r="O326" s="5" t="s">
        <v>45</v>
      </c>
    </row>
    <row r="327" customFormat="false" ht="35.05" hidden="false" customHeight="false" outlineLevel="0" collapsed="false">
      <c r="A327" s="5" t="s">
        <v>2449</v>
      </c>
      <c r="B327" s="5" t="s">
        <v>314</v>
      </c>
      <c r="C327" s="5" t="s">
        <v>383</v>
      </c>
      <c r="D327" s="5" t="s">
        <v>2440</v>
      </c>
      <c r="E327" s="5" t="s">
        <v>2441</v>
      </c>
      <c r="F327" s="5" t="s">
        <v>2442</v>
      </c>
      <c r="G327" s="5" t="s">
        <v>2450</v>
      </c>
      <c r="H327" s="5" t="s">
        <v>2451</v>
      </c>
      <c r="I327" s="5" t="s">
        <v>2452</v>
      </c>
      <c r="J327" s="5" t="s">
        <v>2453</v>
      </c>
      <c r="K327" s="5" t="s">
        <v>73</v>
      </c>
      <c r="L327" s="5" t="s">
        <v>2454</v>
      </c>
      <c r="M327" s="5"/>
      <c r="N327" s="5" t="s">
        <v>2448</v>
      </c>
      <c r="O327" s="5" t="s">
        <v>45</v>
      </c>
    </row>
    <row r="328" customFormat="false" ht="23.85" hidden="false" customHeight="false" outlineLevel="0" collapsed="false">
      <c r="A328" s="5" t="s">
        <v>2455</v>
      </c>
      <c r="B328" s="5" t="s">
        <v>314</v>
      </c>
      <c r="C328" s="5" t="s">
        <v>383</v>
      </c>
      <c r="D328" s="5" t="s">
        <v>2440</v>
      </c>
      <c r="E328" s="5" t="s">
        <v>2441</v>
      </c>
      <c r="F328" s="5" t="s">
        <v>2442</v>
      </c>
      <c r="G328" s="5" t="s">
        <v>2456</v>
      </c>
      <c r="H328" s="5" t="s">
        <v>2457</v>
      </c>
      <c r="I328" s="5" t="s">
        <v>482</v>
      </c>
      <c r="J328" s="5" t="s">
        <v>1694</v>
      </c>
      <c r="K328" s="5" t="s">
        <v>73</v>
      </c>
      <c r="L328" s="5" t="s">
        <v>2458</v>
      </c>
      <c r="M328" s="5"/>
      <c r="N328" s="5" t="s">
        <v>2459</v>
      </c>
      <c r="O328" s="5" t="s">
        <v>45</v>
      </c>
    </row>
    <row r="329" customFormat="false" ht="35.05" hidden="false" customHeight="false" outlineLevel="0" collapsed="false">
      <c r="A329" s="5" t="s">
        <v>2460</v>
      </c>
      <c r="B329" s="5" t="s">
        <v>314</v>
      </c>
      <c r="C329" s="5" t="s">
        <v>383</v>
      </c>
      <c r="D329" s="5" t="s">
        <v>2461</v>
      </c>
      <c r="E329" s="5" t="s">
        <v>2462</v>
      </c>
      <c r="F329" s="5" t="s">
        <v>2463</v>
      </c>
      <c r="G329" s="5" t="s">
        <v>2464</v>
      </c>
      <c r="H329" s="5" t="s">
        <v>2465</v>
      </c>
      <c r="I329" s="5" t="s">
        <v>2466</v>
      </c>
      <c r="J329" s="5" t="s">
        <v>2467</v>
      </c>
      <c r="K329" s="5" t="s">
        <v>73</v>
      </c>
      <c r="L329" s="5" t="s">
        <v>2468</v>
      </c>
      <c r="M329" s="5"/>
      <c r="N329" s="5" t="s">
        <v>2469</v>
      </c>
      <c r="O329" s="5" t="s">
        <v>45</v>
      </c>
    </row>
    <row r="330" customFormat="false" ht="23.85" hidden="false" customHeight="false" outlineLevel="0" collapsed="false">
      <c r="A330" s="5" t="s">
        <v>2470</v>
      </c>
      <c r="B330" s="5" t="s">
        <v>314</v>
      </c>
      <c r="C330" s="5" t="s">
        <v>383</v>
      </c>
      <c r="D330" s="5" t="s">
        <v>2461</v>
      </c>
      <c r="E330" s="5" t="s">
        <v>2462</v>
      </c>
      <c r="F330" s="5" t="s">
        <v>2463</v>
      </c>
      <c r="G330" s="5" t="s">
        <v>2471</v>
      </c>
      <c r="H330" s="5" t="s">
        <v>2472</v>
      </c>
      <c r="I330" s="5" t="s">
        <v>2473</v>
      </c>
      <c r="J330" s="5" t="s">
        <v>2474</v>
      </c>
      <c r="K330" s="5" t="s">
        <v>42</v>
      </c>
      <c r="L330" s="5" t="s">
        <v>2475</v>
      </c>
      <c r="M330" s="5"/>
      <c r="N330" s="5" t="s">
        <v>2476</v>
      </c>
      <c r="O330" s="5" t="s">
        <v>45</v>
      </c>
    </row>
    <row r="331" customFormat="false" ht="23.85" hidden="false" customHeight="false" outlineLevel="0" collapsed="false">
      <c r="A331" s="5" t="s">
        <v>2477</v>
      </c>
      <c r="B331" s="5" t="s">
        <v>314</v>
      </c>
      <c r="C331" s="5" t="s">
        <v>383</v>
      </c>
      <c r="D331" s="5" t="s">
        <v>2461</v>
      </c>
      <c r="E331" s="5" t="s">
        <v>2462</v>
      </c>
      <c r="F331" s="5" t="s">
        <v>2463</v>
      </c>
      <c r="G331" s="5" t="s">
        <v>2478</v>
      </c>
      <c r="H331" s="5" t="s">
        <v>2479</v>
      </c>
      <c r="I331" s="5" t="s">
        <v>2480</v>
      </c>
      <c r="J331" s="5" t="s">
        <v>2481</v>
      </c>
      <c r="K331" s="5" t="s">
        <v>97</v>
      </c>
      <c r="L331" s="5" t="s">
        <v>2482</v>
      </c>
      <c r="M331" s="5"/>
      <c r="N331" s="5" t="s">
        <v>2469</v>
      </c>
      <c r="O331" s="5" t="s">
        <v>45</v>
      </c>
    </row>
    <row r="332" customFormat="false" ht="35.05" hidden="false" customHeight="false" outlineLevel="0" collapsed="false">
      <c r="A332" s="5" t="s">
        <v>2483</v>
      </c>
      <c r="B332" s="5" t="s">
        <v>314</v>
      </c>
      <c r="C332" s="5" t="s">
        <v>338</v>
      </c>
      <c r="D332" s="5" t="s">
        <v>2484</v>
      </c>
      <c r="E332" s="5" t="s">
        <v>2485</v>
      </c>
      <c r="F332" s="5" t="s">
        <v>2486</v>
      </c>
      <c r="G332" s="5" t="s">
        <v>2487</v>
      </c>
      <c r="H332" s="5" t="s">
        <v>2488</v>
      </c>
      <c r="I332" s="5" t="s">
        <v>2489</v>
      </c>
      <c r="J332" s="5" t="s">
        <v>2490</v>
      </c>
      <c r="K332" s="5" t="s">
        <v>73</v>
      </c>
      <c r="L332" s="5" t="s">
        <v>2491</v>
      </c>
      <c r="M332" s="5"/>
      <c r="N332" s="5" t="s">
        <v>2492</v>
      </c>
      <c r="O332" s="5" t="s">
        <v>45</v>
      </c>
    </row>
    <row r="333" customFormat="false" ht="35.05" hidden="false" customHeight="false" outlineLevel="0" collapsed="false">
      <c r="A333" s="5" t="s">
        <v>2493</v>
      </c>
      <c r="B333" s="5" t="s">
        <v>314</v>
      </c>
      <c r="C333" s="5" t="s">
        <v>338</v>
      </c>
      <c r="D333" s="5" t="s">
        <v>2484</v>
      </c>
      <c r="E333" s="5" t="s">
        <v>2485</v>
      </c>
      <c r="F333" s="5" t="s">
        <v>2486</v>
      </c>
      <c r="G333" s="5" t="s">
        <v>2494</v>
      </c>
      <c r="H333" s="5" t="s">
        <v>2495</v>
      </c>
      <c r="I333" s="5" t="s">
        <v>2496</v>
      </c>
      <c r="J333" s="5" t="s">
        <v>2497</v>
      </c>
      <c r="K333" s="5" t="s">
        <v>42</v>
      </c>
      <c r="L333" s="5" t="s">
        <v>2498</v>
      </c>
      <c r="M333" s="5"/>
      <c r="N333" s="5" t="s">
        <v>2499</v>
      </c>
      <c r="O333" s="5" t="s">
        <v>45</v>
      </c>
    </row>
    <row r="334" customFormat="false" ht="35.05" hidden="false" customHeight="false" outlineLevel="0" collapsed="false">
      <c r="A334" s="5" t="s">
        <v>2500</v>
      </c>
      <c r="B334" s="5" t="s">
        <v>314</v>
      </c>
      <c r="C334" s="5" t="s">
        <v>338</v>
      </c>
      <c r="D334" s="5" t="s">
        <v>2484</v>
      </c>
      <c r="E334" s="5" t="s">
        <v>2485</v>
      </c>
      <c r="F334" s="5" t="s">
        <v>2486</v>
      </c>
      <c r="G334" s="5" t="s">
        <v>2501</v>
      </c>
      <c r="H334" s="5" t="s">
        <v>2502</v>
      </c>
      <c r="I334" s="5" t="s">
        <v>2503</v>
      </c>
      <c r="J334" s="5" t="s">
        <v>2504</v>
      </c>
      <c r="K334" s="5" t="s">
        <v>42</v>
      </c>
      <c r="L334" s="5" t="s">
        <v>2505</v>
      </c>
      <c r="M334" s="5"/>
      <c r="N334" s="5" t="s">
        <v>2506</v>
      </c>
      <c r="O334" s="5" t="s">
        <v>45</v>
      </c>
    </row>
    <row r="335" customFormat="false" ht="35.05" hidden="false" customHeight="false" outlineLevel="0" collapsed="false">
      <c r="A335" s="5" t="s">
        <v>2507</v>
      </c>
      <c r="B335" s="5" t="s">
        <v>314</v>
      </c>
      <c r="C335" s="5" t="s">
        <v>338</v>
      </c>
      <c r="D335" s="5" t="s">
        <v>2508</v>
      </c>
      <c r="E335" s="5" t="s">
        <v>2509</v>
      </c>
      <c r="F335" s="5" t="s">
        <v>2510</v>
      </c>
      <c r="G335" s="5" t="s">
        <v>2511</v>
      </c>
      <c r="H335" s="5" t="s">
        <v>2512</v>
      </c>
      <c r="I335" s="5" t="s">
        <v>2513</v>
      </c>
      <c r="J335" s="5" t="s">
        <v>2514</v>
      </c>
      <c r="K335" s="5" t="s">
        <v>97</v>
      </c>
      <c r="L335" s="5" t="s">
        <v>2515</v>
      </c>
      <c r="M335" s="5"/>
      <c r="N335" s="5" t="s">
        <v>2516</v>
      </c>
      <c r="O335" s="5" t="s">
        <v>45</v>
      </c>
    </row>
    <row r="336" customFormat="false" ht="35.05" hidden="false" customHeight="false" outlineLevel="0" collapsed="false">
      <c r="A336" s="5" t="s">
        <v>2517</v>
      </c>
      <c r="B336" s="5" t="s">
        <v>314</v>
      </c>
      <c r="C336" s="5" t="s">
        <v>338</v>
      </c>
      <c r="D336" s="5" t="s">
        <v>2508</v>
      </c>
      <c r="E336" s="5" t="s">
        <v>2509</v>
      </c>
      <c r="F336" s="5" t="s">
        <v>2510</v>
      </c>
      <c r="G336" s="5" t="s">
        <v>2518</v>
      </c>
      <c r="H336" s="5" t="s">
        <v>2519</v>
      </c>
      <c r="I336" s="5" t="s">
        <v>2520</v>
      </c>
      <c r="J336" s="5" t="s">
        <v>2521</v>
      </c>
      <c r="K336" s="5" t="s">
        <v>97</v>
      </c>
      <c r="L336" s="5" t="s">
        <v>2522</v>
      </c>
      <c r="M336" s="5"/>
      <c r="N336" s="5" t="s">
        <v>2523</v>
      </c>
      <c r="O336" s="5" t="s">
        <v>45</v>
      </c>
    </row>
    <row r="337" customFormat="false" ht="35.05" hidden="false" customHeight="false" outlineLevel="0" collapsed="false">
      <c r="A337" s="5" t="s">
        <v>2524</v>
      </c>
      <c r="B337" s="5" t="s">
        <v>314</v>
      </c>
      <c r="C337" s="5" t="s">
        <v>338</v>
      </c>
      <c r="D337" s="5" t="s">
        <v>2508</v>
      </c>
      <c r="E337" s="5" t="s">
        <v>2509</v>
      </c>
      <c r="F337" s="5" t="s">
        <v>2510</v>
      </c>
      <c r="G337" s="5" t="s">
        <v>2525</v>
      </c>
      <c r="H337" s="5" t="s">
        <v>2526</v>
      </c>
      <c r="I337" s="5" t="s">
        <v>2527</v>
      </c>
      <c r="J337" s="5" t="s">
        <v>2528</v>
      </c>
      <c r="K337" s="5" t="s">
        <v>42</v>
      </c>
      <c r="L337" s="5" t="s">
        <v>2529</v>
      </c>
      <c r="M337" s="5"/>
      <c r="N337" s="5" t="s">
        <v>2492</v>
      </c>
      <c r="O337" s="5" t="s">
        <v>45</v>
      </c>
    </row>
    <row r="338" customFormat="false" ht="35.05" hidden="false" customHeight="false" outlineLevel="0" collapsed="false">
      <c r="A338" s="5" t="s">
        <v>2530</v>
      </c>
      <c r="B338" s="5" t="s">
        <v>314</v>
      </c>
      <c r="C338" s="5" t="s">
        <v>338</v>
      </c>
      <c r="D338" s="5" t="s">
        <v>2531</v>
      </c>
      <c r="E338" s="5" t="s">
        <v>2532</v>
      </c>
      <c r="F338" s="5" t="s">
        <v>2533</v>
      </c>
      <c r="G338" s="5" t="s">
        <v>2534</v>
      </c>
      <c r="H338" s="5" t="s">
        <v>2535</v>
      </c>
      <c r="I338" s="5" t="s">
        <v>2536</v>
      </c>
      <c r="J338" s="5" t="s">
        <v>677</v>
      </c>
      <c r="K338" s="5" t="s">
        <v>42</v>
      </c>
      <c r="L338" s="5" t="s">
        <v>2537</v>
      </c>
      <c r="M338" s="5"/>
      <c r="N338" s="5" t="s">
        <v>2538</v>
      </c>
      <c r="O338" s="5" t="s">
        <v>45</v>
      </c>
    </row>
    <row r="339" customFormat="false" ht="35.05" hidden="false" customHeight="false" outlineLevel="0" collapsed="false">
      <c r="A339" s="5" t="s">
        <v>2539</v>
      </c>
      <c r="B339" s="5" t="s">
        <v>314</v>
      </c>
      <c r="C339" s="5" t="s">
        <v>338</v>
      </c>
      <c r="D339" s="5" t="s">
        <v>2531</v>
      </c>
      <c r="E339" s="5" t="s">
        <v>2532</v>
      </c>
      <c r="F339" s="5" t="s">
        <v>2533</v>
      </c>
      <c r="G339" s="5" t="s">
        <v>2540</v>
      </c>
      <c r="H339" s="5" t="s">
        <v>2535</v>
      </c>
      <c r="I339" s="5" t="s">
        <v>506</v>
      </c>
      <c r="J339" s="5" t="s">
        <v>2541</v>
      </c>
      <c r="K339" s="5" t="s">
        <v>73</v>
      </c>
      <c r="L339" s="5" t="s">
        <v>2542</v>
      </c>
      <c r="M339" s="5"/>
      <c r="N339" s="5" t="s">
        <v>2538</v>
      </c>
      <c r="O339" s="5" t="s">
        <v>45</v>
      </c>
    </row>
    <row r="340" customFormat="false" ht="35.05" hidden="false" customHeight="false" outlineLevel="0" collapsed="false">
      <c r="A340" s="5" t="s">
        <v>2543</v>
      </c>
      <c r="B340" s="5" t="s">
        <v>314</v>
      </c>
      <c r="C340" s="5" t="s">
        <v>338</v>
      </c>
      <c r="D340" s="5" t="s">
        <v>2531</v>
      </c>
      <c r="E340" s="5" t="s">
        <v>2532</v>
      </c>
      <c r="F340" s="5" t="s">
        <v>2533</v>
      </c>
      <c r="G340" s="5" t="s">
        <v>2544</v>
      </c>
      <c r="H340" s="5" t="s">
        <v>2545</v>
      </c>
      <c r="I340" s="5" t="s">
        <v>2546</v>
      </c>
      <c r="J340" s="5" t="s">
        <v>2547</v>
      </c>
      <c r="K340" s="5" t="s">
        <v>97</v>
      </c>
      <c r="L340" s="5" t="s">
        <v>2548</v>
      </c>
      <c r="M340" s="5"/>
      <c r="N340" s="5" t="s">
        <v>2549</v>
      </c>
      <c r="O340" s="5" t="s">
        <v>45</v>
      </c>
    </row>
    <row r="341" customFormat="false" ht="35.05" hidden="false" customHeight="false" outlineLevel="0" collapsed="false">
      <c r="A341" s="5" t="s">
        <v>2550</v>
      </c>
      <c r="B341" s="5" t="s">
        <v>314</v>
      </c>
      <c r="C341" s="5" t="s">
        <v>338</v>
      </c>
      <c r="D341" s="5" t="s">
        <v>2551</v>
      </c>
      <c r="E341" s="5" t="s">
        <v>2552</v>
      </c>
      <c r="F341" s="5" t="s">
        <v>2553</v>
      </c>
      <c r="G341" s="5" t="s">
        <v>2554</v>
      </c>
      <c r="H341" s="5" t="s">
        <v>2555</v>
      </c>
      <c r="I341" s="5" t="s">
        <v>2556</v>
      </c>
      <c r="J341" s="5" t="s">
        <v>2557</v>
      </c>
      <c r="K341" s="5" t="s">
        <v>73</v>
      </c>
      <c r="L341" s="5" t="s">
        <v>2558</v>
      </c>
      <c r="M341" s="5"/>
      <c r="N341" s="5" t="s">
        <v>2559</v>
      </c>
      <c r="O341" s="5" t="s">
        <v>45</v>
      </c>
    </row>
    <row r="342" customFormat="false" ht="35.05" hidden="false" customHeight="false" outlineLevel="0" collapsed="false">
      <c r="A342" s="5" t="s">
        <v>2560</v>
      </c>
      <c r="B342" s="5" t="s">
        <v>314</v>
      </c>
      <c r="C342" s="5" t="s">
        <v>338</v>
      </c>
      <c r="D342" s="5" t="s">
        <v>2551</v>
      </c>
      <c r="E342" s="5" t="s">
        <v>2552</v>
      </c>
      <c r="F342" s="5" t="s">
        <v>2553</v>
      </c>
      <c r="G342" s="5" t="s">
        <v>2561</v>
      </c>
      <c r="H342" s="5" t="s">
        <v>2562</v>
      </c>
      <c r="I342" s="5" t="s">
        <v>2563</v>
      </c>
      <c r="J342" s="5" t="s">
        <v>2564</v>
      </c>
      <c r="K342" s="5" t="s">
        <v>42</v>
      </c>
      <c r="L342" s="5" t="s">
        <v>2565</v>
      </c>
      <c r="M342" s="5"/>
      <c r="N342" s="5" t="s">
        <v>2559</v>
      </c>
      <c r="O342" s="5" t="s">
        <v>45</v>
      </c>
    </row>
    <row r="343" customFormat="false" ht="35.05" hidden="false" customHeight="false" outlineLevel="0" collapsed="false">
      <c r="A343" s="5" t="s">
        <v>2566</v>
      </c>
      <c r="B343" s="5" t="s">
        <v>314</v>
      </c>
      <c r="C343" s="5" t="s">
        <v>338</v>
      </c>
      <c r="D343" s="5" t="s">
        <v>2551</v>
      </c>
      <c r="E343" s="5" t="s">
        <v>2552</v>
      </c>
      <c r="F343" s="5" t="s">
        <v>2553</v>
      </c>
      <c r="G343" s="5" t="s">
        <v>2567</v>
      </c>
      <c r="H343" s="5" t="s">
        <v>2568</v>
      </c>
      <c r="I343" s="5" t="s">
        <v>2569</v>
      </c>
      <c r="J343" s="5" t="s">
        <v>2570</v>
      </c>
      <c r="K343" s="5" t="s">
        <v>97</v>
      </c>
      <c r="L343" s="5" t="s">
        <v>2571</v>
      </c>
      <c r="M343" s="5"/>
      <c r="N343" s="5" t="s">
        <v>2559</v>
      </c>
      <c r="O343" s="5" t="s">
        <v>45</v>
      </c>
    </row>
    <row r="344" customFormat="false" ht="35.05" hidden="false" customHeight="false" outlineLevel="0" collapsed="false">
      <c r="A344" s="5" t="s">
        <v>2572</v>
      </c>
      <c r="B344" s="5" t="s">
        <v>314</v>
      </c>
      <c r="C344" s="5" t="s">
        <v>338</v>
      </c>
      <c r="D344" s="5" t="s">
        <v>2573</v>
      </c>
      <c r="E344" s="5" t="s">
        <v>2574</v>
      </c>
      <c r="F344" s="5" t="s">
        <v>2575</v>
      </c>
      <c r="G344" s="5" t="s">
        <v>2576</v>
      </c>
      <c r="H344" s="5" t="s">
        <v>2562</v>
      </c>
      <c r="I344" s="5" t="s">
        <v>2577</v>
      </c>
      <c r="J344" s="5" t="s">
        <v>2578</v>
      </c>
      <c r="K344" s="5" t="s">
        <v>42</v>
      </c>
      <c r="L344" s="5" t="s">
        <v>2579</v>
      </c>
      <c r="M344" s="5"/>
      <c r="N344" s="5" t="s">
        <v>2559</v>
      </c>
      <c r="O344" s="5" t="s">
        <v>45</v>
      </c>
    </row>
    <row r="345" customFormat="false" ht="35.05" hidden="false" customHeight="false" outlineLevel="0" collapsed="false">
      <c r="A345" s="5" t="s">
        <v>2580</v>
      </c>
      <c r="B345" s="5" t="s">
        <v>314</v>
      </c>
      <c r="C345" s="5" t="s">
        <v>338</v>
      </c>
      <c r="D345" s="5" t="s">
        <v>2573</v>
      </c>
      <c r="E345" s="5" t="s">
        <v>2574</v>
      </c>
      <c r="F345" s="5" t="s">
        <v>2575</v>
      </c>
      <c r="G345" s="5" t="s">
        <v>2581</v>
      </c>
      <c r="H345" s="5" t="s">
        <v>2562</v>
      </c>
      <c r="I345" s="5" t="s">
        <v>2582</v>
      </c>
      <c r="J345" s="5" t="s">
        <v>2563</v>
      </c>
      <c r="K345" s="5" t="s">
        <v>97</v>
      </c>
      <c r="L345" s="5" t="s">
        <v>2583</v>
      </c>
      <c r="M345" s="5"/>
      <c r="N345" s="5" t="s">
        <v>2559</v>
      </c>
      <c r="O345" s="5" t="s">
        <v>45</v>
      </c>
    </row>
    <row r="346" customFormat="false" ht="35.05" hidden="false" customHeight="false" outlineLevel="0" collapsed="false">
      <c r="A346" s="5" t="s">
        <v>2584</v>
      </c>
      <c r="B346" s="5" t="s">
        <v>314</v>
      </c>
      <c r="C346" s="5" t="s">
        <v>338</v>
      </c>
      <c r="D346" s="5" t="s">
        <v>2573</v>
      </c>
      <c r="E346" s="5" t="s">
        <v>2574</v>
      </c>
      <c r="F346" s="5" t="s">
        <v>2575</v>
      </c>
      <c r="G346" s="5" t="s">
        <v>2585</v>
      </c>
      <c r="H346" s="5" t="s">
        <v>2586</v>
      </c>
      <c r="I346" s="5" t="s">
        <v>2587</v>
      </c>
      <c r="J346" s="5" t="s">
        <v>2588</v>
      </c>
      <c r="K346" s="5" t="s">
        <v>42</v>
      </c>
      <c r="L346" s="5" t="s">
        <v>2589</v>
      </c>
      <c r="M346" s="5"/>
      <c r="N346" s="5" t="s">
        <v>2590</v>
      </c>
      <c r="O346" s="5" t="s">
        <v>45</v>
      </c>
    </row>
    <row r="347" customFormat="false" ht="35.05" hidden="false" customHeight="false" outlineLevel="0" collapsed="false">
      <c r="A347" s="5" t="s">
        <v>2591</v>
      </c>
      <c r="B347" s="5" t="s">
        <v>314</v>
      </c>
      <c r="C347" s="5" t="s">
        <v>338</v>
      </c>
      <c r="D347" s="5" t="s">
        <v>2592</v>
      </c>
      <c r="E347" s="5" t="s">
        <v>2593</v>
      </c>
      <c r="F347" s="5" t="s">
        <v>2594</v>
      </c>
      <c r="G347" s="5" t="s">
        <v>2595</v>
      </c>
      <c r="H347" s="5" t="s">
        <v>2596</v>
      </c>
      <c r="I347" s="5" t="s">
        <v>2597</v>
      </c>
      <c r="J347" s="5" t="s">
        <v>2598</v>
      </c>
      <c r="K347" s="5" t="s">
        <v>73</v>
      </c>
      <c r="L347" s="5" t="s">
        <v>2599</v>
      </c>
      <c r="M347" s="5"/>
      <c r="N347" s="5" t="s">
        <v>2314</v>
      </c>
      <c r="O347" s="5" t="s">
        <v>45</v>
      </c>
    </row>
    <row r="348" customFormat="false" ht="35.05" hidden="false" customHeight="false" outlineLevel="0" collapsed="false">
      <c r="A348" s="5" t="s">
        <v>2600</v>
      </c>
      <c r="B348" s="5" t="s">
        <v>314</v>
      </c>
      <c r="C348" s="5" t="s">
        <v>338</v>
      </c>
      <c r="D348" s="5" t="s">
        <v>2592</v>
      </c>
      <c r="E348" s="5" t="s">
        <v>2593</v>
      </c>
      <c r="F348" s="5" t="s">
        <v>2594</v>
      </c>
      <c r="G348" s="5" t="s">
        <v>2601</v>
      </c>
      <c r="H348" s="5" t="s">
        <v>2577</v>
      </c>
      <c r="I348" s="5" t="s">
        <v>2602</v>
      </c>
      <c r="J348" s="5" t="s">
        <v>2562</v>
      </c>
      <c r="K348" s="5" t="s">
        <v>97</v>
      </c>
      <c r="L348" s="5" t="s">
        <v>2603</v>
      </c>
      <c r="M348" s="5"/>
      <c r="N348" s="5" t="s">
        <v>2559</v>
      </c>
      <c r="O348" s="5" t="s">
        <v>45</v>
      </c>
    </row>
    <row r="349" customFormat="false" ht="35.05" hidden="false" customHeight="false" outlineLevel="0" collapsed="false">
      <c r="A349" s="5" t="s">
        <v>2604</v>
      </c>
      <c r="B349" s="5" t="s">
        <v>314</v>
      </c>
      <c r="C349" s="5" t="s">
        <v>338</v>
      </c>
      <c r="D349" s="5" t="s">
        <v>2592</v>
      </c>
      <c r="E349" s="5" t="s">
        <v>2593</v>
      </c>
      <c r="F349" s="5" t="s">
        <v>2594</v>
      </c>
      <c r="G349" s="5" t="s">
        <v>2605</v>
      </c>
      <c r="H349" s="5" t="s">
        <v>2606</v>
      </c>
      <c r="I349" s="5" t="s">
        <v>2607</v>
      </c>
      <c r="J349" s="5" t="s">
        <v>2608</v>
      </c>
      <c r="K349" s="5" t="s">
        <v>73</v>
      </c>
      <c r="L349" s="5" t="s">
        <v>2609</v>
      </c>
      <c r="M349" s="5"/>
      <c r="N349" s="5" t="s">
        <v>2610</v>
      </c>
      <c r="O349" s="5" t="s">
        <v>45</v>
      </c>
    </row>
    <row r="350" customFormat="false" ht="23.85" hidden="false" customHeight="false" outlineLevel="0" collapsed="false">
      <c r="A350" s="5" t="s">
        <v>2611</v>
      </c>
      <c r="B350" s="5" t="s">
        <v>314</v>
      </c>
      <c r="C350" s="5" t="s">
        <v>406</v>
      </c>
      <c r="D350" s="5" t="s">
        <v>2612</v>
      </c>
      <c r="E350" s="5" t="s">
        <v>2613</v>
      </c>
      <c r="F350" s="5" t="s">
        <v>2614</v>
      </c>
      <c r="G350" s="5" t="s">
        <v>2615</v>
      </c>
      <c r="H350" s="5" t="s">
        <v>2616</v>
      </c>
      <c r="I350" s="5" t="s">
        <v>2617</v>
      </c>
      <c r="J350" s="5" t="s">
        <v>2618</v>
      </c>
      <c r="K350" s="5" t="s">
        <v>97</v>
      </c>
      <c r="L350" s="5" t="s">
        <v>2619</v>
      </c>
      <c r="M350" s="5"/>
      <c r="N350" s="5" t="s">
        <v>2620</v>
      </c>
      <c r="O350" s="5" t="s">
        <v>45</v>
      </c>
    </row>
    <row r="351" customFormat="false" ht="23.85" hidden="false" customHeight="false" outlineLevel="0" collapsed="false">
      <c r="A351" s="5" t="s">
        <v>2621</v>
      </c>
      <c r="B351" s="5" t="s">
        <v>314</v>
      </c>
      <c r="C351" s="5" t="s">
        <v>406</v>
      </c>
      <c r="D351" s="5" t="s">
        <v>2612</v>
      </c>
      <c r="E351" s="5" t="s">
        <v>2613</v>
      </c>
      <c r="F351" s="5" t="s">
        <v>2614</v>
      </c>
      <c r="G351" s="5" t="s">
        <v>2622</v>
      </c>
      <c r="H351" s="5" t="s">
        <v>2430</v>
      </c>
      <c r="I351" s="5" t="s">
        <v>678</v>
      </c>
      <c r="J351" s="5" t="s">
        <v>2623</v>
      </c>
      <c r="K351" s="5" t="s">
        <v>97</v>
      </c>
      <c r="L351" s="5" t="s">
        <v>2624</v>
      </c>
      <c r="M351" s="5"/>
      <c r="N351" s="5" t="s">
        <v>2625</v>
      </c>
      <c r="O351" s="5" t="s">
        <v>45</v>
      </c>
    </row>
    <row r="352" customFormat="false" ht="35.05" hidden="false" customHeight="false" outlineLevel="0" collapsed="false">
      <c r="A352" s="5" t="s">
        <v>2626</v>
      </c>
      <c r="B352" s="5" t="s">
        <v>314</v>
      </c>
      <c r="C352" s="5" t="s">
        <v>406</v>
      </c>
      <c r="D352" s="5" t="s">
        <v>2612</v>
      </c>
      <c r="E352" s="5" t="s">
        <v>2613</v>
      </c>
      <c r="F352" s="5" t="s">
        <v>2614</v>
      </c>
      <c r="G352" s="5" t="s">
        <v>2627</v>
      </c>
      <c r="H352" s="5" t="s">
        <v>2628</v>
      </c>
      <c r="I352" s="5" t="s">
        <v>2629</v>
      </c>
      <c r="J352" s="5" t="s">
        <v>2630</v>
      </c>
      <c r="K352" s="5" t="s">
        <v>42</v>
      </c>
      <c r="L352" s="5" t="s">
        <v>2631</v>
      </c>
      <c r="M352" s="5"/>
      <c r="N352" s="5" t="s">
        <v>2625</v>
      </c>
      <c r="O352" s="5" t="s">
        <v>45</v>
      </c>
    </row>
    <row r="353" customFormat="false" ht="35.05" hidden="false" customHeight="false" outlineLevel="0" collapsed="false">
      <c r="A353" s="5" t="s">
        <v>2632</v>
      </c>
      <c r="B353" s="5" t="s">
        <v>314</v>
      </c>
      <c r="C353" s="5" t="s">
        <v>406</v>
      </c>
      <c r="D353" s="5" t="s">
        <v>2633</v>
      </c>
      <c r="E353" s="5" t="s">
        <v>2634</v>
      </c>
      <c r="F353" s="5" t="s">
        <v>2635</v>
      </c>
      <c r="G353" s="5" t="s">
        <v>2636</v>
      </c>
      <c r="H353" s="5" t="s">
        <v>2637</v>
      </c>
      <c r="I353" s="5" t="s">
        <v>2638</v>
      </c>
      <c r="J353" s="5" t="s">
        <v>2639</v>
      </c>
      <c r="K353" s="5" t="s">
        <v>97</v>
      </c>
      <c r="L353" s="5" t="s">
        <v>2640</v>
      </c>
      <c r="M353" s="5"/>
      <c r="N353" s="5" t="s">
        <v>2641</v>
      </c>
      <c r="O353" s="5" t="s">
        <v>45</v>
      </c>
    </row>
    <row r="354" customFormat="false" ht="23.85" hidden="false" customHeight="false" outlineLevel="0" collapsed="false">
      <c r="A354" s="5" t="s">
        <v>2642</v>
      </c>
      <c r="B354" s="5" t="s">
        <v>314</v>
      </c>
      <c r="C354" s="5" t="s">
        <v>406</v>
      </c>
      <c r="D354" s="5" t="s">
        <v>2633</v>
      </c>
      <c r="E354" s="5" t="s">
        <v>2634</v>
      </c>
      <c r="F354" s="5" t="s">
        <v>2635</v>
      </c>
      <c r="G354" s="5" t="s">
        <v>2643</v>
      </c>
      <c r="H354" s="5" t="s">
        <v>2644</v>
      </c>
      <c r="I354" s="5" t="s">
        <v>2645</v>
      </c>
      <c r="J354" s="5" t="s">
        <v>2646</v>
      </c>
      <c r="K354" s="5" t="s">
        <v>73</v>
      </c>
      <c r="L354" s="5" t="s">
        <v>2647</v>
      </c>
      <c r="M354" s="5"/>
      <c r="N354" s="5" t="s">
        <v>2641</v>
      </c>
      <c r="O354" s="5" t="s">
        <v>45</v>
      </c>
    </row>
    <row r="355" customFormat="false" ht="23.85" hidden="false" customHeight="false" outlineLevel="0" collapsed="false">
      <c r="A355" s="5" t="s">
        <v>2648</v>
      </c>
      <c r="B355" s="5" t="s">
        <v>314</v>
      </c>
      <c r="C355" s="5" t="s">
        <v>406</v>
      </c>
      <c r="D355" s="5" t="s">
        <v>2633</v>
      </c>
      <c r="E355" s="5" t="s">
        <v>2634</v>
      </c>
      <c r="F355" s="5" t="s">
        <v>2635</v>
      </c>
      <c r="G355" s="5" t="s">
        <v>2649</v>
      </c>
      <c r="H355" s="5" t="s">
        <v>2650</v>
      </c>
      <c r="I355" s="5" t="s">
        <v>2651</v>
      </c>
      <c r="J355" s="5" t="s">
        <v>2652</v>
      </c>
      <c r="K355" s="5" t="s">
        <v>42</v>
      </c>
      <c r="L355" s="5" t="s">
        <v>2653</v>
      </c>
      <c r="M355" s="5"/>
      <c r="N355" s="5" t="s">
        <v>2654</v>
      </c>
      <c r="O355" s="5" t="s">
        <v>45</v>
      </c>
    </row>
    <row r="356" customFormat="false" ht="23.85" hidden="false" customHeight="false" outlineLevel="0" collapsed="false">
      <c r="A356" s="5" t="s">
        <v>2655</v>
      </c>
      <c r="B356" s="5" t="s">
        <v>314</v>
      </c>
      <c r="C356" s="5" t="s">
        <v>406</v>
      </c>
      <c r="D356" s="5" t="s">
        <v>2656</v>
      </c>
      <c r="E356" s="5" t="s">
        <v>2657</v>
      </c>
      <c r="F356" s="5" t="s">
        <v>2658</v>
      </c>
      <c r="G356" s="5" t="s">
        <v>2659</v>
      </c>
      <c r="H356" s="5" t="s">
        <v>2660</v>
      </c>
      <c r="I356" s="5" t="s">
        <v>2661</v>
      </c>
      <c r="J356" s="5" t="s">
        <v>2662</v>
      </c>
      <c r="K356" s="5" t="s">
        <v>42</v>
      </c>
      <c r="L356" s="5" t="s">
        <v>2663</v>
      </c>
      <c r="M356" s="5"/>
      <c r="N356" s="5" t="s">
        <v>2314</v>
      </c>
      <c r="O356" s="5" t="s">
        <v>45</v>
      </c>
    </row>
    <row r="357" customFormat="false" ht="23.85" hidden="false" customHeight="false" outlineLevel="0" collapsed="false">
      <c r="A357" s="5" t="s">
        <v>2664</v>
      </c>
      <c r="B357" s="5" t="s">
        <v>314</v>
      </c>
      <c r="C357" s="5" t="s">
        <v>406</v>
      </c>
      <c r="D357" s="5" t="s">
        <v>2656</v>
      </c>
      <c r="E357" s="5" t="s">
        <v>2657</v>
      </c>
      <c r="F357" s="5" t="s">
        <v>2658</v>
      </c>
      <c r="G357" s="5" t="s">
        <v>2665</v>
      </c>
      <c r="H357" s="5" t="s">
        <v>2666</v>
      </c>
      <c r="I357" s="5" t="s">
        <v>2667</v>
      </c>
      <c r="J357" s="5" t="s">
        <v>2668</v>
      </c>
      <c r="K357" s="5" t="s">
        <v>73</v>
      </c>
      <c r="L357" s="5" t="s">
        <v>2669</v>
      </c>
      <c r="M357" s="5"/>
      <c r="N357" s="5" t="s">
        <v>2314</v>
      </c>
      <c r="O357" s="5" t="s">
        <v>45</v>
      </c>
    </row>
    <row r="358" customFormat="false" ht="23.85" hidden="false" customHeight="false" outlineLevel="0" collapsed="false">
      <c r="A358" s="5" t="s">
        <v>2670</v>
      </c>
      <c r="B358" s="5" t="s">
        <v>314</v>
      </c>
      <c r="C358" s="5" t="s">
        <v>406</v>
      </c>
      <c r="D358" s="5" t="s">
        <v>2656</v>
      </c>
      <c r="E358" s="5" t="s">
        <v>2657</v>
      </c>
      <c r="F358" s="5" t="s">
        <v>2658</v>
      </c>
      <c r="G358" s="5" t="s">
        <v>2671</v>
      </c>
      <c r="H358" s="5" t="s">
        <v>2672</v>
      </c>
      <c r="I358" s="5" t="s">
        <v>2673</v>
      </c>
      <c r="J358" s="5" t="s">
        <v>2674</v>
      </c>
      <c r="K358" s="5" t="s">
        <v>42</v>
      </c>
      <c r="L358" s="5" t="s">
        <v>2675</v>
      </c>
      <c r="M358" s="5"/>
      <c r="N358" s="5" t="s">
        <v>2314</v>
      </c>
      <c r="O358" s="5" t="s">
        <v>45</v>
      </c>
    </row>
    <row r="359" customFormat="false" ht="23.85" hidden="false" customHeight="false" outlineLevel="0" collapsed="false">
      <c r="A359" s="5" t="s">
        <v>2676</v>
      </c>
      <c r="B359" s="5" t="s">
        <v>314</v>
      </c>
      <c r="C359" s="5" t="s">
        <v>1015</v>
      </c>
      <c r="D359" s="5" t="s">
        <v>2677</v>
      </c>
      <c r="E359" s="5" t="s">
        <v>2678</v>
      </c>
      <c r="F359" s="5" t="s">
        <v>2679</v>
      </c>
      <c r="G359" s="5" t="s">
        <v>2680</v>
      </c>
      <c r="H359" s="5" t="s">
        <v>2681</v>
      </c>
      <c r="I359" s="5" t="s">
        <v>2682</v>
      </c>
      <c r="J359" s="5" t="s">
        <v>2683</v>
      </c>
      <c r="K359" s="5" t="s">
        <v>73</v>
      </c>
      <c r="L359" s="5" t="s">
        <v>2684</v>
      </c>
      <c r="M359" s="5"/>
      <c r="N359" s="5" t="s">
        <v>2685</v>
      </c>
      <c r="O359" s="5" t="s">
        <v>45</v>
      </c>
    </row>
    <row r="360" customFormat="false" ht="23.85" hidden="false" customHeight="false" outlineLevel="0" collapsed="false">
      <c r="A360" s="5" t="s">
        <v>2686</v>
      </c>
      <c r="B360" s="5" t="s">
        <v>314</v>
      </c>
      <c r="C360" s="5" t="s">
        <v>1015</v>
      </c>
      <c r="D360" s="5" t="s">
        <v>2677</v>
      </c>
      <c r="E360" s="5" t="s">
        <v>2678</v>
      </c>
      <c r="F360" s="5" t="s">
        <v>2679</v>
      </c>
      <c r="G360" s="5" t="s">
        <v>2687</v>
      </c>
      <c r="H360" s="5" t="s">
        <v>2688</v>
      </c>
      <c r="I360" s="5" t="s">
        <v>2689</v>
      </c>
      <c r="J360" s="5" t="s">
        <v>2690</v>
      </c>
      <c r="K360" s="5" t="s">
        <v>97</v>
      </c>
      <c r="L360" s="5" t="s">
        <v>2691</v>
      </c>
      <c r="M360" s="5"/>
      <c r="N360" s="5" t="s">
        <v>2685</v>
      </c>
      <c r="O360" s="5" t="s">
        <v>45</v>
      </c>
    </row>
    <row r="361" customFormat="false" ht="23.85" hidden="false" customHeight="false" outlineLevel="0" collapsed="false">
      <c r="A361" s="5" t="s">
        <v>2692</v>
      </c>
      <c r="B361" s="5" t="s">
        <v>314</v>
      </c>
      <c r="C361" s="5" t="s">
        <v>1015</v>
      </c>
      <c r="D361" s="5" t="s">
        <v>2677</v>
      </c>
      <c r="E361" s="5" t="s">
        <v>2678</v>
      </c>
      <c r="F361" s="5" t="s">
        <v>2679</v>
      </c>
      <c r="G361" s="5" t="s">
        <v>2693</v>
      </c>
      <c r="H361" s="5" t="s">
        <v>2694</v>
      </c>
      <c r="I361" s="5" t="s">
        <v>2695</v>
      </c>
      <c r="J361" s="5" t="s">
        <v>2696</v>
      </c>
      <c r="K361" s="5" t="s">
        <v>97</v>
      </c>
      <c r="L361" s="5" t="s">
        <v>2697</v>
      </c>
      <c r="M361" s="5"/>
      <c r="N361" s="5" t="s">
        <v>2685</v>
      </c>
      <c r="O361" s="5" t="s">
        <v>45</v>
      </c>
    </row>
    <row r="362" customFormat="false" ht="35.05" hidden="false" customHeight="false" outlineLevel="0" collapsed="false">
      <c r="A362" s="5" t="s">
        <v>2698</v>
      </c>
      <c r="B362" s="5" t="s">
        <v>314</v>
      </c>
      <c r="C362" s="5" t="s">
        <v>338</v>
      </c>
      <c r="D362" s="5" t="s">
        <v>2699</v>
      </c>
      <c r="E362" s="5" t="s">
        <v>2700</v>
      </c>
      <c r="F362" s="5" t="s">
        <v>2701</v>
      </c>
      <c r="G362" s="5" t="s">
        <v>2702</v>
      </c>
      <c r="H362" s="5" t="s">
        <v>2703</v>
      </c>
      <c r="I362" s="5" t="s">
        <v>2704</v>
      </c>
      <c r="J362" s="5" t="s">
        <v>2705</v>
      </c>
      <c r="K362" s="5" t="s">
        <v>42</v>
      </c>
      <c r="L362" s="5" t="s">
        <v>2706</v>
      </c>
      <c r="M362" s="5"/>
      <c r="N362" s="5" t="s">
        <v>2707</v>
      </c>
      <c r="O362" s="5" t="s">
        <v>45</v>
      </c>
    </row>
    <row r="363" customFormat="false" ht="35.05" hidden="false" customHeight="false" outlineLevel="0" collapsed="false">
      <c r="A363" s="5" t="s">
        <v>2708</v>
      </c>
      <c r="B363" s="5" t="s">
        <v>314</v>
      </c>
      <c r="C363" s="5" t="s">
        <v>338</v>
      </c>
      <c r="D363" s="5" t="s">
        <v>2699</v>
      </c>
      <c r="E363" s="5" t="s">
        <v>2700</v>
      </c>
      <c r="F363" s="5" t="s">
        <v>2701</v>
      </c>
      <c r="G363" s="5" t="s">
        <v>2709</v>
      </c>
      <c r="H363" s="5" t="s">
        <v>2710</v>
      </c>
      <c r="I363" s="5" t="s">
        <v>2711</v>
      </c>
      <c r="J363" s="5" t="s">
        <v>2712</v>
      </c>
      <c r="K363" s="5" t="s">
        <v>97</v>
      </c>
      <c r="L363" s="5" t="s">
        <v>2713</v>
      </c>
      <c r="M363" s="5"/>
      <c r="N363" s="5" t="s">
        <v>2707</v>
      </c>
      <c r="O363" s="5" t="s">
        <v>45</v>
      </c>
    </row>
    <row r="364" customFormat="false" ht="35.05" hidden="false" customHeight="false" outlineLevel="0" collapsed="false">
      <c r="A364" s="5" t="s">
        <v>2714</v>
      </c>
      <c r="B364" s="5" t="s">
        <v>314</v>
      </c>
      <c r="C364" s="5" t="s">
        <v>338</v>
      </c>
      <c r="D364" s="5" t="s">
        <v>2699</v>
      </c>
      <c r="E364" s="5" t="s">
        <v>2700</v>
      </c>
      <c r="F364" s="5" t="s">
        <v>2701</v>
      </c>
      <c r="G364" s="5" t="s">
        <v>2715</v>
      </c>
      <c r="H364" s="5" t="s">
        <v>2716</v>
      </c>
      <c r="I364" s="5" t="s">
        <v>2717</v>
      </c>
      <c r="J364" s="5" t="s">
        <v>2718</v>
      </c>
      <c r="K364" s="5" t="s">
        <v>73</v>
      </c>
      <c r="L364" s="5" t="s">
        <v>2719</v>
      </c>
      <c r="M364" s="5"/>
      <c r="N364" s="5" t="s">
        <v>2720</v>
      </c>
      <c r="O364" s="5" t="s">
        <v>45</v>
      </c>
    </row>
    <row r="365" customFormat="false" ht="35.05" hidden="false" customHeight="false" outlineLevel="0" collapsed="false">
      <c r="A365" s="5" t="s">
        <v>2721</v>
      </c>
      <c r="B365" s="5" t="s">
        <v>314</v>
      </c>
      <c r="C365" s="5" t="s">
        <v>338</v>
      </c>
      <c r="D365" s="5" t="s">
        <v>2722</v>
      </c>
      <c r="E365" s="5" t="s">
        <v>2723</v>
      </c>
      <c r="F365" s="5" t="s">
        <v>2724</v>
      </c>
      <c r="G365" s="5" t="s">
        <v>2725</v>
      </c>
      <c r="H365" s="5" t="s">
        <v>2726</v>
      </c>
      <c r="I365" s="5" t="s">
        <v>2727</v>
      </c>
      <c r="J365" s="5" t="s">
        <v>2728</v>
      </c>
      <c r="K365" s="5" t="s">
        <v>42</v>
      </c>
      <c r="L365" s="5" t="s">
        <v>2729</v>
      </c>
      <c r="M365" s="5"/>
      <c r="N365" s="5" t="s">
        <v>2730</v>
      </c>
      <c r="O365" s="5" t="s">
        <v>45</v>
      </c>
    </row>
    <row r="366" customFormat="false" ht="35.05" hidden="false" customHeight="false" outlineLevel="0" collapsed="false">
      <c r="A366" s="5" t="s">
        <v>2731</v>
      </c>
      <c r="B366" s="5" t="s">
        <v>314</v>
      </c>
      <c r="C366" s="5" t="s">
        <v>338</v>
      </c>
      <c r="D366" s="5" t="s">
        <v>2722</v>
      </c>
      <c r="E366" s="5" t="s">
        <v>2723</v>
      </c>
      <c r="F366" s="5" t="s">
        <v>2724</v>
      </c>
      <c r="G366" s="5" t="s">
        <v>2732</v>
      </c>
      <c r="H366" s="5" t="s">
        <v>2733</v>
      </c>
      <c r="I366" s="5" t="s">
        <v>2734</v>
      </c>
      <c r="J366" s="5" t="s">
        <v>2735</v>
      </c>
      <c r="K366" s="5" t="s">
        <v>97</v>
      </c>
      <c r="L366" s="5" t="s">
        <v>2736</v>
      </c>
      <c r="M366" s="5"/>
      <c r="N366" s="5" t="s">
        <v>2737</v>
      </c>
      <c r="O366" s="5" t="s">
        <v>45</v>
      </c>
    </row>
    <row r="367" customFormat="false" ht="35.05" hidden="false" customHeight="false" outlineLevel="0" collapsed="false">
      <c r="A367" s="5" t="s">
        <v>2738</v>
      </c>
      <c r="B367" s="5" t="s">
        <v>314</v>
      </c>
      <c r="C367" s="5" t="s">
        <v>338</v>
      </c>
      <c r="D367" s="5" t="s">
        <v>2722</v>
      </c>
      <c r="E367" s="5" t="s">
        <v>2723</v>
      </c>
      <c r="F367" s="5" t="s">
        <v>2724</v>
      </c>
      <c r="G367" s="5" t="s">
        <v>2739</v>
      </c>
      <c r="H367" s="5" t="s">
        <v>2740</v>
      </c>
      <c r="I367" s="5" t="s">
        <v>2741</v>
      </c>
      <c r="J367" s="5" t="s">
        <v>2742</v>
      </c>
      <c r="K367" s="5" t="s">
        <v>97</v>
      </c>
      <c r="L367" s="5" t="s">
        <v>2743</v>
      </c>
      <c r="M367" s="5"/>
      <c r="N367" s="5" t="s">
        <v>2744</v>
      </c>
      <c r="O367" s="5" t="s">
        <v>45</v>
      </c>
    </row>
    <row r="368" customFormat="false" ht="35.05" hidden="false" customHeight="false" outlineLevel="0" collapsed="false">
      <c r="A368" s="5" t="s">
        <v>2745</v>
      </c>
      <c r="B368" s="5" t="s">
        <v>314</v>
      </c>
      <c r="C368" s="5" t="s">
        <v>383</v>
      </c>
      <c r="D368" s="5" t="s">
        <v>2746</v>
      </c>
      <c r="E368" s="5" t="s">
        <v>2747</v>
      </c>
      <c r="F368" s="5" t="s">
        <v>2748</v>
      </c>
      <c r="G368" s="5" t="s">
        <v>2749</v>
      </c>
      <c r="H368" s="5" t="s">
        <v>2750</v>
      </c>
      <c r="I368" s="5" t="s">
        <v>2751</v>
      </c>
      <c r="J368" s="5" t="s">
        <v>2752</v>
      </c>
      <c r="K368" s="5" t="s">
        <v>73</v>
      </c>
      <c r="L368" s="5" t="s">
        <v>2753</v>
      </c>
      <c r="M368" s="5"/>
      <c r="N368" s="5" t="s">
        <v>2384</v>
      </c>
      <c r="O368" s="5" t="s">
        <v>45</v>
      </c>
    </row>
    <row r="369" customFormat="false" ht="23.85" hidden="false" customHeight="false" outlineLevel="0" collapsed="false">
      <c r="A369" s="5" t="s">
        <v>2754</v>
      </c>
      <c r="B369" s="5" t="s">
        <v>314</v>
      </c>
      <c r="C369" s="5" t="s">
        <v>383</v>
      </c>
      <c r="D369" s="5" t="s">
        <v>2746</v>
      </c>
      <c r="E369" s="5" t="s">
        <v>2747</v>
      </c>
      <c r="F369" s="5" t="s">
        <v>2748</v>
      </c>
      <c r="G369" s="5" t="s">
        <v>2755</v>
      </c>
      <c r="H369" s="5" t="s">
        <v>2756</v>
      </c>
      <c r="I369" s="5" t="s">
        <v>2757</v>
      </c>
      <c r="J369" s="5" t="s">
        <v>2758</v>
      </c>
      <c r="K369" s="5" t="s">
        <v>97</v>
      </c>
      <c r="L369" s="5" t="s">
        <v>2759</v>
      </c>
      <c r="M369" s="5"/>
      <c r="N369" s="5" t="s">
        <v>2760</v>
      </c>
      <c r="O369" s="5" t="s">
        <v>45</v>
      </c>
    </row>
    <row r="370" customFormat="false" ht="23.85" hidden="false" customHeight="false" outlineLevel="0" collapsed="false">
      <c r="A370" s="5" t="s">
        <v>2761</v>
      </c>
      <c r="B370" s="5" t="s">
        <v>314</v>
      </c>
      <c r="C370" s="5" t="s">
        <v>383</v>
      </c>
      <c r="D370" s="5" t="s">
        <v>2746</v>
      </c>
      <c r="E370" s="5" t="s">
        <v>2747</v>
      </c>
      <c r="F370" s="5" t="s">
        <v>2748</v>
      </c>
      <c r="G370" s="5" t="s">
        <v>2762</v>
      </c>
      <c r="H370" s="5" t="s">
        <v>2763</v>
      </c>
      <c r="I370" s="5" t="s">
        <v>2764</v>
      </c>
      <c r="J370" s="5" t="s">
        <v>2765</v>
      </c>
      <c r="K370" s="5" t="s">
        <v>97</v>
      </c>
      <c r="L370" s="5" t="s">
        <v>2766</v>
      </c>
      <c r="M370" s="5"/>
      <c r="N370" s="5" t="s">
        <v>392</v>
      </c>
      <c r="O370" s="5" t="s">
        <v>45</v>
      </c>
    </row>
    <row r="371" customFormat="false" ht="23.85" hidden="false" customHeight="false" outlineLevel="0" collapsed="false">
      <c r="A371" s="5" t="s">
        <v>2767</v>
      </c>
      <c r="B371" s="5" t="s">
        <v>314</v>
      </c>
      <c r="C371" s="5" t="s">
        <v>429</v>
      </c>
      <c r="D371" s="5" t="s">
        <v>2768</v>
      </c>
      <c r="E371" s="5" t="s">
        <v>2769</v>
      </c>
      <c r="F371" s="5" t="s">
        <v>2770</v>
      </c>
      <c r="G371" s="5" t="s">
        <v>2771</v>
      </c>
      <c r="H371" s="5" t="s">
        <v>2772</v>
      </c>
      <c r="I371" s="5" t="s">
        <v>2773</v>
      </c>
      <c r="J371" s="5" t="s">
        <v>2774</v>
      </c>
      <c r="K371" s="5" t="s">
        <v>73</v>
      </c>
      <c r="L371" s="5" t="s">
        <v>2775</v>
      </c>
      <c r="M371" s="5"/>
      <c r="N371" s="5" t="s">
        <v>2776</v>
      </c>
      <c r="O371" s="5" t="s">
        <v>45</v>
      </c>
    </row>
    <row r="372" customFormat="false" ht="35.05" hidden="false" customHeight="false" outlineLevel="0" collapsed="false">
      <c r="A372" s="5" t="s">
        <v>2777</v>
      </c>
      <c r="B372" s="5" t="s">
        <v>314</v>
      </c>
      <c r="C372" s="5" t="s">
        <v>429</v>
      </c>
      <c r="D372" s="5" t="s">
        <v>2768</v>
      </c>
      <c r="E372" s="5" t="s">
        <v>2769</v>
      </c>
      <c r="F372" s="5" t="s">
        <v>2770</v>
      </c>
      <c r="G372" s="5" t="s">
        <v>2778</v>
      </c>
      <c r="H372" s="5" t="s">
        <v>2779</v>
      </c>
      <c r="I372" s="5" t="s">
        <v>2780</v>
      </c>
      <c r="J372" s="5" t="s">
        <v>2781</v>
      </c>
      <c r="K372" s="5" t="s">
        <v>97</v>
      </c>
      <c r="L372" s="5" t="s">
        <v>2782</v>
      </c>
      <c r="M372" s="5"/>
      <c r="N372" s="5" t="s">
        <v>2783</v>
      </c>
      <c r="O372" s="5" t="s">
        <v>45</v>
      </c>
    </row>
    <row r="373" customFormat="false" ht="23.85" hidden="false" customHeight="false" outlineLevel="0" collapsed="false">
      <c r="A373" s="5" t="s">
        <v>2784</v>
      </c>
      <c r="B373" s="5" t="s">
        <v>314</v>
      </c>
      <c r="C373" s="5" t="s">
        <v>429</v>
      </c>
      <c r="D373" s="5" t="s">
        <v>2768</v>
      </c>
      <c r="E373" s="5" t="s">
        <v>2769</v>
      </c>
      <c r="F373" s="5" t="s">
        <v>2770</v>
      </c>
      <c r="G373" s="5" t="s">
        <v>2785</v>
      </c>
      <c r="H373" s="5" t="s">
        <v>2786</v>
      </c>
      <c r="I373" s="5" t="s">
        <v>2787</v>
      </c>
      <c r="J373" s="5" t="s">
        <v>2788</v>
      </c>
      <c r="K373" s="5" t="s">
        <v>97</v>
      </c>
      <c r="L373" s="5" t="s">
        <v>2789</v>
      </c>
      <c r="M373" s="5"/>
      <c r="N373" s="5" t="s">
        <v>2790</v>
      </c>
      <c r="O373" s="5" t="s">
        <v>45</v>
      </c>
    </row>
    <row r="374" customFormat="false" ht="23.85" hidden="false" customHeight="false" outlineLevel="0" collapsed="false">
      <c r="A374" s="5" t="s">
        <v>2791</v>
      </c>
      <c r="B374" s="5" t="s">
        <v>314</v>
      </c>
      <c r="C374" s="5" t="s">
        <v>429</v>
      </c>
      <c r="D374" s="5" t="s">
        <v>2792</v>
      </c>
      <c r="E374" s="5" t="s">
        <v>2793</v>
      </c>
      <c r="F374" s="5" t="s">
        <v>2794</v>
      </c>
      <c r="G374" s="5" t="s">
        <v>2795</v>
      </c>
      <c r="H374" s="5" t="s">
        <v>2796</v>
      </c>
      <c r="I374" s="5" t="s">
        <v>556</v>
      </c>
      <c r="J374" s="5" t="s">
        <v>557</v>
      </c>
      <c r="K374" s="5" t="s">
        <v>73</v>
      </c>
      <c r="L374" s="5" t="s">
        <v>2797</v>
      </c>
      <c r="M374" s="5"/>
      <c r="N374" s="5" t="s">
        <v>2798</v>
      </c>
      <c r="O374" s="5" t="s">
        <v>45</v>
      </c>
    </row>
    <row r="375" customFormat="false" ht="23.85" hidden="false" customHeight="false" outlineLevel="0" collapsed="false">
      <c r="A375" s="5" t="s">
        <v>2799</v>
      </c>
      <c r="B375" s="5" t="s">
        <v>314</v>
      </c>
      <c r="C375" s="5" t="s">
        <v>429</v>
      </c>
      <c r="D375" s="5" t="s">
        <v>2792</v>
      </c>
      <c r="E375" s="5" t="s">
        <v>2793</v>
      </c>
      <c r="F375" s="5" t="s">
        <v>2794</v>
      </c>
      <c r="G375" s="5" t="s">
        <v>2800</v>
      </c>
      <c r="H375" s="5" t="s">
        <v>2801</v>
      </c>
      <c r="I375" s="5" t="s">
        <v>2802</v>
      </c>
      <c r="J375" s="5" t="s">
        <v>2803</v>
      </c>
      <c r="K375" s="5" t="s">
        <v>73</v>
      </c>
      <c r="L375" s="5" t="s">
        <v>2804</v>
      </c>
      <c r="M375" s="5"/>
      <c r="N375" s="5" t="s">
        <v>2798</v>
      </c>
      <c r="O375" s="5" t="s">
        <v>45</v>
      </c>
    </row>
    <row r="376" customFormat="false" ht="23.85" hidden="false" customHeight="false" outlineLevel="0" collapsed="false">
      <c r="A376" s="5" t="s">
        <v>2805</v>
      </c>
      <c r="B376" s="5" t="s">
        <v>314</v>
      </c>
      <c r="C376" s="5" t="s">
        <v>429</v>
      </c>
      <c r="D376" s="5" t="s">
        <v>2792</v>
      </c>
      <c r="E376" s="5" t="s">
        <v>2793</v>
      </c>
      <c r="F376" s="5" t="s">
        <v>2794</v>
      </c>
      <c r="G376" s="5" t="s">
        <v>2806</v>
      </c>
      <c r="H376" s="5" t="s">
        <v>2807</v>
      </c>
      <c r="I376" s="5" t="s">
        <v>2808</v>
      </c>
      <c r="J376" s="5" t="s">
        <v>2809</v>
      </c>
      <c r="K376" s="5" t="s">
        <v>42</v>
      </c>
      <c r="L376" s="5" t="s">
        <v>2810</v>
      </c>
      <c r="M376" s="5"/>
      <c r="N376" s="5" t="s">
        <v>2559</v>
      </c>
      <c r="O376" s="5" t="s">
        <v>45</v>
      </c>
    </row>
    <row r="377" customFormat="false" ht="35.05" hidden="false" customHeight="false" outlineLevel="0" collapsed="false">
      <c r="A377" s="5" t="s">
        <v>2811</v>
      </c>
      <c r="B377" s="5" t="s">
        <v>33</v>
      </c>
      <c r="C377" s="5" t="s">
        <v>2812</v>
      </c>
      <c r="D377" s="5" t="s">
        <v>2813</v>
      </c>
      <c r="E377" s="5" t="s">
        <v>2814</v>
      </c>
      <c r="F377" s="5" t="s">
        <v>2815</v>
      </c>
      <c r="G377" s="5" t="s">
        <v>2816</v>
      </c>
      <c r="H377" s="5" t="s">
        <v>2817</v>
      </c>
      <c r="I377" s="5" t="s">
        <v>2818</v>
      </c>
      <c r="J377" s="5" t="s">
        <v>2819</v>
      </c>
      <c r="K377" s="5" t="s">
        <v>73</v>
      </c>
      <c r="L377" s="5" t="s">
        <v>2820</v>
      </c>
      <c r="M377" s="5" t="s">
        <v>2821</v>
      </c>
      <c r="N377" s="5" t="s">
        <v>1160</v>
      </c>
      <c r="O377" s="5" t="s">
        <v>45</v>
      </c>
    </row>
    <row r="378" customFormat="false" ht="35.05" hidden="false" customHeight="false" outlineLevel="0" collapsed="false">
      <c r="A378" s="5" t="s">
        <v>2822</v>
      </c>
      <c r="B378" s="5" t="s">
        <v>33</v>
      </c>
      <c r="C378" s="5" t="s">
        <v>2812</v>
      </c>
      <c r="D378" s="5" t="s">
        <v>2813</v>
      </c>
      <c r="E378" s="5" t="s">
        <v>2814</v>
      </c>
      <c r="F378" s="5" t="s">
        <v>2815</v>
      </c>
      <c r="G378" s="5" t="s">
        <v>2823</v>
      </c>
      <c r="H378" s="5" t="s">
        <v>2824</v>
      </c>
      <c r="I378" s="5" t="s">
        <v>2825</v>
      </c>
      <c r="J378" s="5" t="s">
        <v>2826</v>
      </c>
      <c r="K378" s="5" t="s">
        <v>73</v>
      </c>
      <c r="L378" s="5" t="s">
        <v>2827</v>
      </c>
      <c r="M378" s="5" t="s">
        <v>2828</v>
      </c>
      <c r="N378" s="5" t="s">
        <v>2829</v>
      </c>
      <c r="O378" s="5" t="s">
        <v>45</v>
      </c>
    </row>
    <row r="379" customFormat="false" ht="35.05" hidden="false" customHeight="false" outlineLevel="0" collapsed="false">
      <c r="A379" s="5" t="s">
        <v>2830</v>
      </c>
      <c r="B379" s="5" t="s">
        <v>33</v>
      </c>
      <c r="C379" s="5" t="s">
        <v>2812</v>
      </c>
      <c r="D379" s="5" t="s">
        <v>2813</v>
      </c>
      <c r="E379" s="5" t="s">
        <v>2814</v>
      </c>
      <c r="F379" s="5" t="s">
        <v>2815</v>
      </c>
      <c r="G379" s="5" t="s">
        <v>2831</v>
      </c>
      <c r="H379" s="5" t="s">
        <v>2832</v>
      </c>
      <c r="I379" s="5" t="s">
        <v>2833</v>
      </c>
      <c r="J379" s="5" t="s">
        <v>2834</v>
      </c>
      <c r="K379" s="5" t="s">
        <v>97</v>
      </c>
      <c r="L379" s="5" t="s">
        <v>2835</v>
      </c>
      <c r="M379" s="5" t="s">
        <v>2836</v>
      </c>
      <c r="N379" s="5" t="s">
        <v>2837</v>
      </c>
      <c r="O379" s="5" t="s">
        <v>45</v>
      </c>
    </row>
    <row r="380" customFormat="false" ht="35.05" hidden="false" customHeight="false" outlineLevel="0" collapsed="false">
      <c r="A380" s="5" t="s">
        <v>2838</v>
      </c>
      <c r="B380" s="5" t="s">
        <v>33</v>
      </c>
      <c r="C380" s="5" t="s">
        <v>2812</v>
      </c>
      <c r="D380" s="5" t="s">
        <v>2839</v>
      </c>
      <c r="E380" s="5" t="s">
        <v>2840</v>
      </c>
      <c r="F380" s="5" t="s">
        <v>2841</v>
      </c>
      <c r="G380" s="5" t="s">
        <v>2842</v>
      </c>
      <c r="H380" s="5" t="s">
        <v>2843</v>
      </c>
      <c r="I380" s="5" t="s">
        <v>2844</v>
      </c>
      <c r="J380" s="5" t="s">
        <v>2845</v>
      </c>
      <c r="K380" s="5" t="s">
        <v>42</v>
      </c>
      <c r="L380" s="5" t="s">
        <v>2846</v>
      </c>
      <c r="M380" s="5" t="s">
        <v>2847</v>
      </c>
      <c r="N380" s="5" t="s">
        <v>2848</v>
      </c>
      <c r="O380" s="5" t="s">
        <v>45</v>
      </c>
    </row>
    <row r="381" customFormat="false" ht="35.05" hidden="false" customHeight="false" outlineLevel="0" collapsed="false">
      <c r="A381" s="5" t="s">
        <v>2849</v>
      </c>
      <c r="B381" s="5" t="s">
        <v>33</v>
      </c>
      <c r="C381" s="5" t="s">
        <v>2812</v>
      </c>
      <c r="D381" s="5" t="s">
        <v>2839</v>
      </c>
      <c r="E381" s="5" t="s">
        <v>2840</v>
      </c>
      <c r="F381" s="5" t="s">
        <v>2841</v>
      </c>
      <c r="G381" s="5" t="s">
        <v>2850</v>
      </c>
      <c r="H381" s="5" t="s">
        <v>2851</v>
      </c>
      <c r="I381" s="5" t="s">
        <v>2852</v>
      </c>
      <c r="J381" s="5" t="s">
        <v>2853</v>
      </c>
      <c r="K381" s="5" t="s">
        <v>97</v>
      </c>
      <c r="L381" s="5" t="s">
        <v>2854</v>
      </c>
      <c r="M381" s="5" t="s">
        <v>2855</v>
      </c>
      <c r="N381" s="5" t="s">
        <v>2856</v>
      </c>
      <c r="O381" s="5" t="s">
        <v>45</v>
      </c>
    </row>
    <row r="382" customFormat="false" ht="46.25" hidden="false" customHeight="false" outlineLevel="0" collapsed="false">
      <c r="A382" s="5" t="s">
        <v>2857</v>
      </c>
      <c r="B382" s="5" t="s">
        <v>33</v>
      </c>
      <c r="C382" s="5" t="s">
        <v>2812</v>
      </c>
      <c r="D382" s="5" t="s">
        <v>2839</v>
      </c>
      <c r="E382" s="5" t="s">
        <v>2840</v>
      </c>
      <c r="F382" s="5" t="s">
        <v>2841</v>
      </c>
      <c r="G382" s="5" t="s">
        <v>2858</v>
      </c>
      <c r="H382" s="5" t="s">
        <v>2859</v>
      </c>
      <c r="I382" s="5" t="s">
        <v>2860</v>
      </c>
      <c r="J382" s="5" t="s">
        <v>2861</v>
      </c>
      <c r="K382" s="5" t="s">
        <v>42</v>
      </c>
      <c r="L382" s="5" t="s">
        <v>2862</v>
      </c>
      <c r="M382" s="5" t="s">
        <v>2863</v>
      </c>
      <c r="N382" s="5" t="s">
        <v>1167</v>
      </c>
      <c r="O382" s="5" t="s">
        <v>45</v>
      </c>
    </row>
    <row r="383" customFormat="false" ht="35.05" hidden="false" customHeight="false" outlineLevel="0" collapsed="false">
      <c r="A383" s="5" t="s">
        <v>2864</v>
      </c>
      <c r="B383" s="5" t="s">
        <v>33</v>
      </c>
      <c r="C383" s="5" t="s">
        <v>2812</v>
      </c>
      <c r="D383" s="5" t="s">
        <v>2865</v>
      </c>
      <c r="E383" s="5" t="s">
        <v>2866</v>
      </c>
      <c r="F383" s="5" t="s">
        <v>2867</v>
      </c>
      <c r="G383" s="5" t="s">
        <v>2868</v>
      </c>
      <c r="H383" s="5" t="s">
        <v>2869</v>
      </c>
      <c r="I383" s="5" t="s">
        <v>2870</v>
      </c>
      <c r="J383" s="5" t="s">
        <v>2871</v>
      </c>
      <c r="K383" s="5" t="s">
        <v>97</v>
      </c>
      <c r="L383" s="5" t="s">
        <v>2872</v>
      </c>
      <c r="M383" s="5" t="s">
        <v>2873</v>
      </c>
      <c r="N383" s="5" t="s">
        <v>1219</v>
      </c>
      <c r="O383" s="5" t="s">
        <v>45</v>
      </c>
    </row>
    <row r="384" customFormat="false" ht="35.05" hidden="false" customHeight="false" outlineLevel="0" collapsed="false">
      <c r="A384" s="5" t="s">
        <v>2874</v>
      </c>
      <c r="B384" s="5" t="s">
        <v>33</v>
      </c>
      <c r="C384" s="5" t="s">
        <v>2812</v>
      </c>
      <c r="D384" s="5" t="s">
        <v>2865</v>
      </c>
      <c r="E384" s="5" t="s">
        <v>2866</v>
      </c>
      <c r="F384" s="5" t="s">
        <v>2867</v>
      </c>
      <c r="G384" s="5" t="s">
        <v>2875</v>
      </c>
      <c r="H384" s="5" t="s">
        <v>2876</v>
      </c>
      <c r="I384" s="5" t="s">
        <v>2877</v>
      </c>
      <c r="J384" s="5" t="s">
        <v>2878</v>
      </c>
      <c r="K384" s="5" t="s">
        <v>97</v>
      </c>
      <c r="L384" s="5" t="s">
        <v>2879</v>
      </c>
      <c r="M384" s="5" t="s">
        <v>2880</v>
      </c>
      <c r="N384" s="5" t="s">
        <v>2881</v>
      </c>
      <c r="O384" s="5" t="s">
        <v>45</v>
      </c>
    </row>
    <row r="385" customFormat="false" ht="35.05" hidden="false" customHeight="false" outlineLevel="0" collapsed="false">
      <c r="A385" s="5" t="s">
        <v>2882</v>
      </c>
      <c r="B385" s="5" t="s">
        <v>33</v>
      </c>
      <c r="C385" s="5" t="s">
        <v>2812</v>
      </c>
      <c r="D385" s="5" t="s">
        <v>2865</v>
      </c>
      <c r="E385" s="5" t="s">
        <v>2866</v>
      </c>
      <c r="F385" s="5" t="s">
        <v>2867</v>
      </c>
      <c r="G385" s="5" t="s">
        <v>2883</v>
      </c>
      <c r="H385" s="5" t="s">
        <v>2884</v>
      </c>
      <c r="I385" s="5" t="s">
        <v>2885</v>
      </c>
      <c r="J385" s="5" t="s">
        <v>2886</v>
      </c>
      <c r="K385" s="5" t="s">
        <v>97</v>
      </c>
      <c r="L385" s="5" t="s">
        <v>2887</v>
      </c>
      <c r="M385" s="5" t="s">
        <v>2888</v>
      </c>
      <c r="N385" s="5" t="s">
        <v>2889</v>
      </c>
      <c r="O385" s="5" t="s">
        <v>45</v>
      </c>
    </row>
    <row r="386" customFormat="false" ht="35.05" hidden="false" customHeight="false" outlineLevel="0" collapsed="false">
      <c r="A386" s="5" t="s">
        <v>2890</v>
      </c>
      <c r="B386" s="5" t="s">
        <v>33</v>
      </c>
      <c r="C386" s="5" t="s">
        <v>2812</v>
      </c>
      <c r="D386" s="5" t="s">
        <v>2891</v>
      </c>
      <c r="E386" s="5" t="s">
        <v>2892</v>
      </c>
      <c r="F386" s="5" t="s">
        <v>2893</v>
      </c>
      <c r="G386" s="5" t="s">
        <v>2894</v>
      </c>
      <c r="H386" s="5" t="s">
        <v>2895</v>
      </c>
      <c r="I386" s="5" t="s">
        <v>2896</v>
      </c>
      <c r="J386" s="5" t="s">
        <v>2897</v>
      </c>
      <c r="K386" s="5" t="s">
        <v>97</v>
      </c>
      <c r="L386" s="5" t="s">
        <v>2898</v>
      </c>
      <c r="M386" s="5" t="s">
        <v>2899</v>
      </c>
      <c r="N386" s="5" t="s">
        <v>2900</v>
      </c>
      <c r="O386" s="5" t="s">
        <v>45</v>
      </c>
    </row>
    <row r="387" customFormat="false" ht="35.05" hidden="false" customHeight="false" outlineLevel="0" collapsed="false">
      <c r="A387" s="5" t="s">
        <v>2901</v>
      </c>
      <c r="B387" s="5" t="s">
        <v>33</v>
      </c>
      <c r="C387" s="5" t="s">
        <v>2812</v>
      </c>
      <c r="D387" s="5" t="s">
        <v>2891</v>
      </c>
      <c r="E387" s="5" t="s">
        <v>2892</v>
      </c>
      <c r="F387" s="5" t="s">
        <v>2893</v>
      </c>
      <c r="G387" s="5" t="s">
        <v>2902</v>
      </c>
      <c r="H387" s="5" t="s">
        <v>2903</v>
      </c>
      <c r="I387" s="5" t="s">
        <v>2904</v>
      </c>
      <c r="J387" s="5" t="s">
        <v>2905</v>
      </c>
      <c r="K387" s="5" t="s">
        <v>73</v>
      </c>
      <c r="L387" s="5" t="s">
        <v>2906</v>
      </c>
      <c r="M387" s="5" t="s">
        <v>2907</v>
      </c>
      <c r="N387" s="5" t="s">
        <v>2908</v>
      </c>
      <c r="O387" s="5" t="s">
        <v>45</v>
      </c>
    </row>
    <row r="388" customFormat="false" ht="35.05" hidden="false" customHeight="false" outlineLevel="0" collapsed="false">
      <c r="A388" s="5" t="s">
        <v>2909</v>
      </c>
      <c r="B388" s="5" t="s">
        <v>33</v>
      </c>
      <c r="C388" s="5" t="s">
        <v>2812</v>
      </c>
      <c r="D388" s="5" t="s">
        <v>2891</v>
      </c>
      <c r="E388" s="5" t="s">
        <v>2892</v>
      </c>
      <c r="F388" s="5" t="s">
        <v>2893</v>
      </c>
      <c r="G388" s="5" t="s">
        <v>2910</v>
      </c>
      <c r="H388" s="5" t="s">
        <v>2911</v>
      </c>
      <c r="I388" s="5" t="s">
        <v>2912</v>
      </c>
      <c r="J388" s="5" t="s">
        <v>2913</v>
      </c>
      <c r="K388" s="5" t="s">
        <v>73</v>
      </c>
      <c r="L388" s="5" t="s">
        <v>2914</v>
      </c>
      <c r="M388" s="5" t="s">
        <v>2915</v>
      </c>
      <c r="N388" s="5" t="s">
        <v>2916</v>
      </c>
      <c r="O388" s="5" t="s">
        <v>45</v>
      </c>
    </row>
    <row r="389" customFormat="false" ht="46.25" hidden="false" customHeight="false" outlineLevel="0" collapsed="false">
      <c r="A389" s="5" t="s">
        <v>2917</v>
      </c>
      <c r="B389" s="5" t="s">
        <v>33</v>
      </c>
      <c r="C389" s="5" t="s">
        <v>2812</v>
      </c>
      <c r="D389" s="5" t="s">
        <v>2918</v>
      </c>
      <c r="E389" s="5" t="s">
        <v>2919</v>
      </c>
      <c r="F389" s="5" t="s">
        <v>2920</v>
      </c>
      <c r="G389" s="5" t="s">
        <v>2921</v>
      </c>
      <c r="H389" s="5" t="s">
        <v>2922</v>
      </c>
      <c r="I389" s="5" t="s">
        <v>2923</v>
      </c>
      <c r="J389" s="5" t="s">
        <v>2924</v>
      </c>
      <c r="K389" s="5" t="s">
        <v>42</v>
      </c>
      <c r="L389" s="5" t="s">
        <v>2925</v>
      </c>
      <c r="M389" s="5" t="s">
        <v>2926</v>
      </c>
      <c r="N389" s="5" t="s">
        <v>2927</v>
      </c>
      <c r="O389" s="5" t="s">
        <v>45</v>
      </c>
    </row>
    <row r="390" customFormat="false" ht="46.25" hidden="false" customHeight="false" outlineLevel="0" collapsed="false">
      <c r="A390" s="5" t="s">
        <v>2928</v>
      </c>
      <c r="B390" s="5" t="s">
        <v>33</v>
      </c>
      <c r="C390" s="5" t="s">
        <v>2812</v>
      </c>
      <c r="D390" s="5" t="s">
        <v>2918</v>
      </c>
      <c r="E390" s="5" t="s">
        <v>2919</v>
      </c>
      <c r="F390" s="5" t="s">
        <v>2920</v>
      </c>
      <c r="G390" s="5" t="s">
        <v>2929</v>
      </c>
      <c r="H390" s="5" t="s">
        <v>2930</v>
      </c>
      <c r="I390" s="5" t="s">
        <v>2931</v>
      </c>
      <c r="J390" s="5" t="s">
        <v>2932</v>
      </c>
      <c r="K390" s="5" t="s">
        <v>73</v>
      </c>
      <c r="L390" s="5" t="s">
        <v>2933</v>
      </c>
      <c r="M390" s="5" t="s">
        <v>2934</v>
      </c>
      <c r="N390" s="5" t="s">
        <v>2935</v>
      </c>
      <c r="O390" s="5" t="s">
        <v>45</v>
      </c>
    </row>
    <row r="391" customFormat="false" ht="46.25" hidden="false" customHeight="false" outlineLevel="0" collapsed="false">
      <c r="A391" s="5" t="s">
        <v>2936</v>
      </c>
      <c r="B391" s="5" t="s">
        <v>33</v>
      </c>
      <c r="C391" s="5" t="s">
        <v>2812</v>
      </c>
      <c r="D391" s="5" t="s">
        <v>2918</v>
      </c>
      <c r="E391" s="5" t="s">
        <v>2919</v>
      </c>
      <c r="F391" s="5" t="s">
        <v>2920</v>
      </c>
      <c r="G391" s="5" t="s">
        <v>2937</v>
      </c>
      <c r="H391" s="5" t="s">
        <v>2938</v>
      </c>
      <c r="I391" s="5" t="s">
        <v>2939</v>
      </c>
      <c r="J391" s="5" t="s">
        <v>2940</v>
      </c>
      <c r="K391" s="5" t="s">
        <v>73</v>
      </c>
      <c r="L391" s="5" t="s">
        <v>2941</v>
      </c>
      <c r="M391" s="5" t="s">
        <v>2942</v>
      </c>
      <c r="N391" s="5" t="s">
        <v>2943</v>
      </c>
      <c r="O391" s="5" t="s">
        <v>45</v>
      </c>
    </row>
    <row r="392" customFormat="false" ht="35.05" hidden="false" customHeight="false" outlineLevel="0" collapsed="false">
      <c r="A392" s="5" t="s">
        <v>2944</v>
      </c>
      <c r="B392" s="5" t="s">
        <v>33</v>
      </c>
      <c r="C392" s="5" t="s">
        <v>2812</v>
      </c>
      <c r="D392" s="5" t="s">
        <v>2945</v>
      </c>
      <c r="E392" s="5" t="s">
        <v>2946</v>
      </c>
      <c r="F392" s="5" t="s">
        <v>2947</v>
      </c>
      <c r="G392" s="5" t="s">
        <v>2948</v>
      </c>
      <c r="H392" s="5" t="s">
        <v>2949</v>
      </c>
      <c r="I392" s="5" t="s">
        <v>2950</v>
      </c>
      <c r="J392" s="5" t="s">
        <v>2951</v>
      </c>
      <c r="K392" s="5" t="s">
        <v>42</v>
      </c>
      <c r="L392" s="5" t="s">
        <v>2952</v>
      </c>
      <c r="M392" s="5" t="s">
        <v>2953</v>
      </c>
      <c r="N392" s="5" t="s">
        <v>1869</v>
      </c>
      <c r="O392" s="5" t="s">
        <v>45</v>
      </c>
    </row>
    <row r="393" customFormat="false" ht="35.05" hidden="false" customHeight="false" outlineLevel="0" collapsed="false">
      <c r="A393" s="5" t="s">
        <v>2954</v>
      </c>
      <c r="B393" s="5" t="s">
        <v>33</v>
      </c>
      <c r="C393" s="5" t="s">
        <v>2812</v>
      </c>
      <c r="D393" s="5" t="s">
        <v>2945</v>
      </c>
      <c r="E393" s="5" t="s">
        <v>2946</v>
      </c>
      <c r="F393" s="5" t="s">
        <v>2947</v>
      </c>
      <c r="G393" s="5" t="s">
        <v>2955</v>
      </c>
      <c r="H393" s="5" t="s">
        <v>2956</v>
      </c>
      <c r="I393" s="5" t="s">
        <v>2957</v>
      </c>
      <c r="J393" s="5" t="s">
        <v>2958</v>
      </c>
      <c r="K393" s="5" t="s">
        <v>97</v>
      </c>
      <c r="L393" s="5" t="s">
        <v>2959</v>
      </c>
      <c r="M393" s="5" t="s">
        <v>2960</v>
      </c>
      <c r="N393" s="5" t="s">
        <v>1725</v>
      </c>
      <c r="O393" s="5" t="s">
        <v>45</v>
      </c>
    </row>
    <row r="394" customFormat="false" ht="35.05" hidden="false" customHeight="false" outlineLevel="0" collapsed="false">
      <c r="A394" s="5" t="s">
        <v>2961</v>
      </c>
      <c r="B394" s="5" t="s">
        <v>33</v>
      </c>
      <c r="C394" s="5" t="s">
        <v>2812</v>
      </c>
      <c r="D394" s="5" t="s">
        <v>2945</v>
      </c>
      <c r="E394" s="5" t="s">
        <v>2946</v>
      </c>
      <c r="F394" s="5" t="s">
        <v>2947</v>
      </c>
      <c r="G394" s="5" t="s">
        <v>2962</v>
      </c>
      <c r="H394" s="5" t="s">
        <v>2963</v>
      </c>
      <c r="I394" s="5" t="s">
        <v>2964</v>
      </c>
      <c r="J394" s="5" t="s">
        <v>2965</v>
      </c>
      <c r="K394" s="5" t="s">
        <v>42</v>
      </c>
      <c r="L394" s="5" t="s">
        <v>2966</v>
      </c>
      <c r="M394" s="5" t="s">
        <v>2967</v>
      </c>
      <c r="N394" s="5" t="s">
        <v>475</v>
      </c>
      <c r="O394" s="5" t="s">
        <v>45</v>
      </c>
    </row>
    <row r="395" customFormat="false" ht="35.05" hidden="false" customHeight="false" outlineLevel="0" collapsed="false">
      <c r="A395" s="5" t="s">
        <v>2968</v>
      </c>
      <c r="B395" s="5" t="s">
        <v>33</v>
      </c>
      <c r="C395" s="5" t="s">
        <v>2812</v>
      </c>
      <c r="D395" s="5" t="s">
        <v>2969</v>
      </c>
      <c r="E395" s="5" t="s">
        <v>2970</v>
      </c>
      <c r="F395" s="5" t="s">
        <v>2971</v>
      </c>
      <c r="G395" s="5" t="s">
        <v>2972</v>
      </c>
      <c r="H395" s="5" t="s">
        <v>2973</v>
      </c>
      <c r="I395" s="5" t="s">
        <v>2974</v>
      </c>
      <c r="J395" s="5" t="s">
        <v>2975</v>
      </c>
      <c r="K395" s="5" t="s">
        <v>73</v>
      </c>
      <c r="L395" s="5" t="s">
        <v>2976</v>
      </c>
      <c r="M395" s="5" t="s">
        <v>2977</v>
      </c>
      <c r="N395" s="5" t="s">
        <v>1815</v>
      </c>
      <c r="O395" s="5" t="s">
        <v>45</v>
      </c>
    </row>
    <row r="396" customFormat="false" ht="35.05" hidden="false" customHeight="false" outlineLevel="0" collapsed="false">
      <c r="A396" s="5" t="s">
        <v>2978</v>
      </c>
      <c r="B396" s="5" t="s">
        <v>33</v>
      </c>
      <c r="C396" s="5" t="s">
        <v>2812</v>
      </c>
      <c r="D396" s="5" t="s">
        <v>2969</v>
      </c>
      <c r="E396" s="5" t="s">
        <v>2970</v>
      </c>
      <c r="F396" s="5" t="s">
        <v>2971</v>
      </c>
      <c r="G396" s="5" t="s">
        <v>2979</v>
      </c>
      <c r="H396" s="5" t="s">
        <v>2980</v>
      </c>
      <c r="I396" s="5" t="s">
        <v>2981</v>
      </c>
      <c r="J396" s="5" t="s">
        <v>2982</v>
      </c>
      <c r="K396" s="5" t="s">
        <v>42</v>
      </c>
      <c r="L396" s="5" t="s">
        <v>2983</v>
      </c>
      <c r="M396" s="5" t="s">
        <v>2984</v>
      </c>
      <c r="N396" s="5" t="s">
        <v>1815</v>
      </c>
      <c r="O396" s="5" t="s">
        <v>45</v>
      </c>
    </row>
    <row r="397" customFormat="false" ht="35.05" hidden="false" customHeight="false" outlineLevel="0" collapsed="false">
      <c r="A397" s="5" t="s">
        <v>2985</v>
      </c>
      <c r="B397" s="5" t="s">
        <v>33</v>
      </c>
      <c r="C397" s="5" t="s">
        <v>2812</v>
      </c>
      <c r="D397" s="5" t="s">
        <v>2969</v>
      </c>
      <c r="E397" s="5" t="s">
        <v>2970</v>
      </c>
      <c r="F397" s="5" t="s">
        <v>2971</v>
      </c>
      <c r="G397" s="5" t="s">
        <v>2986</v>
      </c>
      <c r="H397" s="5" t="s">
        <v>2987</v>
      </c>
      <c r="I397" s="5" t="s">
        <v>2988</v>
      </c>
      <c r="J397" s="5" t="s">
        <v>2989</v>
      </c>
      <c r="K397" s="5" t="s">
        <v>73</v>
      </c>
      <c r="L397" s="5" t="s">
        <v>2990</v>
      </c>
      <c r="M397" s="5" t="s">
        <v>2991</v>
      </c>
      <c r="N397" s="5" t="s">
        <v>2992</v>
      </c>
      <c r="O397" s="5" t="s">
        <v>45</v>
      </c>
    </row>
    <row r="398" customFormat="false" ht="46.25" hidden="false" customHeight="false" outlineLevel="0" collapsed="false">
      <c r="A398" s="5" t="s">
        <v>2993</v>
      </c>
      <c r="B398" s="5" t="s">
        <v>33</v>
      </c>
      <c r="C398" s="5" t="s">
        <v>2812</v>
      </c>
      <c r="D398" s="5" t="s">
        <v>2994</v>
      </c>
      <c r="E398" s="5" t="s">
        <v>2995</v>
      </c>
      <c r="F398" s="5" t="s">
        <v>2996</v>
      </c>
      <c r="G398" s="5" t="s">
        <v>2997</v>
      </c>
      <c r="H398" s="5" t="s">
        <v>458</v>
      </c>
      <c r="I398" s="5" t="s">
        <v>2998</v>
      </c>
      <c r="J398" s="5" t="s">
        <v>2999</v>
      </c>
      <c r="K398" s="5" t="s">
        <v>42</v>
      </c>
      <c r="L398" s="5" t="s">
        <v>3000</v>
      </c>
      <c r="M398" s="5" t="s">
        <v>3001</v>
      </c>
      <c r="N398" s="5" t="s">
        <v>3002</v>
      </c>
      <c r="O398" s="5" t="s">
        <v>45</v>
      </c>
    </row>
    <row r="399" customFormat="false" ht="35.05" hidden="false" customHeight="false" outlineLevel="0" collapsed="false">
      <c r="A399" s="5" t="s">
        <v>3003</v>
      </c>
      <c r="B399" s="5" t="s">
        <v>33</v>
      </c>
      <c r="C399" s="5" t="s">
        <v>2812</v>
      </c>
      <c r="D399" s="5" t="s">
        <v>2994</v>
      </c>
      <c r="E399" s="5" t="s">
        <v>2995</v>
      </c>
      <c r="F399" s="5" t="s">
        <v>2996</v>
      </c>
      <c r="G399" s="5" t="s">
        <v>3004</v>
      </c>
      <c r="H399" s="5" t="s">
        <v>2999</v>
      </c>
      <c r="I399" s="5" t="s">
        <v>3005</v>
      </c>
      <c r="J399" s="5" t="s">
        <v>2998</v>
      </c>
      <c r="K399" s="5" t="s">
        <v>73</v>
      </c>
      <c r="L399" s="5" t="s">
        <v>3006</v>
      </c>
      <c r="M399" s="5" t="s">
        <v>3007</v>
      </c>
      <c r="N399" s="5" t="s">
        <v>3008</v>
      </c>
      <c r="O399" s="5" t="s">
        <v>45</v>
      </c>
    </row>
    <row r="400" customFormat="false" ht="35.05" hidden="false" customHeight="false" outlineLevel="0" collapsed="false">
      <c r="A400" s="5" t="s">
        <v>3009</v>
      </c>
      <c r="B400" s="5" t="s">
        <v>33</v>
      </c>
      <c r="C400" s="5" t="s">
        <v>2812</v>
      </c>
      <c r="D400" s="5" t="s">
        <v>2994</v>
      </c>
      <c r="E400" s="5" t="s">
        <v>2995</v>
      </c>
      <c r="F400" s="5" t="s">
        <v>2996</v>
      </c>
      <c r="G400" s="5" t="s">
        <v>3010</v>
      </c>
      <c r="H400" s="5" t="s">
        <v>3011</v>
      </c>
      <c r="I400" s="5" t="s">
        <v>3012</v>
      </c>
      <c r="J400" s="5" t="s">
        <v>3013</v>
      </c>
      <c r="K400" s="5" t="s">
        <v>42</v>
      </c>
      <c r="L400" s="5" t="s">
        <v>3014</v>
      </c>
      <c r="M400" s="5" t="s">
        <v>3015</v>
      </c>
      <c r="N400" s="5" t="s">
        <v>3016</v>
      </c>
      <c r="O400" s="5" t="s">
        <v>45</v>
      </c>
    </row>
    <row r="401" customFormat="false" ht="46.25" hidden="false" customHeight="false" outlineLevel="0" collapsed="false">
      <c r="A401" s="5" t="s">
        <v>3017</v>
      </c>
      <c r="B401" s="5" t="s">
        <v>175</v>
      </c>
      <c r="C401" s="5" t="s">
        <v>2812</v>
      </c>
      <c r="D401" s="5" t="s">
        <v>3018</v>
      </c>
      <c r="E401" s="5" t="s">
        <v>3019</v>
      </c>
      <c r="F401" s="5" t="s">
        <v>3020</v>
      </c>
      <c r="G401" s="5" t="s">
        <v>3021</v>
      </c>
      <c r="H401" s="5" t="s">
        <v>3022</v>
      </c>
      <c r="I401" s="5" t="s">
        <v>3023</v>
      </c>
      <c r="J401" s="5" t="s">
        <v>3024</v>
      </c>
      <c r="K401" s="5" t="s">
        <v>73</v>
      </c>
      <c r="L401" s="5" t="s">
        <v>3025</v>
      </c>
      <c r="M401" s="5" t="s">
        <v>3026</v>
      </c>
      <c r="N401" s="5" t="s">
        <v>1725</v>
      </c>
      <c r="O401" s="5" t="s">
        <v>45</v>
      </c>
    </row>
    <row r="402" customFormat="false" ht="46.25" hidden="false" customHeight="false" outlineLevel="0" collapsed="false">
      <c r="A402" s="5" t="s">
        <v>3027</v>
      </c>
      <c r="B402" s="5" t="s">
        <v>175</v>
      </c>
      <c r="C402" s="5" t="s">
        <v>2812</v>
      </c>
      <c r="D402" s="5" t="s">
        <v>3018</v>
      </c>
      <c r="E402" s="5" t="s">
        <v>3019</v>
      </c>
      <c r="F402" s="5" t="s">
        <v>3020</v>
      </c>
      <c r="G402" s="5" t="s">
        <v>3028</v>
      </c>
      <c r="H402" s="5" t="s">
        <v>3029</v>
      </c>
      <c r="I402" s="5" t="s">
        <v>3030</v>
      </c>
      <c r="J402" s="5" t="s">
        <v>3031</v>
      </c>
      <c r="K402" s="5" t="s">
        <v>97</v>
      </c>
      <c r="L402" s="5" t="s">
        <v>3032</v>
      </c>
      <c r="M402" s="5" t="s">
        <v>3033</v>
      </c>
      <c r="N402" s="5" t="s">
        <v>1725</v>
      </c>
      <c r="O402" s="5" t="s">
        <v>45</v>
      </c>
    </row>
    <row r="403" customFormat="false" ht="46.25" hidden="false" customHeight="false" outlineLevel="0" collapsed="false">
      <c r="A403" s="5" t="s">
        <v>3034</v>
      </c>
      <c r="B403" s="5" t="s">
        <v>175</v>
      </c>
      <c r="C403" s="5" t="s">
        <v>2812</v>
      </c>
      <c r="D403" s="5" t="s">
        <v>3018</v>
      </c>
      <c r="E403" s="5" t="s">
        <v>3019</v>
      </c>
      <c r="F403" s="5" t="s">
        <v>3020</v>
      </c>
      <c r="G403" s="5" t="s">
        <v>3035</v>
      </c>
      <c r="H403" s="5" t="s">
        <v>3036</v>
      </c>
      <c r="I403" s="5" t="s">
        <v>3037</v>
      </c>
      <c r="J403" s="5" t="s">
        <v>3038</v>
      </c>
      <c r="K403" s="5" t="s">
        <v>42</v>
      </c>
      <c r="L403" s="5" t="s">
        <v>3039</v>
      </c>
      <c r="M403" s="5" t="s">
        <v>3040</v>
      </c>
      <c r="N403" s="5" t="s">
        <v>1725</v>
      </c>
      <c r="O403" s="5" t="s">
        <v>45</v>
      </c>
    </row>
    <row r="404" customFormat="false" ht="46.25" hidden="false" customHeight="false" outlineLevel="0" collapsed="false">
      <c r="A404" s="5" t="s">
        <v>3041</v>
      </c>
      <c r="B404" s="5" t="s">
        <v>175</v>
      </c>
      <c r="C404" s="5" t="s">
        <v>2812</v>
      </c>
      <c r="D404" s="5" t="s">
        <v>3042</v>
      </c>
      <c r="E404" s="5" t="s">
        <v>3043</v>
      </c>
      <c r="F404" s="5" t="s">
        <v>3044</v>
      </c>
      <c r="G404" s="5" t="s">
        <v>3045</v>
      </c>
      <c r="H404" s="5" t="s">
        <v>3046</v>
      </c>
      <c r="I404" s="5" t="s">
        <v>3047</v>
      </c>
      <c r="J404" s="5" t="s">
        <v>3048</v>
      </c>
      <c r="K404" s="5" t="s">
        <v>97</v>
      </c>
      <c r="L404" s="5" t="s">
        <v>3049</v>
      </c>
      <c r="M404" s="5" t="s">
        <v>3050</v>
      </c>
      <c r="N404" s="5" t="s">
        <v>1778</v>
      </c>
      <c r="O404" s="5" t="s">
        <v>45</v>
      </c>
    </row>
    <row r="405" customFormat="false" ht="35.05" hidden="false" customHeight="false" outlineLevel="0" collapsed="false">
      <c r="A405" s="5" t="s">
        <v>3051</v>
      </c>
      <c r="B405" s="5" t="s">
        <v>175</v>
      </c>
      <c r="C405" s="5" t="s">
        <v>2812</v>
      </c>
      <c r="D405" s="5" t="s">
        <v>3042</v>
      </c>
      <c r="E405" s="5" t="s">
        <v>3043</v>
      </c>
      <c r="F405" s="5" t="s">
        <v>3044</v>
      </c>
      <c r="G405" s="5" t="s">
        <v>3052</v>
      </c>
      <c r="H405" s="5" t="s">
        <v>3053</v>
      </c>
      <c r="I405" s="5" t="s">
        <v>3054</v>
      </c>
      <c r="J405" s="5" t="s">
        <v>3055</v>
      </c>
      <c r="K405" s="5" t="s">
        <v>42</v>
      </c>
      <c r="L405" s="5" t="s">
        <v>3056</v>
      </c>
      <c r="M405" s="5" t="s">
        <v>3057</v>
      </c>
      <c r="N405" s="5" t="s">
        <v>3058</v>
      </c>
      <c r="O405" s="5" t="s">
        <v>45</v>
      </c>
    </row>
    <row r="406" customFormat="false" ht="35.05" hidden="false" customHeight="false" outlineLevel="0" collapsed="false">
      <c r="A406" s="5" t="s">
        <v>3059</v>
      </c>
      <c r="B406" s="5" t="s">
        <v>175</v>
      </c>
      <c r="C406" s="5" t="s">
        <v>2812</v>
      </c>
      <c r="D406" s="5" t="s">
        <v>3042</v>
      </c>
      <c r="E406" s="5" t="s">
        <v>3043</v>
      </c>
      <c r="F406" s="5" t="s">
        <v>3044</v>
      </c>
      <c r="G406" s="5" t="s">
        <v>3060</v>
      </c>
      <c r="H406" s="5" t="s">
        <v>3061</v>
      </c>
      <c r="I406" s="5" t="s">
        <v>3062</v>
      </c>
      <c r="J406" s="5" t="s">
        <v>3063</v>
      </c>
      <c r="K406" s="5" t="s">
        <v>73</v>
      </c>
      <c r="L406" s="5" t="s">
        <v>3064</v>
      </c>
      <c r="M406" s="5" t="s">
        <v>3065</v>
      </c>
      <c r="N406" s="5" t="s">
        <v>1718</v>
      </c>
      <c r="O406" s="5" t="s">
        <v>45</v>
      </c>
    </row>
    <row r="407" customFormat="false" ht="35.05" hidden="false" customHeight="false" outlineLevel="0" collapsed="false">
      <c r="A407" s="5" t="s">
        <v>3066</v>
      </c>
      <c r="B407" s="5" t="s">
        <v>175</v>
      </c>
      <c r="C407" s="5" t="s">
        <v>2812</v>
      </c>
      <c r="D407" s="5" t="s">
        <v>3067</v>
      </c>
      <c r="E407" s="5" t="s">
        <v>3068</v>
      </c>
      <c r="F407" s="5" t="s">
        <v>3069</v>
      </c>
      <c r="G407" s="5" t="s">
        <v>3070</v>
      </c>
      <c r="H407" s="5" t="s">
        <v>3071</v>
      </c>
      <c r="I407" s="5" t="s">
        <v>3072</v>
      </c>
      <c r="J407" s="5" t="s">
        <v>3073</v>
      </c>
      <c r="K407" s="5" t="s">
        <v>73</v>
      </c>
      <c r="L407" s="5" t="s">
        <v>3074</v>
      </c>
      <c r="M407" s="5" t="s">
        <v>3075</v>
      </c>
      <c r="N407" s="5" t="s">
        <v>3076</v>
      </c>
      <c r="O407" s="5" t="s">
        <v>45</v>
      </c>
    </row>
    <row r="408" customFormat="false" ht="35.05" hidden="false" customHeight="false" outlineLevel="0" collapsed="false">
      <c r="A408" s="5" t="s">
        <v>3077</v>
      </c>
      <c r="B408" s="5" t="s">
        <v>175</v>
      </c>
      <c r="C408" s="5" t="s">
        <v>2812</v>
      </c>
      <c r="D408" s="5" t="s">
        <v>3067</v>
      </c>
      <c r="E408" s="5" t="s">
        <v>3068</v>
      </c>
      <c r="F408" s="5" t="s">
        <v>3069</v>
      </c>
      <c r="G408" s="5" t="s">
        <v>3078</v>
      </c>
      <c r="H408" s="5" t="s">
        <v>3079</v>
      </c>
      <c r="I408" s="5" t="s">
        <v>3080</v>
      </c>
      <c r="J408" s="5" t="s">
        <v>3073</v>
      </c>
      <c r="K408" s="5" t="s">
        <v>42</v>
      </c>
      <c r="L408" s="5" t="s">
        <v>3081</v>
      </c>
      <c r="M408" s="5" t="s">
        <v>3082</v>
      </c>
      <c r="N408" s="5" t="s">
        <v>1590</v>
      </c>
      <c r="O408" s="5" t="s">
        <v>45</v>
      </c>
    </row>
    <row r="409" customFormat="false" ht="35.05" hidden="false" customHeight="false" outlineLevel="0" collapsed="false">
      <c r="A409" s="5" t="s">
        <v>3083</v>
      </c>
      <c r="B409" s="5" t="s">
        <v>175</v>
      </c>
      <c r="C409" s="5" t="s">
        <v>2812</v>
      </c>
      <c r="D409" s="5" t="s">
        <v>3067</v>
      </c>
      <c r="E409" s="5" t="s">
        <v>3068</v>
      </c>
      <c r="F409" s="5" t="s">
        <v>3069</v>
      </c>
      <c r="G409" s="5" t="s">
        <v>3084</v>
      </c>
      <c r="H409" s="5" t="s">
        <v>3079</v>
      </c>
      <c r="I409" s="5" t="s">
        <v>3072</v>
      </c>
      <c r="J409" s="5" t="s">
        <v>3073</v>
      </c>
      <c r="K409" s="5" t="s">
        <v>97</v>
      </c>
      <c r="L409" s="5" t="s">
        <v>3085</v>
      </c>
      <c r="M409" s="5" t="s">
        <v>3086</v>
      </c>
      <c r="N409" s="5" t="s">
        <v>1590</v>
      </c>
      <c r="O409" s="5" t="s">
        <v>45</v>
      </c>
    </row>
    <row r="410" customFormat="false" ht="35.05" hidden="false" customHeight="false" outlineLevel="0" collapsed="false">
      <c r="A410" s="5" t="s">
        <v>3087</v>
      </c>
      <c r="B410" s="5" t="s">
        <v>175</v>
      </c>
      <c r="C410" s="5" t="s">
        <v>2812</v>
      </c>
      <c r="D410" s="5" t="s">
        <v>3088</v>
      </c>
      <c r="E410" s="5" t="s">
        <v>3089</v>
      </c>
      <c r="F410" s="5" t="s">
        <v>3090</v>
      </c>
      <c r="G410" s="5" t="s">
        <v>3091</v>
      </c>
      <c r="H410" s="5" t="s">
        <v>251</v>
      </c>
      <c r="I410" s="5" t="s">
        <v>250</v>
      </c>
      <c r="J410" s="5" t="s">
        <v>252</v>
      </c>
      <c r="K410" s="5" t="s">
        <v>97</v>
      </c>
      <c r="L410" s="5" t="s">
        <v>3092</v>
      </c>
      <c r="M410" s="5" t="s">
        <v>3093</v>
      </c>
      <c r="N410" s="5" t="s">
        <v>2042</v>
      </c>
      <c r="O410" s="5" t="s">
        <v>45</v>
      </c>
    </row>
    <row r="411" customFormat="false" ht="35.05" hidden="false" customHeight="false" outlineLevel="0" collapsed="false">
      <c r="A411" s="5" t="s">
        <v>3094</v>
      </c>
      <c r="B411" s="5" t="s">
        <v>175</v>
      </c>
      <c r="C411" s="5" t="s">
        <v>2812</v>
      </c>
      <c r="D411" s="5" t="s">
        <v>3088</v>
      </c>
      <c r="E411" s="5" t="s">
        <v>3089</v>
      </c>
      <c r="F411" s="5" t="s">
        <v>3090</v>
      </c>
      <c r="G411" s="5" t="s">
        <v>3095</v>
      </c>
      <c r="H411" s="5" t="s">
        <v>251</v>
      </c>
      <c r="I411" s="5" t="s">
        <v>252</v>
      </c>
      <c r="J411" s="5" t="s">
        <v>250</v>
      </c>
      <c r="K411" s="5" t="s">
        <v>97</v>
      </c>
      <c r="L411" s="5" t="s">
        <v>3096</v>
      </c>
      <c r="M411" s="5" t="s">
        <v>3097</v>
      </c>
      <c r="N411" s="5" t="s">
        <v>2042</v>
      </c>
      <c r="O411" s="5" t="s">
        <v>45</v>
      </c>
    </row>
    <row r="412" customFormat="false" ht="35.05" hidden="false" customHeight="false" outlineLevel="0" collapsed="false">
      <c r="A412" s="5" t="s">
        <v>3098</v>
      </c>
      <c r="B412" s="5" t="s">
        <v>175</v>
      </c>
      <c r="C412" s="5" t="s">
        <v>2812</v>
      </c>
      <c r="D412" s="5" t="s">
        <v>3088</v>
      </c>
      <c r="E412" s="5" t="s">
        <v>3089</v>
      </c>
      <c r="F412" s="5" t="s">
        <v>3090</v>
      </c>
      <c r="G412" s="5" t="s">
        <v>3099</v>
      </c>
      <c r="H412" s="5" t="s">
        <v>250</v>
      </c>
      <c r="I412" s="5" t="s">
        <v>3100</v>
      </c>
      <c r="J412" s="5" t="s">
        <v>251</v>
      </c>
      <c r="K412" s="5" t="s">
        <v>97</v>
      </c>
      <c r="L412" s="5" t="s">
        <v>3101</v>
      </c>
      <c r="M412" s="5" t="s">
        <v>3102</v>
      </c>
      <c r="N412" s="5" t="s">
        <v>2042</v>
      </c>
      <c r="O412" s="5" t="s">
        <v>45</v>
      </c>
    </row>
    <row r="413" customFormat="false" ht="35.05" hidden="false" customHeight="false" outlineLevel="0" collapsed="false">
      <c r="A413" s="5" t="s">
        <v>3103</v>
      </c>
      <c r="B413" s="5" t="s">
        <v>175</v>
      </c>
      <c r="C413" s="5" t="s">
        <v>2812</v>
      </c>
      <c r="D413" s="5" t="s">
        <v>3104</v>
      </c>
      <c r="E413" s="5" t="s">
        <v>3105</v>
      </c>
      <c r="F413" s="5" t="s">
        <v>3106</v>
      </c>
      <c r="G413" s="5" t="s">
        <v>3107</v>
      </c>
      <c r="H413" s="5" t="s">
        <v>3108</v>
      </c>
      <c r="I413" s="5" t="s">
        <v>3109</v>
      </c>
      <c r="J413" s="5" t="s">
        <v>3110</v>
      </c>
      <c r="K413" s="5" t="s">
        <v>73</v>
      </c>
      <c r="L413" s="5" t="s">
        <v>3111</v>
      </c>
      <c r="M413" s="5" t="s">
        <v>3112</v>
      </c>
      <c r="N413" s="5" t="s">
        <v>1825</v>
      </c>
      <c r="O413" s="5" t="s">
        <v>45</v>
      </c>
    </row>
    <row r="414" customFormat="false" ht="35.05" hidden="false" customHeight="false" outlineLevel="0" collapsed="false">
      <c r="A414" s="5" t="s">
        <v>3113</v>
      </c>
      <c r="B414" s="5" t="s">
        <v>175</v>
      </c>
      <c r="C414" s="5" t="s">
        <v>2812</v>
      </c>
      <c r="D414" s="5" t="s">
        <v>3104</v>
      </c>
      <c r="E414" s="5" t="s">
        <v>3105</v>
      </c>
      <c r="F414" s="5" t="s">
        <v>3106</v>
      </c>
      <c r="G414" s="5" t="s">
        <v>3114</v>
      </c>
      <c r="H414" s="5" t="s">
        <v>3115</v>
      </c>
      <c r="I414" s="5" t="s">
        <v>3116</v>
      </c>
      <c r="J414" s="5" t="s">
        <v>3117</v>
      </c>
      <c r="K414" s="5" t="s">
        <v>97</v>
      </c>
      <c r="L414" s="5" t="s">
        <v>3118</v>
      </c>
      <c r="M414" s="5" t="s">
        <v>3119</v>
      </c>
      <c r="N414" s="5" t="s">
        <v>3120</v>
      </c>
      <c r="O414" s="5" t="s">
        <v>45</v>
      </c>
    </row>
    <row r="415" customFormat="false" ht="46.25" hidden="false" customHeight="false" outlineLevel="0" collapsed="false">
      <c r="A415" s="5" t="s">
        <v>3121</v>
      </c>
      <c r="B415" s="5" t="s">
        <v>175</v>
      </c>
      <c r="C415" s="5" t="s">
        <v>2812</v>
      </c>
      <c r="D415" s="5" t="s">
        <v>3104</v>
      </c>
      <c r="E415" s="5" t="s">
        <v>3105</v>
      </c>
      <c r="F415" s="5" t="s">
        <v>3106</v>
      </c>
      <c r="G415" s="5" t="s">
        <v>3122</v>
      </c>
      <c r="H415" s="5" t="s">
        <v>3123</v>
      </c>
      <c r="I415" s="5" t="s">
        <v>3124</v>
      </c>
      <c r="J415" s="5" t="s">
        <v>3125</v>
      </c>
      <c r="K415" s="5" t="s">
        <v>42</v>
      </c>
      <c r="L415" s="5" t="s">
        <v>3126</v>
      </c>
      <c r="M415" s="5" t="s">
        <v>3127</v>
      </c>
      <c r="N415" s="5" t="s">
        <v>3128</v>
      </c>
      <c r="O415" s="5" t="s">
        <v>45</v>
      </c>
    </row>
    <row r="416" customFormat="false" ht="35.05" hidden="false" customHeight="false" outlineLevel="0" collapsed="false">
      <c r="A416" s="5" t="s">
        <v>3129</v>
      </c>
      <c r="B416" s="5" t="s">
        <v>314</v>
      </c>
      <c r="C416" s="5" t="s">
        <v>2812</v>
      </c>
      <c r="D416" s="5" t="s">
        <v>3130</v>
      </c>
      <c r="E416" s="5" t="s">
        <v>3131</v>
      </c>
      <c r="F416" s="5" t="s">
        <v>3132</v>
      </c>
      <c r="G416" s="5" t="s">
        <v>3133</v>
      </c>
      <c r="H416" s="5" t="s">
        <v>3134</v>
      </c>
      <c r="I416" s="5" t="s">
        <v>3135</v>
      </c>
      <c r="J416" s="5" t="s">
        <v>3136</v>
      </c>
      <c r="K416" s="5" t="s">
        <v>42</v>
      </c>
      <c r="L416" s="5" t="s">
        <v>3137</v>
      </c>
      <c r="M416" s="5" t="s">
        <v>3138</v>
      </c>
      <c r="N416" s="5" t="s">
        <v>369</v>
      </c>
      <c r="O416" s="5" t="s">
        <v>45</v>
      </c>
    </row>
    <row r="417" customFormat="false" ht="35.05" hidden="false" customHeight="false" outlineLevel="0" collapsed="false">
      <c r="A417" s="5" t="s">
        <v>3139</v>
      </c>
      <c r="B417" s="5" t="s">
        <v>314</v>
      </c>
      <c r="C417" s="5" t="s">
        <v>2812</v>
      </c>
      <c r="D417" s="5" t="s">
        <v>3130</v>
      </c>
      <c r="E417" s="5" t="s">
        <v>3131</v>
      </c>
      <c r="F417" s="5" t="s">
        <v>3132</v>
      </c>
      <c r="G417" s="5" t="s">
        <v>3140</v>
      </c>
      <c r="H417" s="5" t="s">
        <v>3141</v>
      </c>
      <c r="I417" s="5" t="s">
        <v>3142</v>
      </c>
      <c r="J417" s="5" t="s">
        <v>3143</v>
      </c>
      <c r="K417" s="5" t="s">
        <v>73</v>
      </c>
      <c r="L417" s="5" t="s">
        <v>3144</v>
      </c>
      <c r="M417" s="5" t="s">
        <v>3145</v>
      </c>
      <c r="N417" s="5" t="s">
        <v>2685</v>
      </c>
      <c r="O417" s="5" t="s">
        <v>45</v>
      </c>
    </row>
    <row r="418" customFormat="false" ht="35.05" hidden="false" customHeight="false" outlineLevel="0" collapsed="false">
      <c r="A418" s="5" t="s">
        <v>3146</v>
      </c>
      <c r="B418" s="5" t="s">
        <v>314</v>
      </c>
      <c r="C418" s="5" t="s">
        <v>2812</v>
      </c>
      <c r="D418" s="5" t="s">
        <v>3130</v>
      </c>
      <c r="E418" s="5" t="s">
        <v>3131</v>
      </c>
      <c r="F418" s="5" t="s">
        <v>3132</v>
      </c>
      <c r="G418" s="5" t="s">
        <v>3147</v>
      </c>
      <c r="H418" s="5" t="s">
        <v>3148</v>
      </c>
      <c r="I418" s="5" t="s">
        <v>3149</v>
      </c>
      <c r="J418" s="5" t="s">
        <v>3150</v>
      </c>
      <c r="K418" s="5" t="s">
        <v>42</v>
      </c>
      <c r="L418" s="5" t="s">
        <v>3151</v>
      </c>
      <c r="M418" s="5" t="s">
        <v>3152</v>
      </c>
      <c r="N418" s="5" t="s">
        <v>3153</v>
      </c>
      <c r="O418" s="5" t="s">
        <v>45</v>
      </c>
    </row>
    <row r="419" customFormat="false" ht="35.05" hidden="false" customHeight="false" outlineLevel="0" collapsed="false">
      <c r="A419" s="5" t="s">
        <v>3154</v>
      </c>
      <c r="B419" s="5" t="s">
        <v>314</v>
      </c>
      <c r="C419" s="5" t="s">
        <v>2812</v>
      </c>
      <c r="D419" s="5" t="s">
        <v>3155</v>
      </c>
      <c r="E419" s="5" t="s">
        <v>3156</v>
      </c>
      <c r="F419" s="5" t="s">
        <v>3157</v>
      </c>
      <c r="G419" s="5" t="s">
        <v>3158</v>
      </c>
      <c r="H419" s="5" t="s">
        <v>3159</v>
      </c>
      <c r="I419" s="5" t="s">
        <v>3160</v>
      </c>
      <c r="J419" s="5" t="s">
        <v>3161</v>
      </c>
      <c r="K419" s="5" t="s">
        <v>73</v>
      </c>
      <c r="L419" s="5" t="s">
        <v>3162</v>
      </c>
      <c r="M419" s="5" t="s">
        <v>3163</v>
      </c>
      <c r="N419" s="5" t="s">
        <v>2352</v>
      </c>
      <c r="O419" s="5" t="s">
        <v>45</v>
      </c>
    </row>
    <row r="420" customFormat="false" ht="35.05" hidden="false" customHeight="false" outlineLevel="0" collapsed="false">
      <c r="A420" s="5" t="s">
        <v>3164</v>
      </c>
      <c r="B420" s="5" t="s">
        <v>314</v>
      </c>
      <c r="C420" s="5" t="s">
        <v>2812</v>
      </c>
      <c r="D420" s="5" t="s">
        <v>3155</v>
      </c>
      <c r="E420" s="5" t="s">
        <v>3156</v>
      </c>
      <c r="F420" s="5" t="s">
        <v>3157</v>
      </c>
      <c r="G420" s="5" t="s">
        <v>3165</v>
      </c>
      <c r="H420" s="5" t="s">
        <v>3166</v>
      </c>
      <c r="I420" s="5" t="s">
        <v>2617</v>
      </c>
      <c r="J420" s="5" t="s">
        <v>3167</v>
      </c>
      <c r="K420" s="5" t="s">
        <v>97</v>
      </c>
      <c r="L420" s="5" t="s">
        <v>3168</v>
      </c>
      <c r="M420" s="5" t="s">
        <v>3169</v>
      </c>
      <c r="N420" s="5" t="s">
        <v>415</v>
      </c>
      <c r="O420" s="5" t="s">
        <v>45</v>
      </c>
    </row>
    <row r="421" customFormat="false" ht="35.05" hidden="false" customHeight="false" outlineLevel="0" collapsed="false">
      <c r="A421" s="5" t="s">
        <v>3170</v>
      </c>
      <c r="B421" s="5" t="s">
        <v>314</v>
      </c>
      <c r="C421" s="5" t="s">
        <v>2812</v>
      </c>
      <c r="D421" s="5" t="s">
        <v>3155</v>
      </c>
      <c r="E421" s="5" t="s">
        <v>3156</v>
      </c>
      <c r="F421" s="5" t="s">
        <v>3157</v>
      </c>
      <c r="G421" s="5" t="s">
        <v>3171</v>
      </c>
      <c r="H421" s="5" t="s">
        <v>3172</v>
      </c>
      <c r="I421" s="5" t="s">
        <v>3173</v>
      </c>
      <c r="J421" s="5" t="s">
        <v>3174</v>
      </c>
      <c r="K421" s="5" t="s">
        <v>73</v>
      </c>
      <c r="L421" s="5" t="s">
        <v>3175</v>
      </c>
      <c r="M421" s="5" t="s">
        <v>3176</v>
      </c>
      <c r="N421" s="5" t="s">
        <v>2625</v>
      </c>
      <c r="O421" s="5" t="s">
        <v>45</v>
      </c>
    </row>
  </sheetData>
  <autoFilter ref="A1:O421"/>
  <dataValidations count="3">
    <dataValidation allowBlank="false" errorStyle="stop" operator="between" showDropDown="false" showErrorMessage="false" showInputMessage="false" sqref="B2:B1421" type="list">
      <formula1>"comun,invima,fne"</formula1>
      <formula2>0</formula2>
    </dataValidation>
    <dataValidation allowBlank="false" errorStyle="stop" operator="between" showDropDown="false" showErrorMessage="false" showInputMessage="false" sqref="K2:K1421" type="list">
      <formula1>"A,B,C"</formula1>
      <formula2>0</formula2>
    </dataValidation>
    <dataValidation allowBlank="false" errorStyle="stop" operator="between" showDropDown="false" showErrorMessage="false" showInputMessage="false" sqref="O2:O1421" type="list">
      <formula1>"SI,NO"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0"/>
    <col collapsed="false" customWidth="true" hidden="false" outlineLevel="0" max="6" min="4" style="0" width="40"/>
    <col collapsed="false" customWidth="true" hidden="false" outlineLevel="0" max="9" min="7" style="0" width="9"/>
    <col collapsed="false" customWidth="true" hidden="false" outlineLevel="0" max="10" min="10" style="0" width="8"/>
  </cols>
  <sheetData>
    <row r="1" customFormat="false" ht="23.85" hidden="false" customHeight="false" outlineLevel="0" collapsed="false">
      <c r="A1" s="4" t="s">
        <v>17</v>
      </c>
      <c r="B1" s="4" t="s">
        <v>3177</v>
      </c>
      <c r="C1" s="4" t="s">
        <v>3178</v>
      </c>
      <c r="D1" s="4" t="s">
        <v>24</v>
      </c>
      <c r="E1" s="4" t="s">
        <v>25</v>
      </c>
      <c r="F1" s="4" t="s">
        <v>26</v>
      </c>
      <c r="G1" s="4" t="s">
        <v>3179</v>
      </c>
      <c r="H1" s="4" t="s">
        <v>3180</v>
      </c>
      <c r="I1" s="4" t="s">
        <v>3181</v>
      </c>
      <c r="J1" s="4" t="s">
        <v>31</v>
      </c>
    </row>
    <row r="2" customFormat="false" ht="35.05" hidden="false" customHeight="false" outlineLevel="0" collapsed="false">
      <c r="A2" s="5" t="s">
        <v>3182</v>
      </c>
      <c r="B2" s="5" t="s">
        <v>3183</v>
      </c>
      <c r="C2" s="5" t="s">
        <v>3184</v>
      </c>
      <c r="D2" s="5" t="s">
        <v>3185</v>
      </c>
      <c r="E2" s="5" t="s">
        <v>3186</v>
      </c>
      <c r="F2" s="5" t="s">
        <v>3187</v>
      </c>
      <c r="G2" s="5" t="n">
        <v>1</v>
      </c>
      <c r="H2" s="5" t="n">
        <v>3</v>
      </c>
      <c r="I2" s="5" t="n">
        <v>2</v>
      </c>
      <c r="J2" s="5" t="s">
        <v>45</v>
      </c>
    </row>
    <row r="3" customFormat="false" ht="23.85" hidden="false" customHeight="false" outlineLevel="0" collapsed="false">
      <c r="A3" s="5" t="s">
        <v>3188</v>
      </c>
      <c r="B3" s="5" t="s">
        <v>3183</v>
      </c>
      <c r="C3" s="5" t="s">
        <v>3189</v>
      </c>
      <c r="D3" s="5" t="s">
        <v>3190</v>
      </c>
      <c r="E3" s="5" t="s">
        <v>3191</v>
      </c>
      <c r="F3" s="5" t="s">
        <v>3192</v>
      </c>
      <c r="G3" s="5" t="n">
        <v>3</v>
      </c>
      <c r="H3" s="5" t="n">
        <v>2</v>
      </c>
      <c r="I3" s="5" t="n">
        <v>1</v>
      </c>
      <c r="J3" s="5" t="s">
        <v>45</v>
      </c>
    </row>
    <row r="4" customFormat="false" ht="35.05" hidden="false" customHeight="false" outlineLevel="0" collapsed="false">
      <c r="A4" s="5" t="s">
        <v>3193</v>
      </c>
      <c r="B4" s="5" t="s">
        <v>3194</v>
      </c>
      <c r="C4" s="5" t="s">
        <v>3195</v>
      </c>
      <c r="D4" s="5" t="s">
        <v>3196</v>
      </c>
      <c r="E4" s="5" t="s">
        <v>3197</v>
      </c>
      <c r="F4" s="5" t="s">
        <v>3198</v>
      </c>
      <c r="G4" s="5" t="n">
        <v>3</v>
      </c>
      <c r="H4" s="5" t="n">
        <v>2</v>
      </c>
      <c r="I4" s="5" t="n">
        <v>1</v>
      </c>
      <c r="J4" s="5" t="s">
        <v>45</v>
      </c>
    </row>
    <row r="5" customFormat="false" ht="23.85" hidden="false" customHeight="false" outlineLevel="0" collapsed="false">
      <c r="A5" s="5" t="s">
        <v>3199</v>
      </c>
      <c r="B5" s="5" t="s">
        <v>3194</v>
      </c>
      <c r="C5" s="5" t="s">
        <v>3200</v>
      </c>
      <c r="D5" s="5" t="s">
        <v>3201</v>
      </c>
      <c r="E5" s="5" t="s">
        <v>3202</v>
      </c>
      <c r="F5" s="5" t="s">
        <v>3203</v>
      </c>
      <c r="G5" s="5" t="n">
        <v>1</v>
      </c>
      <c r="H5" s="5" t="n">
        <v>3</v>
      </c>
      <c r="I5" s="5" t="n">
        <v>2</v>
      </c>
      <c r="J5" s="5" t="s">
        <v>45</v>
      </c>
    </row>
    <row r="6" customFormat="false" ht="23.85" hidden="false" customHeight="false" outlineLevel="0" collapsed="false">
      <c r="A6" s="5" t="s">
        <v>3204</v>
      </c>
      <c r="B6" s="5" t="s">
        <v>3205</v>
      </c>
      <c r="C6" s="5" t="s">
        <v>3206</v>
      </c>
      <c r="D6" s="5" t="s">
        <v>3207</v>
      </c>
      <c r="E6" s="5" t="s">
        <v>3208</v>
      </c>
      <c r="F6" s="5" t="s">
        <v>3209</v>
      </c>
      <c r="G6" s="5" t="n">
        <v>1</v>
      </c>
      <c r="H6" s="5" t="n">
        <v>3</v>
      </c>
      <c r="I6" s="5" t="n">
        <v>2</v>
      </c>
      <c r="J6" s="5" t="s">
        <v>45</v>
      </c>
    </row>
    <row r="7" customFormat="false" ht="23.85" hidden="false" customHeight="false" outlineLevel="0" collapsed="false">
      <c r="A7" s="5" t="s">
        <v>3210</v>
      </c>
      <c r="B7" s="5" t="s">
        <v>3205</v>
      </c>
      <c r="C7" s="5" t="s">
        <v>3211</v>
      </c>
      <c r="D7" s="5" t="s">
        <v>3212</v>
      </c>
      <c r="E7" s="5" t="s">
        <v>3213</v>
      </c>
      <c r="F7" s="5" t="s">
        <v>3214</v>
      </c>
      <c r="G7" s="5" t="n">
        <v>3</v>
      </c>
      <c r="H7" s="5" t="n">
        <v>1</v>
      </c>
      <c r="I7" s="5" t="n">
        <v>2</v>
      </c>
      <c r="J7" s="5" t="s">
        <v>45</v>
      </c>
    </row>
    <row r="8" customFormat="false" ht="23.85" hidden="false" customHeight="false" outlineLevel="0" collapsed="false">
      <c r="A8" s="5" t="s">
        <v>3215</v>
      </c>
      <c r="B8" s="5" t="s">
        <v>3216</v>
      </c>
      <c r="C8" s="5" t="s">
        <v>3217</v>
      </c>
      <c r="D8" s="5" t="s">
        <v>3218</v>
      </c>
      <c r="E8" s="5" t="s">
        <v>3219</v>
      </c>
      <c r="F8" s="5" t="s">
        <v>3220</v>
      </c>
      <c r="G8" s="5" t="n">
        <v>1</v>
      </c>
      <c r="H8" s="5" t="n">
        <v>3</v>
      </c>
      <c r="I8" s="5" t="n">
        <v>2</v>
      </c>
      <c r="J8" s="5" t="s">
        <v>45</v>
      </c>
    </row>
    <row r="9" customFormat="false" ht="23.85" hidden="false" customHeight="false" outlineLevel="0" collapsed="false">
      <c r="A9" s="5" t="s">
        <v>3221</v>
      </c>
      <c r="B9" s="5" t="s">
        <v>3216</v>
      </c>
      <c r="C9" s="5" t="s">
        <v>3222</v>
      </c>
      <c r="D9" s="5" t="s">
        <v>3223</v>
      </c>
      <c r="E9" s="5" t="s">
        <v>3224</v>
      </c>
      <c r="F9" s="5" t="s">
        <v>3225</v>
      </c>
      <c r="G9" s="5" t="n">
        <v>1</v>
      </c>
      <c r="H9" s="5" t="n">
        <v>3</v>
      </c>
      <c r="I9" s="5" t="n">
        <v>2</v>
      </c>
      <c r="J9" s="5" t="s">
        <v>45</v>
      </c>
    </row>
    <row r="10" customFormat="false" ht="23.85" hidden="false" customHeight="false" outlineLevel="0" collapsed="false">
      <c r="A10" s="5" t="s">
        <v>3226</v>
      </c>
      <c r="B10" s="5" t="s">
        <v>3227</v>
      </c>
      <c r="C10" s="5" t="s">
        <v>3228</v>
      </c>
      <c r="D10" s="5" t="s">
        <v>3229</v>
      </c>
      <c r="E10" s="5" t="s">
        <v>3230</v>
      </c>
      <c r="F10" s="5" t="s">
        <v>3231</v>
      </c>
      <c r="G10" s="5" t="n">
        <v>3</v>
      </c>
      <c r="H10" s="5" t="n">
        <v>1</v>
      </c>
      <c r="I10" s="5" t="n">
        <v>2</v>
      </c>
      <c r="J10" s="5" t="s">
        <v>45</v>
      </c>
    </row>
    <row r="11" customFormat="false" ht="23.85" hidden="false" customHeight="false" outlineLevel="0" collapsed="false">
      <c r="A11" s="5" t="s">
        <v>3232</v>
      </c>
      <c r="B11" s="5" t="s">
        <v>3227</v>
      </c>
      <c r="C11" s="5" t="s">
        <v>3233</v>
      </c>
      <c r="D11" s="5" t="s">
        <v>3234</v>
      </c>
      <c r="E11" s="5" t="s">
        <v>3235</v>
      </c>
      <c r="F11" s="5" t="s">
        <v>3236</v>
      </c>
      <c r="G11" s="5" t="n">
        <v>2</v>
      </c>
      <c r="H11" s="5" t="n">
        <v>3</v>
      </c>
      <c r="I11" s="5" t="n">
        <v>1</v>
      </c>
      <c r="J11" s="5" t="s">
        <v>45</v>
      </c>
    </row>
    <row r="12" customFormat="false" ht="35.05" hidden="false" customHeight="false" outlineLevel="0" collapsed="false">
      <c r="A12" s="5" t="s">
        <v>3237</v>
      </c>
      <c r="B12" s="5" t="s">
        <v>3238</v>
      </c>
      <c r="C12" s="5" t="s">
        <v>3239</v>
      </c>
      <c r="D12" s="5" t="s">
        <v>3240</v>
      </c>
      <c r="E12" s="5" t="s">
        <v>3241</v>
      </c>
      <c r="F12" s="5" t="s">
        <v>3242</v>
      </c>
      <c r="G12" s="5" t="n">
        <v>2</v>
      </c>
      <c r="H12" s="5" t="n">
        <v>3</v>
      </c>
      <c r="I12" s="5" t="n">
        <v>1</v>
      </c>
      <c r="J12" s="5" t="s">
        <v>45</v>
      </c>
    </row>
    <row r="13" customFormat="false" ht="23.85" hidden="false" customHeight="false" outlineLevel="0" collapsed="false">
      <c r="A13" s="5" t="s">
        <v>3243</v>
      </c>
      <c r="B13" s="5" t="s">
        <v>3238</v>
      </c>
      <c r="C13" s="5" t="s">
        <v>3244</v>
      </c>
      <c r="D13" s="5" t="s">
        <v>3245</v>
      </c>
      <c r="E13" s="5" t="s">
        <v>3246</v>
      </c>
      <c r="F13" s="5" t="s">
        <v>3247</v>
      </c>
      <c r="G13" s="5" t="n">
        <v>2</v>
      </c>
      <c r="H13" s="5" t="n">
        <v>3</v>
      </c>
      <c r="I13" s="5" t="n">
        <v>1</v>
      </c>
      <c r="J13" s="5" t="s">
        <v>45</v>
      </c>
    </row>
    <row r="14" customFormat="false" ht="23.85" hidden="false" customHeight="false" outlineLevel="0" collapsed="false">
      <c r="A14" s="5" t="s">
        <v>3248</v>
      </c>
      <c r="B14" s="5" t="s">
        <v>3249</v>
      </c>
      <c r="C14" s="5" t="s">
        <v>3250</v>
      </c>
      <c r="D14" s="5" t="s">
        <v>3251</v>
      </c>
      <c r="E14" s="5" t="s">
        <v>3252</v>
      </c>
      <c r="F14" s="5" t="s">
        <v>3253</v>
      </c>
      <c r="G14" s="5" t="n">
        <v>1</v>
      </c>
      <c r="H14" s="5" t="n">
        <v>3</v>
      </c>
      <c r="I14" s="5" t="n">
        <v>2</v>
      </c>
      <c r="J14" s="5" t="s">
        <v>45</v>
      </c>
    </row>
    <row r="15" customFormat="false" ht="23.85" hidden="false" customHeight="false" outlineLevel="0" collapsed="false">
      <c r="A15" s="5" t="s">
        <v>3254</v>
      </c>
      <c r="B15" s="5" t="s">
        <v>3249</v>
      </c>
      <c r="C15" s="5" t="s">
        <v>3255</v>
      </c>
      <c r="D15" s="5" t="s">
        <v>3256</v>
      </c>
      <c r="E15" s="5" t="s">
        <v>3257</v>
      </c>
      <c r="F15" s="5" t="s">
        <v>3258</v>
      </c>
      <c r="G15" s="5" t="n">
        <v>3</v>
      </c>
      <c r="H15" s="5" t="n">
        <v>1</v>
      </c>
      <c r="I15" s="5" t="n">
        <v>2</v>
      </c>
      <c r="J15" s="5" t="s">
        <v>45</v>
      </c>
    </row>
    <row r="16" customFormat="false" ht="35.05" hidden="false" customHeight="false" outlineLevel="0" collapsed="false">
      <c r="A16" s="5" t="s">
        <v>3259</v>
      </c>
      <c r="B16" s="5" t="s">
        <v>3260</v>
      </c>
      <c r="C16" s="5" t="s">
        <v>3261</v>
      </c>
      <c r="D16" s="5" t="s">
        <v>3262</v>
      </c>
      <c r="E16" s="5" t="s">
        <v>3263</v>
      </c>
      <c r="F16" s="5" t="s">
        <v>3264</v>
      </c>
      <c r="G16" s="5" t="n">
        <v>3</v>
      </c>
      <c r="H16" s="5" t="n">
        <v>2</v>
      </c>
      <c r="I16" s="5" t="n">
        <v>1</v>
      </c>
      <c r="J16" s="5" t="s">
        <v>45</v>
      </c>
    </row>
    <row r="17" customFormat="false" ht="35.05" hidden="false" customHeight="false" outlineLevel="0" collapsed="false">
      <c r="A17" s="5" t="s">
        <v>3265</v>
      </c>
      <c r="B17" s="5" t="s">
        <v>3260</v>
      </c>
      <c r="C17" s="5" t="s">
        <v>3266</v>
      </c>
      <c r="D17" s="5" t="s">
        <v>3267</v>
      </c>
      <c r="E17" s="5" t="s">
        <v>3268</v>
      </c>
      <c r="F17" s="5" t="s">
        <v>3269</v>
      </c>
      <c r="G17" s="5" t="n">
        <v>1</v>
      </c>
      <c r="H17" s="5" t="n">
        <v>3</v>
      </c>
      <c r="I17" s="5" t="n">
        <v>2</v>
      </c>
      <c r="J17" s="5" t="s">
        <v>45</v>
      </c>
    </row>
    <row r="18" customFormat="false" ht="23.85" hidden="false" customHeight="false" outlineLevel="0" collapsed="false">
      <c r="A18" s="5" t="s">
        <v>3270</v>
      </c>
      <c r="B18" s="5" t="s">
        <v>3271</v>
      </c>
      <c r="C18" s="5" t="s">
        <v>3272</v>
      </c>
      <c r="D18" s="5" t="s">
        <v>3273</v>
      </c>
      <c r="E18" s="5" t="s">
        <v>3274</v>
      </c>
      <c r="F18" s="5" t="s">
        <v>3275</v>
      </c>
      <c r="G18" s="5" t="n">
        <v>1</v>
      </c>
      <c r="H18" s="5" t="n">
        <v>3</v>
      </c>
      <c r="I18" s="5" t="n">
        <v>2</v>
      </c>
      <c r="J18" s="5" t="s">
        <v>45</v>
      </c>
    </row>
    <row r="19" customFormat="false" ht="23.85" hidden="false" customHeight="false" outlineLevel="0" collapsed="false">
      <c r="A19" s="5" t="s">
        <v>3276</v>
      </c>
      <c r="B19" s="5" t="s">
        <v>3271</v>
      </c>
      <c r="C19" s="5" t="s">
        <v>3277</v>
      </c>
      <c r="D19" s="5" t="s">
        <v>3278</v>
      </c>
      <c r="E19" s="5" t="s">
        <v>3279</v>
      </c>
      <c r="F19" s="5" t="s">
        <v>3280</v>
      </c>
      <c r="G19" s="5" t="n">
        <v>2</v>
      </c>
      <c r="H19" s="5" t="n">
        <v>3</v>
      </c>
      <c r="I19" s="5" t="n">
        <v>1</v>
      </c>
      <c r="J19" s="5" t="s">
        <v>45</v>
      </c>
    </row>
    <row r="20" customFormat="false" ht="23.85" hidden="false" customHeight="false" outlineLevel="0" collapsed="false">
      <c r="A20" s="5" t="s">
        <v>3281</v>
      </c>
      <c r="B20" s="5" t="s">
        <v>3282</v>
      </c>
      <c r="C20" s="5" t="s">
        <v>3283</v>
      </c>
      <c r="D20" s="5" t="s">
        <v>3284</v>
      </c>
      <c r="E20" s="5" t="s">
        <v>3285</v>
      </c>
      <c r="F20" s="5" t="s">
        <v>3286</v>
      </c>
      <c r="G20" s="5" t="n">
        <v>3</v>
      </c>
      <c r="H20" s="5" t="n">
        <v>2</v>
      </c>
      <c r="I20" s="5" t="n">
        <v>1</v>
      </c>
      <c r="J20" s="5" t="s">
        <v>45</v>
      </c>
    </row>
    <row r="21" customFormat="false" ht="23.85" hidden="false" customHeight="false" outlineLevel="0" collapsed="false">
      <c r="A21" s="5" t="s">
        <v>3287</v>
      </c>
      <c r="B21" s="5" t="s">
        <v>3282</v>
      </c>
      <c r="C21" s="5" t="s">
        <v>3288</v>
      </c>
      <c r="D21" s="5" t="s">
        <v>3289</v>
      </c>
      <c r="E21" s="5" t="s">
        <v>3290</v>
      </c>
      <c r="F21" s="5" t="s">
        <v>3291</v>
      </c>
      <c r="G21" s="5" t="n">
        <v>1</v>
      </c>
      <c r="H21" s="5" t="n">
        <v>3</v>
      </c>
      <c r="I21" s="5" t="n">
        <v>2</v>
      </c>
      <c r="J21" s="5" t="s">
        <v>45</v>
      </c>
    </row>
    <row r="22" customFormat="false" ht="35.05" hidden="false" customHeight="false" outlineLevel="0" collapsed="false">
      <c r="A22" s="5" t="s">
        <v>3292</v>
      </c>
      <c r="B22" s="5" t="s">
        <v>3183</v>
      </c>
      <c r="C22" s="5" t="s">
        <v>3293</v>
      </c>
      <c r="D22" s="5" t="s">
        <v>3294</v>
      </c>
      <c r="E22" s="5" t="s">
        <v>3295</v>
      </c>
      <c r="F22" s="5" t="s">
        <v>3296</v>
      </c>
      <c r="G22" s="5" t="n">
        <v>3</v>
      </c>
      <c r="H22" s="5" t="n">
        <v>1</v>
      </c>
      <c r="I22" s="5" t="n">
        <v>2</v>
      </c>
      <c r="J22" s="5" t="s">
        <v>45</v>
      </c>
    </row>
    <row r="23" customFormat="false" ht="23.85" hidden="false" customHeight="false" outlineLevel="0" collapsed="false">
      <c r="A23" s="5" t="s">
        <v>3297</v>
      </c>
      <c r="B23" s="5" t="s">
        <v>3183</v>
      </c>
      <c r="C23" s="5" t="s">
        <v>3298</v>
      </c>
      <c r="D23" s="5" t="s">
        <v>3299</v>
      </c>
      <c r="E23" s="5" t="s">
        <v>3300</v>
      </c>
      <c r="F23" s="5" t="s">
        <v>3301</v>
      </c>
      <c r="G23" s="5" t="n">
        <v>3</v>
      </c>
      <c r="H23" s="5" t="n">
        <v>2</v>
      </c>
      <c r="I23" s="5" t="n">
        <v>1</v>
      </c>
      <c r="J23" s="5" t="s">
        <v>45</v>
      </c>
    </row>
    <row r="24" customFormat="false" ht="23.85" hidden="false" customHeight="false" outlineLevel="0" collapsed="false">
      <c r="A24" s="5" t="s">
        <v>3302</v>
      </c>
      <c r="B24" s="5" t="s">
        <v>3194</v>
      </c>
      <c r="C24" s="5" t="s">
        <v>3303</v>
      </c>
      <c r="D24" s="5" t="s">
        <v>3304</v>
      </c>
      <c r="E24" s="5" t="s">
        <v>3305</v>
      </c>
      <c r="F24" s="5" t="s">
        <v>3306</v>
      </c>
      <c r="G24" s="5" t="n">
        <v>3</v>
      </c>
      <c r="H24" s="5" t="n">
        <v>1</v>
      </c>
      <c r="I24" s="5" t="n">
        <v>2</v>
      </c>
      <c r="J24" s="5" t="s">
        <v>45</v>
      </c>
    </row>
    <row r="25" customFormat="false" ht="23.85" hidden="false" customHeight="false" outlineLevel="0" collapsed="false">
      <c r="A25" s="5" t="s">
        <v>3307</v>
      </c>
      <c r="B25" s="5" t="s">
        <v>3194</v>
      </c>
      <c r="C25" s="5" t="s">
        <v>3308</v>
      </c>
      <c r="D25" s="5" t="s">
        <v>3309</v>
      </c>
      <c r="E25" s="5" t="s">
        <v>3310</v>
      </c>
      <c r="F25" s="5" t="s">
        <v>3311</v>
      </c>
      <c r="G25" s="5" t="n">
        <v>3</v>
      </c>
      <c r="H25" s="5" t="n">
        <v>1</v>
      </c>
      <c r="I25" s="5" t="n">
        <v>2</v>
      </c>
      <c r="J25" s="5" t="s">
        <v>45</v>
      </c>
    </row>
    <row r="26" customFormat="false" ht="23.85" hidden="false" customHeight="false" outlineLevel="0" collapsed="false">
      <c r="A26" s="5" t="s">
        <v>3312</v>
      </c>
      <c r="B26" s="5" t="s">
        <v>3205</v>
      </c>
      <c r="C26" s="5" t="s">
        <v>3313</v>
      </c>
      <c r="D26" s="5" t="s">
        <v>3314</v>
      </c>
      <c r="E26" s="5" t="s">
        <v>3315</v>
      </c>
      <c r="F26" s="5" t="s">
        <v>3316</v>
      </c>
      <c r="G26" s="5" t="n">
        <v>3</v>
      </c>
      <c r="H26" s="5" t="n">
        <v>1</v>
      </c>
      <c r="I26" s="5" t="n">
        <v>2</v>
      </c>
      <c r="J26" s="5" t="s">
        <v>45</v>
      </c>
    </row>
    <row r="27" customFormat="false" ht="23.85" hidden="false" customHeight="false" outlineLevel="0" collapsed="false">
      <c r="A27" s="5" t="s">
        <v>3317</v>
      </c>
      <c r="B27" s="5" t="s">
        <v>3205</v>
      </c>
      <c r="C27" s="5" t="s">
        <v>3318</v>
      </c>
      <c r="D27" s="5" t="s">
        <v>3319</v>
      </c>
      <c r="E27" s="5" t="s">
        <v>3320</v>
      </c>
      <c r="F27" s="5" t="s">
        <v>3321</v>
      </c>
      <c r="G27" s="5" t="n">
        <v>3</v>
      </c>
      <c r="H27" s="5" t="n">
        <v>2</v>
      </c>
      <c r="I27" s="5" t="n">
        <v>1</v>
      </c>
      <c r="J27" s="5" t="s">
        <v>45</v>
      </c>
    </row>
    <row r="28" customFormat="false" ht="35.05" hidden="false" customHeight="false" outlineLevel="0" collapsed="false">
      <c r="A28" s="5" t="s">
        <v>3322</v>
      </c>
      <c r="B28" s="5" t="s">
        <v>3216</v>
      </c>
      <c r="C28" s="5" t="s">
        <v>3323</v>
      </c>
      <c r="D28" s="5" t="s">
        <v>3324</v>
      </c>
      <c r="E28" s="5" t="s">
        <v>3325</v>
      </c>
      <c r="F28" s="5" t="s">
        <v>3326</v>
      </c>
      <c r="G28" s="5" t="n">
        <v>3</v>
      </c>
      <c r="H28" s="5" t="n">
        <v>2</v>
      </c>
      <c r="I28" s="5" t="n">
        <v>1</v>
      </c>
      <c r="J28" s="5" t="s">
        <v>45</v>
      </c>
    </row>
    <row r="29" customFormat="false" ht="35.05" hidden="false" customHeight="false" outlineLevel="0" collapsed="false">
      <c r="A29" s="5" t="s">
        <v>3327</v>
      </c>
      <c r="B29" s="5" t="s">
        <v>3216</v>
      </c>
      <c r="C29" s="5" t="s">
        <v>3328</v>
      </c>
      <c r="D29" s="5" t="s">
        <v>3329</v>
      </c>
      <c r="E29" s="5" t="s">
        <v>3330</v>
      </c>
      <c r="F29" s="5" t="s">
        <v>3331</v>
      </c>
      <c r="G29" s="5" t="n">
        <v>3</v>
      </c>
      <c r="H29" s="5" t="n">
        <v>2</v>
      </c>
      <c r="I29" s="5" t="n">
        <v>1</v>
      </c>
      <c r="J29" s="5" t="s">
        <v>45</v>
      </c>
    </row>
    <row r="30" customFormat="false" ht="23.85" hidden="false" customHeight="false" outlineLevel="0" collapsed="false">
      <c r="A30" s="5" t="s">
        <v>3332</v>
      </c>
      <c r="B30" s="5" t="s">
        <v>3227</v>
      </c>
      <c r="C30" s="5" t="s">
        <v>3333</v>
      </c>
      <c r="D30" s="5" t="s">
        <v>3334</v>
      </c>
      <c r="E30" s="5" t="s">
        <v>3335</v>
      </c>
      <c r="F30" s="5" t="s">
        <v>3336</v>
      </c>
      <c r="G30" s="5" t="n">
        <v>3</v>
      </c>
      <c r="H30" s="5" t="n">
        <v>2</v>
      </c>
      <c r="I30" s="5" t="n">
        <v>1</v>
      </c>
      <c r="J30" s="5" t="s">
        <v>45</v>
      </c>
    </row>
    <row r="31" customFormat="false" ht="23.85" hidden="false" customHeight="false" outlineLevel="0" collapsed="false">
      <c r="A31" s="5" t="s">
        <v>3337</v>
      </c>
      <c r="B31" s="5" t="s">
        <v>3227</v>
      </c>
      <c r="C31" s="5" t="s">
        <v>3338</v>
      </c>
      <c r="D31" s="5" t="s">
        <v>3339</v>
      </c>
      <c r="E31" s="5" t="s">
        <v>3340</v>
      </c>
      <c r="F31" s="5" t="s">
        <v>3341</v>
      </c>
      <c r="G31" s="5" t="n">
        <v>3</v>
      </c>
      <c r="H31" s="5" t="n">
        <v>2</v>
      </c>
      <c r="I31" s="5" t="n">
        <v>1</v>
      </c>
      <c r="J31" s="5" t="s">
        <v>45</v>
      </c>
    </row>
    <row r="32" customFormat="false" ht="23.85" hidden="false" customHeight="false" outlineLevel="0" collapsed="false">
      <c r="A32" s="5" t="s">
        <v>3342</v>
      </c>
      <c r="B32" s="5" t="s">
        <v>3238</v>
      </c>
      <c r="C32" s="5" t="s">
        <v>3343</v>
      </c>
      <c r="D32" s="5" t="s">
        <v>3344</v>
      </c>
      <c r="E32" s="5" t="s">
        <v>3345</v>
      </c>
      <c r="F32" s="5" t="s">
        <v>3346</v>
      </c>
      <c r="G32" s="5" t="n">
        <v>3</v>
      </c>
      <c r="H32" s="5" t="n">
        <v>2</v>
      </c>
      <c r="I32" s="5" t="n">
        <v>1</v>
      </c>
      <c r="J32" s="5" t="s">
        <v>45</v>
      </c>
    </row>
    <row r="33" customFormat="false" ht="23.85" hidden="false" customHeight="false" outlineLevel="0" collapsed="false">
      <c r="A33" s="5" t="s">
        <v>3347</v>
      </c>
      <c r="B33" s="5" t="s">
        <v>3238</v>
      </c>
      <c r="C33" s="5" t="s">
        <v>3348</v>
      </c>
      <c r="D33" s="5" t="s">
        <v>3349</v>
      </c>
      <c r="E33" s="5" t="s">
        <v>3350</v>
      </c>
      <c r="F33" s="5" t="s">
        <v>3351</v>
      </c>
      <c r="G33" s="5" t="n">
        <v>3</v>
      </c>
      <c r="H33" s="5" t="n">
        <v>1</v>
      </c>
      <c r="I33" s="5" t="n">
        <v>2</v>
      </c>
      <c r="J33" s="5" t="s">
        <v>45</v>
      </c>
    </row>
    <row r="34" customFormat="false" ht="23.85" hidden="false" customHeight="false" outlineLevel="0" collapsed="false">
      <c r="A34" s="5" t="s">
        <v>3352</v>
      </c>
      <c r="B34" s="5" t="s">
        <v>3249</v>
      </c>
      <c r="C34" s="5" t="s">
        <v>3353</v>
      </c>
      <c r="D34" s="5" t="s">
        <v>3354</v>
      </c>
      <c r="E34" s="5" t="s">
        <v>3355</v>
      </c>
      <c r="F34" s="5" t="s">
        <v>3356</v>
      </c>
      <c r="G34" s="5" t="n">
        <v>3</v>
      </c>
      <c r="H34" s="5" t="n">
        <v>1</v>
      </c>
      <c r="I34" s="5" t="n">
        <v>2</v>
      </c>
      <c r="J34" s="5" t="s">
        <v>45</v>
      </c>
    </row>
    <row r="35" customFormat="false" ht="23.85" hidden="false" customHeight="false" outlineLevel="0" collapsed="false">
      <c r="A35" s="5" t="s">
        <v>3357</v>
      </c>
      <c r="B35" s="5" t="s">
        <v>3249</v>
      </c>
      <c r="C35" s="5" t="s">
        <v>3358</v>
      </c>
      <c r="D35" s="5" t="s">
        <v>3359</v>
      </c>
      <c r="E35" s="5" t="s">
        <v>3360</v>
      </c>
      <c r="F35" s="5" t="s">
        <v>3361</v>
      </c>
      <c r="G35" s="5" t="n">
        <v>3</v>
      </c>
      <c r="H35" s="5" t="n">
        <v>2</v>
      </c>
      <c r="I35" s="5" t="n">
        <v>1</v>
      </c>
      <c r="J35" s="5" t="s">
        <v>45</v>
      </c>
    </row>
    <row r="36" customFormat="false" ht="35.05" hidden="false" customHeight="false" outlineLevel="0" collapsed="false">
      <c r="A36" s="5" t="s">
        <v>3362</v>
      </c>
      <c r="B36" s="5" t="s">
        <v>3260</v>
      </c>
      <c r="C36" s="5" t="s">
        <v>3363</v>
      </c>
      <c r="D36" s="5" t="s">
        <v>3364</v>
      </c>
      <c r="E36" s="5" t="s">
        <v>3365</v>
      </c>
      <c r="F36" s="5" t="s">
        <v>3366</v>
      </c>
      <c r="G36" s="5" t="n">
        <v>3</v>
      </c>
      <c r="H36" s="5" t="n">
        <v>2</v>
      </c>
      <c r="I36" s="5" t="n">
        <v>1</v>
      </c>
      <c r="J36" s="5" t="s">
        <v>45</v>
      </c>
    </row>
    <row r="37" customFormat="false" ht="23.85" hidden="false" customHeight="false" outlineLevel="0" collapsed="false">
      <c r="A37" s="5" t="s">
        <v>3367</v>
      </c>
      <c r="B37" s="5" t="s">
        <v>3260</v>
      </c>
      <c r="C37" s="5" t="s">
        <v>3368</v>
      </c>
      <c r="D37" s="5" t="s">
        <v>3369</v>
      </c>
      <c r="E37" s="5" t="s">
        <v>3370</v>
      </c>
      <c r="F37" s="5" t="s">
        <v>3371</v>
      </c>
      <c r="G37" s="5" t="n">
        <v>3</v>
      </c>
      <c r="H37" s="5" t="n">
        <v>1</v>
      </c>
      <c r="I37" s="5" t="n">
        <v>2</v>
      </c>
      <c r="J37" s="5" t="s">
        <v>45</v>
      </c>
    </row>
    <row r="38" customFormat="false" ht="23.85" hidden="false" customHeight="false" outlineLevel="0" collapsed="false">
      <c r="A38" s="5" t="s">
        <v>3372</v>
      </c>
      <c r="B38" s="5" t="s">
        <v>3271</v>
      </c>
      <c r="C38" s="5" t="s">
        <v>3373</v>
      </c>
      <c r="D38" s="5" t="s">
        <v>3374</v>
      </c>
      <c r="E38" s="5" t="s">
        <v>3375</v>
      </c>
      <c r="F38" s="5" t="s">
        <v>3376</v>
      </c>
      <c r="G38" s="5" t="n">
        <v>3</v>
      </c>
      <c r="H38" s="5" t="n">
        <v>1</v>
      </c>
      <c r="I38" s="5" t="n">
        <v>2</v>
      </c>
      <c r="J38" s="5" t="s">
        <v>45</v>
      </c>
    </row>
    <row r="39" customFormat="false" ht="23.85" hidden="false" customHeight="false" outlineLevel="0" collapsed="false">
      <c r="A39" s="5" t="s">
        <v>3377</v>
      </c>
      <c r="B39" s="5" t="s">
        <v>3271</v>
      </c>
      <c r="C39" s="5" t="s">
        <v>3378</v>
      </c>
      <c r="D39" s="5" t="s">
        <v>3379</v>
      </c>
      <c r="E39" s="5" t="s">
        <v>3380</v>
      </c>
      <c r="F39" s="5" t="s">
        <v>3381</v>
      </c>
      <c r="G39" s="5" t="n">
        <v>3</v>
      </c>
      <c r="H39" s="5" t="n">
        <v>1</v>
      </c>
      <c r="I39" s="5" t="n">
        <v>2</v>
      </c>
      <c r="J39" s="5" t="s">
        <v>45</v>
      </c>
    </row>
    <row r="40" customFormat="false" ht="23.85" hidden="false" customHeight="false" outlineLevel="0" collapsed="false">
      <c r="A40" s="5" t="s">
        <v>3382</v>
      </c>
      <c r="B40" s="5" t="s">
        <v>3282</v>
      </c>
      <c r="C40" s="5" t="s">
        <v>3383</v>
      </c>
      <c r="D40" s="5" t="s">
        <v>3384</v>
      </c>
      <c r="E40" s="5" t="s">
        <v>3385</v>
      </c>
      <c r="F40" s="5" t="s">
        <v>3386</v>
      </c>
      <c r="G40" s="5" t="n">
        <v>3</v>
      </c>
      <c r="H40" s="5" t="n">
        <v>2</v>
      </c>
      <c r="I40" s="5" t="n">
        <v>1</v>
      </c>
      <c r="J40" s="5" t="s">
        <v>45</v>
      </c>
    </row>
    <row r="41" customFormat="false" ht="23.85" hidden="false" customHeight="false" outlineLevel="0" collapsed="false">
      <c r="A41" s="5" t="s">
        <v>3387</v>
      </c>
      <c r="B41" s="5" t="s">
        <v>3282</v>
      </c>
      <c r="C41" s="5" t="s">
        <v>3388</v>
      </c>
      <c r="D41" s="5" t="s">
        <v>3389</v>
      </c>
      <c r="E41" s="5" t="s">
        <v>3390</v>
      </c>
      <c r="F41" s="5" t="s">
        <v>3391</v>
      </c>
      <c r="G41" s="5" t="n">
        <v>3</v>
      </c>
      <c r="H41" s="5" t="n">
        <v>1</v>
      </c>
      <c r="I41" s="5" t="n">
        <v>2</v>
      </c>
      <c r="J41" s="5" t="s">
        <v>45</v>
      </c>
    </row>
    <row r="42" customFormat="false" ht="23.85" hidden="false" customHeight="false" outlineLevel="0" collapsed="false">
      <c r="A42" s="5" t="s">
        <v>3392</v>
      </c>
      <c r="B42" s="5" t="s">
        <v>3183</v>
      </c>
      <c r="C42" s="5" t="s">
        <v>3393</v>
      </c>
      <c r="D42" s="5" t="s">
        <v>3394</v>
      </c>
      <c r="E42" s="5" t="s">
        <v>3395</v>
      </c>
      <c r="F42" s="5" t="s">
        <v>3396</v>
      </c>
      <c r="G42" s="5" t="n">
        <v>3</v>
      </c>
      <c r="H42" s="5" t="n">
        <v>1</v>
      </c>
      <c r="I42" s="5" t="n">
        <v>2</v>
      </c>
      <c r="J42" s="5" t="s">
        <v>45</v>
      </c>
    </row>
    <row r="43" customFormat="false" ht="23.85" hidden="false" customHeight="false" outlineLevel="0" collapsed="false">
      <c r="A43" s="5" t="s">
        <v>3397</v>
      </c>
      <c r="B43" s="5" t="s">
        <v>3183</v>
      </c>
      <c r="C43" s="5" t="s">
        <v>3398</v>
      </c>
      <c r="D43" s="5" t="s">
        <v>3399</v>
      </c>
      <c r="E43" s="5" t="s">
        <v>3400</v>
      </c>
      <c r="F43" s="5" t="s">
        <v>3401</v>
      </c>
      <c r="G43" s="5" t="n">
        <v>3</v>
      </c>
      <c r="H43" s="5" t="n">
        <v>1</v>
      </c>
      <c r="I43" s="5" t="n">
        <v>2</v>
      </c>
      <c r="J43" s="5" t="s">
        <v>45</v>
      </c>
    </row>
    <row r="44" customFormat="false" ht="23.85" hidden="false" customHeight="false" outlineLevel="0" collapsed="false">
      <c r="A44" s="5" t="s">
        <v>3402</v>
      </c>
      <c r="B44" s="5" t="s">
        <v>3183</v>
      </c>
      <c r="C44" s="5" t="s">
        <v>3403</v>
      </c>
      <c r="D44" s="5" t="s">
        <v>3404</v>
      </c>
      <c r="E44" s="5" t="s">
        <v>3405</v>
      </c>
      <c r="F44" s="5" t="s">
        <v>3406</v>
      </c>
      <c r="G44" s="5" t="n">
        <v>3</v>
      </c>
      <c r="H44" s="5" t="n">
        <v>2</v>
      </c>
      <c r="I44" s="5" t="n">
        <v>1</v>
      </c>
      <c r="J44" s="5" t="s">
        <v>45</v>
      </c>
    </row>
    <row r="45" customFormat="false" ht="23.85" hidden="false" customHeight="false" outlineLevel="0" collapsed="false">
      <c r="A45" s="5" t="s">
        <v>3407</v>
      </c>
      <c r="B45" s="5" t="s">
        <v>3194</v>
      </c>
      <c r="C45" s="5" t="s">
        <v>3408</v>
      </c>
      <c r="D45" s="5" t="s">
        <v>3409</v>
      </c>
      <c r="E45" s="5" t="s">
        <v>3410</v>
      </c>
      <c r="F45" s="5" t="s">
        <v>3411</v>
      </c>
      <c r="G45" s="5" t="n">
        <v>3</v>
      </c>
      <c r="H45" s="5" t="n">
        <v>1</v>
      </c>
      <c r="I45" s="5" t="n">
        <v>2</v>
      </c>
      <c r="J45" s="5" t="s">
        <v>45</v>
      </c>
    </row>
    <row r="46" customFormat="false" ht="23.85" hidden="false" customHeight="false" outlineLevel="0" collapsed="false">
      <c r="A46" s="5" t="s">
        <v>3412</v>
      </c>
      <c r="B46" s="5" t="s">
        <v>3194</v>
      </c>
      <c r="C46" s="5" t="s">
        <v>3413</v>
      </c>
      <c r="D46" s="5" t="s">
        <v>3414</v>
      </c>
      <c r="E46" s="5" t="s">
        <v>3415</v>
      </c>
      <c r="F46" s="5" t="s">
        <v>3416</v>
      </c>
      <c r="G46" s="5" t="n">
        <v>3</v>
      </c>
      <c r="H46" s="5" t="n">
        <v>2</v>
      </c>
      <c r="I46" s="5" t="n">
        <v>1</v>
      </c>
      <c r="J46" s="5" t="s">
        <v>45</v>
      </c>
    </row>
    <row r="47" customFormat="false" ht="23.85" hidden="false" customHeight="false" outlineLevel="0" collapsed="false">
      <c r="A47" s="5" t="s">
        <v>3417</v>
      </c>
      <c r="B47" s="5" t="s">
        <v>3194</v>
      </c>
      <c r="C47" s="5" t="s">
        <v>3418</v>
      </c>
      <c r="D47" s="5" t="s">
        <v>3419</v>
      </c>
      <c r="E47" s="5" t="s">
        <v>3420</v>
      </c>
      <c r="F47" s="5" t="s">
        <v>3421</v>
      </c>
      <c r="G47" s="5" t="n">
        <v>3</v>
      </c>
      <c r="H47" s="5" t="n">
        <v>1</v>
      </c>
      <c r="I47" s="5" t="n">
        <v>2</v>
      </c>
      <c r="J47" s="5" t="s">
        <v>45</v>
      </c>
    </row>
    <row r="48" customFormat="false" ht="23.85" hidden="false" customHeight="false" outlineLevel="0" collapsed="false">
      <c r="A48" s="5" t="s">
        <v>3422</v>
      </c>
      <c r="B48" s="5" t="s">
        <v>3205</v>
      </c>
      <c r="C48" s="5" t="s">
        <v>3423</v>
      </c>
      <c r="D48" s="5" t="s">
        <v>3424</v>
      </c>
      <c r="E48" s="5" t="s">
        <v>3425</v>
      </c>
      <c r="F48" s="5" t="s">
        <v>3426</v>
      </c>
      <c r="G48" s="5" t="n">
        <v>3</v>
      </c>
      <c r="H48" s="5" t="n">
        <v>2</v>
      </c>
      <c r="I48" s="5" t="n">
        <v>1</v>
      </c>
      <c r="J48" s="5" t="s">
        <v>45</v>
      </c>
    </row>
    <row r="49" customFormat="false" ht="23.85" hidden="false" customHeight="false" outlineLevel="0" collapsed="false">
      <c r="A49" s="5" t="s">
        <v>3427</v>
      </c>
      <c r="B49" s="5" t="s">
        <v>3205</v>
      </c>
      <c r="C49" s="5" t="s">
        <v>3428</v>
      </c>
      <c r="D49" s="5" t="s">
        <v>3429</v>
      </c>
      <c r="E49" s="5" t="s">
        <v>3430</v>
      </c>
      <c r="F49" s="5" t="s">
        <v>3431</v>
      </c>
      <c r="G49" s="5" t="n">
        <v>3</v>
      </c>
      <c r="H49" s="5" t="n">
        <v>2</v>
      </c>
      <c r="I49" s="5" t="n">
        <v>1</v>
      </c>
      <c r="J49" s="5" t="s">
        <v>45</v>
      </c>
    </row>
    <row r="50" customFormat="false" ht="23.85" hidden="false" customHeight="false" outlineLevel="0" collapsed="false">
      <c r="A50" s="5" t="s">
        <v>3432</v>
      </c>
      <c r="B50" s="5" t="s">
        <v>3205</v>
      </c>
      <c r="C50" s="5" t="s">
        <v>3433</v>
      </c>
      <c r="D50" s="5" t="s">
        <v>3434</v>
      </c>
      <c r="E50" s="5" t="s">
        <v>3435</v>
      </c>
      <c r="F50" s="5" t="s">
        <v>3436</v>
      </c>
      <c r="G50" s="5" t="n">
        <v>3</v>
      </c>
      <c r="H50" s="5" t="n">
        <v>2</v>
      </c>
      <c r="I50" s="5" t="n">
        <v>1</v>
      </c>
      <c r="J50" s="5" t="s">
        <v>45</v>
      </c>
    </row>
    <row r="51" customFormat="false" ht="23.85" hidden="false" customHeight="false" outlineLevel="0" collapsed="false">
      <c r="A51" s="5" t="s">
        <v>3437</v>
      </c>
      <c r="B51" s="5" t="s">
        <v>3216</v>
      </c>
      <c r="C51" s="5" t="s">
        <v>3438</v>
      </c>
      <c r="D51" s="5" t="s">
        <v>3439</v>
      </c>
      <c r="E51" s="5" t="s">
        <v>3440</v>
      </c>
      <c r="F51" s="5" t="s">
        <v>3441</v>
      </c>
      <c r="G51" s="5" t="n">
        <v>3</v>
      </c>
      <c r="H51" s="5" t="n">
        <v>1</v>
      </c>
      <c r="I51" s="5" t="n">
        <v>2</v>
      </c>
      <c r="J51" s="5" t="s">
        <v>45</v>
      </c>
    </row>
    <row r="52" customFormat="false" ht="23.85" hidden="false" customHeight="false" outlineLevel="0" collapsed="false">
      <c r="A52" s="5" t="s">
        <v>3442</v>
      </c>
      <c r="B52" s="5" t="s">
        <v>3216</v>
      </c>
      <c r="C52" s="5" t="s">
        <v>3443</v>
      </c>
      <c r="D52" s="5" t="s">
        <v>3444</v>
      </c>
      <c r="E52" s="5" t="s">
        <v>3445</v>
      </c>
      <c r="F52" s="5" t="s">
        <v>3446</v>
      </c>
      <c r="G52" s="5" t="n">
        <v>3</v>
      </c>
      <c r="H52" s="5" t="n">
        <v>1</v>
      </c>
      <c r="I52" s="5" t="n">
        <v>2</v>
      </c>
      <c r="J52" s="5" t="s">
        <v>45</v>
      </c>
    </row>
    <row r="53" customFormat="false" ht="23.85" hidden="false" customHeight="false" outlineLevel="0" collapsed="false">
      <c r="A53" s="5" t="s">
        <v>3447</v>
      </c>
      <c r="B53" s="5" t="s">
        <v>3216</v>
      </c>
      <c r="C53" s="5" t="s">
        <v>3448</v>
      </c>
      <c r="D53" s="5" t="s">
        <v>3449</v>
      </c>
      <c r="E53" s="5" t="s">
        <v>3450</v>
      </c>
      <c r="F53" s="5" t="s">
        <v>3451</v>
      </c>
      <c r="G53" s="5" t="n">
        <v>3</v>
      </c>
      <c r="H53" s="5" t="n">
        <v>1</v>
      </c>
      <c r="I53" s="5" t="n">
        <v>2</v>
      </c>
      <c r="J53" s="5" t="s">
        <v>45</v>
      </c>
    </row>
    <row r="54" customFormat="false" ht="23.85" hidden="false" customHeight="false" outlineLevel="0" collapsed="false">
      <c r="A54" s="5" t="s">
        <v>3452</v>
      </c>
      <c r="B54" s="5" t="s">
        <v>3227</v>
      </c>
      <c r="C54" s="5" t="s">
        <v>3453</v>
      </c>
      <c r="D54" s="5" t="s">
        <v>3454</v>
      </c>
      <c r="E54" s="5" t="s">
        <v>3455</v>
      </c>
      <c r="F54" s="5" t="s">
        <v>3456</v>
      </c>
      <c r="G54" s="5" t="n">
        <v>3</v>
      </c>
      <c r="H54" s="5" t="n">
        <v>2</v>
      </c>
      <c r="I54" s="5" t="n">
        <v>1</v>
      </c>
      <c r="J54" s="5" t="s">
        <v>45</v>
      </c>
    </row>
    <row r="55" customFormat="false" ht="23.85" hidden="false" customHeight="false" outlineLevel="0" collapsed="false">
      <c r="A55" s="5" t="s">
        <v>3457</v>
      </c>
      <c r="B55" s="5" t="s">
        <v>3227</v>
      </c>
      <c r="C55" s="5" t="s">
        <v>3458</v>
      </c>
      <c r="D55" s="5" t="s">
        <v>3459</v>
      </c>
      <c r="E55" s="5" t="s">
        <v>3460</v>
      </c>
      <c r="F55" s="5" t="s">
        <v>3461</v>
      </c>
      <c r="G55" s="5" t="n">
        <v>3</v>
      </c>
      <c r="H55" s="5" t="n">
        <v>1</v>
      </c>
      <c r="I55" s="5" t="n">
        <v>2</v>
      </c>
      <c r="J55" s="5" t="s">
        <v>45</v>
      </c>
    </row>
    <row r="56" customFormat="false" ht="23.85" hidden="false" customHeight="false" outlineLevel="0" collapsed="false">
      <c r="A56" s="5" t="s">
        <v>3462</v>
      </c>
      <c r="B56" s="5" t="s">
        <v>3227</v>
      </c>
      <c r="C56" s="5" t="s">
        <v>3463</v>
      </c>
      <c r="D56" s="5" t="s">
        <v>3464</v>
      </c>
      <c r="E56" s="5" t="s">
        <v>3465</v>
      </c>
      <c r="F56" s="5" t="s">
        <v>3466</v>
      </c>
      <c r="G56" s="5" t="n">
        <v>3</v>
      </c>
      <c r="H56" s="5" t="n">
        <v>2</v>
      </c>
      <c r="I56" s="5" t="n">
        <v>1</v>
      </c>
      <c r="J56" s="5" t="s">
        <v>45</v>
      </c>
    </row>
    <row r="57" customFormat="false" ht="23.85" hidden="false" customHeight="false" outlineLevel="0" collapsed="false">
      <c r="A57" s="5" t="s">
        <v>3467</v>
      </c>
      <c r="B57" s="5" t="s">
        <v>3238</v>
      </c>
      <c r="C57" s="5" t="s">
        <v>3468</v>
      </c>
      <c r="D57" s="5" t="s">
        <v>3469</v>
      </c>
      <c r="E57" s="5" t="s">
        <v>3470</v>
      </c>
      <c r="F57" s="5" t="s">
        <v>3471</v>
      </c>
      <c r="G57" s="5" t="n">
        <v>3</v>
      </c>
      <c r="H57" s="5" t="n">
        <v>2</v>
      </c>
      <c r="I57" s="5" t="n">
        <v>1</v>
      </c>
      <c r="J57" s="5" t="s">
        <v>45</v>
      </c>
    </row>
    <row r="58" customFormat="false" ht="23.85" hidden="false" customHeight="false" outlineLevel="0" collapsed="false">
      <c r="A58" s="5" t="s">
        <v>3472</v>
      </c>
      <c r="B58" s="5" t="s">
        <v>3238</v>
      </c>
      <c r="C58" s="5" t="s">
        <v>3473</v>
      </c>
      <c r="D58" s="5" t="s">
        <v>3474</v>
      </c>
      <c r="E58" s="5" t="s">
        <v>3475</v>
      </c>
      <c r="F58" s="5" t="s">
        <v>3476</v>
      </c>
      <c r="G58" s="5" t="n">
        <v>3</v>
      </c>
      <c r="H58" s="5" t="n">
        <v>2</v>
      </c>
      <c r="I58" s="5" t="n">
        <v>1</v>
      </c>
      <c r="J58" s="5" t="s">
        <v>45</v>
      </c>
    </row>
    <row r="59" customFormat="false" ht="23.85" hidden="false" customHeight="false" outlineLevel="0" collapsed="false">
      <c r="A59" s="5" t="s">
        <v>3477</v>
      </c>
      <c r="B59" s="5" t="s">
        <v>3238</v>
      </c>
      <c r="C59" s="5" t="s">
        <v>3478</v>
      </c>
      <c r="D59" s="5" t="s">
        <v>3479</v>
      </c>
      <c r="E59" s="5" t="s">
        <v>3480</v>
      </c>
      <c r="F59" s="5" t="s">
        <v>3481</v>
      </c>
      <c r="G59" s="5" t="n">
        <v>3</v>
      </c>
      <c r="H59" s="5" t="n">
        <v>1</v>
      </c>
      <c r="I59" s="5" t="n">
        <v>2</v>
      </c>
      <c r="J59" s="5" t="s">
        <v>45</v>
      </c>
    </row>
    <row r="60" customFormat="false" ht="23.85" hidden="false" customHeight="false" outlineLevel="0" collapsed="false">
      <c r="A60" s="5" t="s">
        <v>3482</v>
      </c>
      <c r="B60" s="5" t="s">
        <v>3249</v>
      </c>
      <c r="C60" s="5" t="s">
        <v>3483</v>
      </c>
      <c r="D60" s="5" t="s">
        <v>3484</v>
      </c>
      <c r="E60" s="5" t="s">
        <v>3485</v>
      </c>
      <c r="F60" s="5" t="s">
        <v>3486</v>
      </c>
      <c r="G60" s="5" t="n">
        <v>3</v>
      </c>
      <c r="H60" s="5" t="n">
        <v>1</v>
      </c>
      <c r="I60" s="5" t="n">
        <v>2</v>
      </c>
      <c r="J60" s="5" t="s">
        <v>45</v>
      </c>
    </row>
    <row r="61" customFormat="false" ht="23.85" hidden="false" customHeight="false" outlineLevel="0" collapsed="false">
      <c r="A61" s="5" t="s">
        <v>3487</v>
      </c>
      <c r="B61" s="5" t="s">
        <v>3249</v>
      </c>
      <c r="C61" s="5" t="s">
        <v>3488</v>
      </c>
      <c r="D61" s="5" t="s">
        <v>3489</v>
      </c>
      <c r="E61" s="5" t="s">
        <v>3490</v>
      </c>
      <c r="F61" s="5" t="s">
        <v>3491</v>
      </c>
      <c r="G61" s="5" t="n">
        <v>3</v>
      </c>
      <c r="H61" s="5" t="n">
        <v>1</v>
      </c>
      <c r="I61" s="5" t="n">
        <v>2</v>
      </c>
      <c r="J61" s="5" t="s">
        <v>45</v>
      </c>
    </row>
    <row r="62" customFormat="false" ht="23.85" hidden="false" customHeight="false" outlineLevel="0" collapsed="false">
      <c r="A62" s="5" t="s">
        <v>3492</v>
      </c>
      <c r="B62" s="5" t="s">
        <v>3249</v>
      </c>
      <c r="C62" s="5" t="s">
        <v>3493</v>
      </c>
      <c r="D62" s="5" t="s">
        <v>3494</v>
      </c>
      <c r="E62" s="5" t="s">
        <v>3495</v>
      </c>
      <c r="F62" s="5" t="s">
        <v>3496</v>
      </c>
      <c r="G62" s="5" t="n">
        <v>3</v>
      </c>
      <c r="H62" s="5" t="n">
        <v>1</v>
      </c>
      <c r="I62" s="5" t="n">
        <v>2</v>
      </c>
      <c r="J62" s="5" t="s">
        <v>45</v>
      </c>
    </row>
    <row r="63" customFormat="false" ht="35.05" hidden="false" customHeight="false" outlineLevel="0" collapsed="false">
      <c r="A63" s="5" t="s">
        <v>3497</v>
      </c>
      <c r="B63" s="5" t="s">
        <v>3260</v>
      </c>
      <c r="C63" s="5" t="s">
        <v>3498</v>
      </c>
      <c r="D63" s="5" t="s">
        <v>3499</v>
      </c>
      <c r="E63" s="5" t="s">
        <v>3500</v>
      </c>
      <c r="F63" s="5" t="s">
        <v>3501</v>
      </c>
      <c r="G63" s="5" t="n">
        <v>3</v>
      </c>
      <c r="H63" s="5" t="n">
        <v>2</v>
      </c>
      <c r="I63" s="5" t="n">
        <v>1</v>
      </c>
      <c r="J63" s="5" t="s">
        <v>45</v>
      </c>
    </row>
    <row r="64" customFormat="false" ht="23.85" hidden="false" customHeight="false" outlineLevel="0" collapsed="false">
      <c r="A64" s="5" t="s">
        <v>3502</v>
      </c>
      <c r="B64" s="5" t="s">
        <v>3260</v>
      </c>
      <c r="C64" s="5" t="s">
        <v>3503</v>
      </c>
      <c r="D64" s="5" t="s">
        <v>3504</v>
      </c>
      <c r="E64" s="5" t="s">
        <v>3505</v>
      </c>
      <c r="F64" s="5" t="s">
        <v>3506</v>
      </c>
      <c r="G64" s="5" t="n">
        <v>3</v>
      </c>
      <c r="H64" s="5" t="n">
        <v>1</v>
      </c>
      <c r="I64" s="5" t="n">
        <v>2</v>
      </c>
      <c r="J64" s="5" t="s">
        <v>45</v>
      </c>
    </row>
    <row r="65" customFormat="false" ht="23.85" hidden="false" customHeight="false" outlineLevel="0" collapsed="false">
      <c r="A65" s="5" t="s">
        <v>3507</v>
      </c>
      <c r="B65" s="5" t="s">
        <v>3260</v>
      </c>
      <c r="C65" s="5" t="s">
        <v>3508</v>
      </c>
      <c r="D65" s="5" t="s">
        <v>3509</v>
      </c>
      <c r="E65" s="5" t="s">
        <v>3510</v>
      </c>
      <c r="F65" s="5" t="s">
        <v>3371</v>
      </c>
      <c r="G65" s="5" t="n">
        <v>3</v>
      </c>
      <c r="H65" s="5" t="n">
        <v>2</v>
      </c>
      <c r="I65" s="5" t="n">
        <v>1</v>
      </c>
      <c r="J65" s="5" t="s">
        <v>45</v>
      </c>
    </row>
    <row r="66" customFormat="false" ht="35.05" hidden="false" customHeight="false" outlineLevel="0" collapsed="false">
      <c r="A66" s="5" t="s">
        <v>3511</v>
      </c>
      <c r="B66" s="5" t="s">
        <v>3271</v>
      </c>
      <c r="C66" s="5" t="s">
        <v>3512</v>
      </c>
      <c r="D66" s="5" t="s">
        <v>3513</v>
      </c>
      <c r="E66" s="5" t="s">
        <v>3514</v>
      </c>
      <c r="F66" s="5" t="s">
        <v>3515</v>
      </c>
      <c r="G66" s="5" t="n">
        <v>3</v>
      </c>
      <c r="H66" s="5" t="n">
        <v>1</v>
      </c>
      <c r="I66" s="5" t="n">
        <v>1</v>
      </c>
      <c r="J66" s="5" t="s">
        <v>45</v>
      </c>
    </row>
    <row r="67" customFormat="false" ht="23.85" hidden="false" customHeight="false" outlineLevel="0" collapsed="false">
      <c r="A67" s="5" t="s">
        <v>3516</v>
      </c>
      <c r="B67" s="5" t="s">
        <v>3271</v>
      </c>
      <c r="C67" s="5" t="s">
        <v>3517</v>
      </c>
      <c r="D67" s="5" t="s">
        <v>3518</v>
      </c>
      <c r="E67" s="5" t="s">
        <v>3519</v>
      </c>
      <c r="F67" s="5" t="s">
        <v>3520</v>
      </c>
      <c r="G67" s="5" t="n">
        <v>3</v>
      </c>
      <c r="H67" s="5" t="n">
        <v>2</v>
      </c>
      <c r="I67" s="5" t="n">
        <v>1</v>
      </c>
      <c r="J67" s="5" t="s">
        <v>45</v>
      </c>
    </row>
    <row r="68" customFormat="false" ht="35.05" hidden="false" customHeight="false" outlineLevel="0" collapsed="false">
      <c r="A68" s="5" t="s">
        <v>3521</v>
      </c>
      <c r="B68" s="5" t="s">
        <v>3271</v>
      </c>
      <c r="C68" s="5" t="s">
        <v>3522</v>
      </c>
      <c r="D68" s="5" t="s">
        <v>3523</v>
      </c>
      <c r="E68" s="5" t="s">
        <v>3524</v>
      </c>
      <c r="F68" s="5" t="s">
        <v>3525</v>
      </c>
      <c r="G68" s="5" t="n">
        <v>3</v>
      </c>
      <c r="H68" s="5" t="n">
        <v>1</v>
      </c>
      <c r="I68" s="5" t="n">
        <v>1</v>
      </c>
      <c r="J68" s="5" t="s">
        <v>45</v>
      </c>
    </row>
    <row r="69" customFormat="false" ht="23.85" hidden="false" customHeight="false" outlineLevel="0" collapsed="false">
      <c r="A69" s="5" t="s">
        <v>3526</v>
      </c>
      <c r="B69" s="5" t="s">
        <v>3282</v>
      </c>
      <c r="C69" s="5" t="s">
        <v>3527</v>
      </c>
      <c r="D69" s="5" t="s">
        <v>3528</v>
      </c>
      <c r="E69" s="5" t="s">
        <v>3529</v>
      </c>
      <c r="F69" s="5" t="s">
        <v>3530</v>
      </c>
      <c r="G69" s="5" t="n">
        <v>3</v>
      </c>
      <c r="H69" s="5" t="n">
        <v>1</v>
      </c>
      <c r="I69" s="5" t="n">
        <v>1</v>
      </c>
      <c r="J69" s="5" t="s">
        <v>45</v>
      </c>
    </row>
    <row r="70" customFormat="false" ht="23.85" hidden="false" customHeight="false" outlineLevel="0" collapsed="false">
      <c r="A70" s="5" t="s">
        <v>3531</v>
      </c>
      <c r="B70" s="5" t="s">
        <v>3282</v>
      </c>
      <c r="C70" s="5" t="s">
        <v>3532</v>
      </c>
      <c r="D70" s="5" t="s">
        <v>3533</v>
      </c>
      <c r="E70" s="5" t="s">
        <v>3534</v>
      </c>
      <c r="F70" s="5" t="s">
        <v>3535</v>
      </c>
      <c r="G70" s="5" t="n">
        <v>3</v>
      </c>
      <c r="H70" s="5" t="n">
        <v>2</v>
      </c>
      <c r="I70" s="5" t="n">
        <v>1</v>
      </c>
      <c r="J70" s="5" t="s">
        <v>45</v>
      </c>
    </row>
    <row r="71" customFormat="false" ht="23.85" hidden="false" customHeight="false" outlineLevel="0" collapsed="false">
      <c r="A71" s="5" t="s">
        <v>3536</v>
      </c>
      <c r="B71" s="5" t="s">
        <v>3282</v>
      </c>
      <c r="C71" s="5" t="s">
        <v>3537</v>
      </c>
      <c r="D71" s="5" t="s">
        <v>3538</v>
      </c>
      <c r="E71" s="5" t="s">
        <v>3539</v>
      </c>
      <c r="F71" s="5" t="s">
        <v>3540</v>
      </c>
      <c r="G71" s="5" t="n">
        <v>3</v>
      </c>
      <c r="H71" s="5" t="n">
        <v>1</v>
      </c>
      <c r="I71" s="5" t="n">
        <v>2</v>
      </c>
      <c r="J71" s="5" t="s">
        <v>45</v>
      </c>
    </row>
    <row r="72" customFormat="false" ht="23.85" hidden="false" customHeight="false" outlineLevel="0" collapsed="false">
      <c r="A72" s="5" t="s">
        <v>3541</v>
      </c>
      <c r="B72" s="5" t="s">
        <v>3542</v>
      </c>
      <c r="C72" s="5" t="s">
        <v>3543</v>
      </c>
      <c r="D72" s="5" t="s">
        <v>3544</v>
      </c>
      <c r="E72" s="5" t="s">
        <v>3545</v>
      </c>
      <c r="F72" s="5" t="s">
        <v>3546</v>
      </c>
      <c r="G72" s="5" t="n">
        <v>3</v>
      </c>
      <c r="H72" s="5" t="n">
        <v>1</v>
      </c>
      <c r="I72" s="5" t="n">
        <v>2</v>
      </c>
      <c r="J72" s="5" t="s">
        <v>45</v>
      </c>
    </row>
    <row r="73" customFormat="false" ht="23.85" hidden="false" customHeight="false" outlineLevel="0" collapsed="false">
      <c r="A73" s="5" t="s">
        <v>3547</v>
      </c>
      <c r="B73" s="5" t="s">
        <v>3542</v>
      </c>
      <c r="C73" s="5" t="s">
        <v>3548</v>
      </c>
      <c r="D73" s="5" t="s">
        <v>3549</v>
      </c>
      <c r="E73" s="5" t="s">
        <v>3550</v>
      </c>
      <c r="F73" s="5" t="s">
        <v>3551</v>
      </c>
      <c r="G73" s="5" t="n">
        <v>3</v>
      </c>
      <c r="H73" s="5" t="n">
        <v>2</v>
      </c>
      <c r="I73" s="5" t="n">
        <v>1</v>
      </c>
      <c r="J73" s="5" t="s">
        <v>45</v>
      </c>
    </row>
    <row r="74" customFormat="false" ht="23.85" hidden="false" customHeight="false" outlineLevel="0" collapsed="false">
      <c r="A74" s="5" t="s">
        <v>3552</v>
      </c>
      <c r="B74" s="5" t="s">
        <v>3542</v>
      </c>
      <c r="C74" s="5" t="s">
        <v>3553</v>
      </c>
      <c r="D74" s="5" t="s">
        <v>3554</v>
      </c>
      <c r="E74" s="5" t="s">
        <v>3555</v>
      </c>
      <c r="F74" s="5" t="s">
        <v>3556</v>
      </c>
      <c r="G74" s="5" t="n">
        <v>3</v>
      </c>
      <c r="H74" s="5" t="n">
        <v>2</v>
      </c>
      <c r="I74" s="5" t="n">
        <v>1</v>
      </c>
      <c r="J74" s="5" t="s">
        <v>45</v>
      </c>
    </row>
    <row r="75" customFormat="false" ht="23.85" hidden="false" customHeight="false" outlineLevel="0" collapsed="false">
      <c r="A75" s="5" t="s">
        <v>3557</v>
      </c>
      <c r="B75" s="5" t="s">
        <v>3558</v>
      </c>
      <c r="C75" s="5" t="s">
        <v>3559</v>
      </c>
      <c r="D75" s="5" t="s">
        <v>3560</v>
      </c>
      <c r="E75" s="5" t="s">
        <v>3561</v>
      </c>
      <c r="F75" s="5" t="s">
        <v>3562</v>
      </c>
      <c r="G75" s="5" t="n">
        <v>3</v>
      </c>
      <c r="H75" s="5" t="n">
        <v>1</v>
      </c>
      <c r="I75" s="5" t="n">
        <v>2</v>
      </c>
      <c r="J75" s="5" t="s">
        <v>45</v>
      </c>
    </row>
    <row r="76" customFormat="false" ht="23.85" hidden="false" customHeight="false" outlineLevel="0" collapsed="false">
      <c r="A76" s="5" t="s">
        <v>3563</v>
      </c>
      <c r="B76" s="5" t="s">
        <v>3558</v>
      </c>
      <c r="C76" s="5" t="s">
        <v>3564</v>
      </c>
      <c r="D76" s="5" t="s">
        <v>3565</v>
      </c>
      <c r="E76" s="5" t="s">
        <v>3566</v>
      </c>
      <c r="F76" s="5" t="s">
        <v>3567</v>
      </c>
      <c r="G76" s="5" t="n">
        <v>3</v>
      </c>
      <c r="H76" s="5" t="n">
        <v>2</v>
      </c>
      <c r="I76" s="5" t="n">
        <v>1</v>
      </c>
      <c r="J76" s="5" t="s">
        <v>45</v>
      </c>
    </row>
    <row r="77" customFormat="false" ht="23.85" hidden="false" customHeight="false" outlineLevel="0" collapsed="false">
      <c r="A77" s="5" t="s">
        <v>3568</v>
      </c>
      <c r="B77" s="5" t="s">
        <v>3558</v>
      </c>
      <c r="C77" s="5" t="s">
        <v>3569</v>
      </c>
      <c r="D77" s="5" t="s">
        <v>3570</v>
      </c>
      <c r="E77" s="5" t="s">
        <v>3571</v>
      </c>
      <c r="F77" s="5" t="s">
        <v>3572</v>
      </c>
      <c r="G77" s="5" t="n">
        <v>3</v>
      </c>
      <c r="H77" s="5" t="n">
        <v>2</v>
      </c>
      <c r="I77" s="5" t="n">
        <v>1</v>
      </c>
      <c r="J77" s="5" t="s">
        <v>45</v>
      </c>
    </row>
    <row r="78" customFormat="false" ht="23.85" hidden="false" customHeight="false" outlineLevel="0" collapsed="false">
      <c r="A78" s="5" t="s">
        <v>3573</v>
      </c>
      <c r="B78" s="5" t="s">
        <v>3205</v>
      </c>
      <c r="C78" s="5" t="s">
        <v>3574</v>
      </c>
      <c r="D78" s="5" t="s">
        <v>3575</v>
      </c>
      <c r="E78" s="5" t="s">
        <v>3576</v>
      </c>
      <c r="F78" s="5" t="s">
        <v>3577</v>
      </c>
      <c r="G78" s="5" t="n">
        <v>3</v>
      </c>
      <c r="H78" s="5" t="n">
        <v>1</v>
      </c>
      <c r="I78" s="5" t="n">
        <v>2</v>
      </c>
      <c r="J78" s="5" t="s">
        <v>45</v>
      </c>
    </row>
    <row r="79" customFormat="false" ht="23.85" hidden="false" customHeight="false" outlineLevel="0" collapsed="false">
      <c r="A79" s="5" t="s">
        <v>3578</v>
      </c>
      <c r="B79" s="5" t="s">
        <v>3183</v>
      </c>
      <c r="C79" s="5" t="s">
        <v>3579</v>
      </c>
      <c r="D79" s="5" t="s">
        <v>3580</v>
      </c>
      <c r="E79" s="5" t="s">
        <v>3581</v>
      </c>
      <c r="F79" s="5" t="s">
        <v>3582</v>
      </c>
      <c r="G79" s="5" t="n">
        <v>3</v>
      </c>
      <c r="H79" s="5" t="n">
        <v>2</v>
      </c>
      <c r="I79" s="5" t="n">
        <v>1</v>
      </c>
      <c r="J79" s="5" t="s">
        <v>45</v>
      </c>
    </row>
    <row r="80" customFormat="false" ht="23.85" hidden="false" customHeight="false" outlineLevel="0" collapsed="false">
      <c r="A80" s="5" t="s">
        <v>3583</v>
      </c>
      <c r="B80" s="5" t="s">
        <v>3238</v>
      </c>
      <c r="C80" s="5" t="s">
        <v>3584</v>
      </c>
      <c r="D80" s="5" t="s">
        <v>3585</v>
      </c>
      <c r="E80" s="5" t="s">
        <v>3586</v>
      </c>
      <c r="F80" s="5" t="s">
        <v>3587</v>
      </c>
      <c r="G80" s="5" t="n">
        <v>3</v>
      </c>
      <c r="H80" s="5" t="n">
        <v>2</v>
      </c>
      <c r="I80" s="5" t="n">
        <v>1</v>
      </c>
      <c r="J80" s="5" t="s">
        <v>45</v>
      </c>
    </row>
    <row r="81" customFormat="false" ht="23.85" hidden="false" customHeight="false" outlineLevel="0" collapsed="false">
      <c r="A81" s="5" t="s">
        <v>3588</v>
      </c>
      <c r="B81" s="5" t="s">
        <v>3194</v>
      </c>
      <c r="C81" s="5" t="s">
        <v>3589</v>
      </c>
      <c r="D81" s="5" t="s">
        <v>3590</v>
      </c>
      <c r="E81" s="5" t="s">
        <v>3591</v>
      </c>
      <c r="F81" s="5" t="s">
        <v>3592</v>
      </c>
      <c r="G81" s="5" t="n">
        <v>3</v>
      </c>
      <c r="H81" s="5" t="n">
        <v>1</v>
      </c>
      <c r="I81" s="5" t="n">
        <v>2</v>
      </c>
      <c r="J81" s="5" t="s">
        <v>45</v>
      </c>
    </row>
  </sheetData>
  <autoFilter ref="A1:J81"/>
  <dataValidations count="2">
    <dataValidation allowBlank="false" errorStyle="stop" operator="between" showDropDown="false" showErrorMessage="false" showInputMessage="false" sqref="G2:I1081" type="whole">
      <formula1>1</formula1>
      <formula2>3</formula2>
    </dataValidation>
    <dataValidation allowBlank="false" errorStyle="stop" operator="between" showDropDown="false" showErrorMessage="false" showInputMessage="false" sqref="J2:J1081" type="list">
      <formula1>"SI,NO"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20"/>
  </cols>
  <sheetData>
    <row r="1" customFormat="false" ht="15" hidden="false" customHeight="false" outlineLevel="0" collapsed="false">
      <c r="A1" s="6" t="s">
        <v>18</v>
      </c>
      <c r="B1" s="6" t="s">
        <v>19</v>
      </c>
      <c r="C1" s="6" t="s">
        <v>3593</v>
      </c>
    </row>
    <row r="2" customFormat="false" ht="15" hidden="false" customHeight="false" outlineLevel="0" collapsed="false">
      <c r="A2" s="2" t="s">
        <v>33</v>
      </c>
      <c r="B2" s="2" t="s">
        <v>501</v>
      </c>
      <c r="C2" s="2" t="n">
        <f aca="false">COUNTIFS(Funcionales!B:B,A2,Funcionales!C:C,B2,Funcionales!O:O,"SI")</f>
        <v>6</v>
      </c>
    </row>
    <row r="3" customFormat="false" ht="15" hidden="false" customHeight="false" outlineLevel="0" collapsed="false">
      <c r="A3" s="2" t="s">
        <v>33</v>
      </c>
      <c r="B3" s="2" t="s">
        <v>34</v>
      </c>
      <c r="C3" s="2" t="n">
        <f aca="false">COUNTIFS(Funcionales!B:B,A3,Funcionales!C:C,B3,Funcionales!O:O,"SI")</f>
        <v>15</v>
      </c>
    </row>
    <row r="4" customFormat="false" ht="15" hidden="false" customHeight="false" outlineLevel="0" collapsed="false">
      <c r="A4" s="2" t="s">
        <v>33</v>
      </c>
      <c r="B4" s="2" t="s">
        <v>129</v>
      </c>
      <c r="C4" s="2" t="n">
        <f aca="false">COUNTIFS(Funcionales!B:B,A4,Funcionales!C:C,B4,Funcionales!O:O,"SI")</f>
        <v>12</v>
      </c>
    </row>
    <row r="5" customFormat="false" ht="15" hidden="false" customHeight="false" outlineLevel="0" collapsed="false">
      <c r="A5" s="2" t="s">
        <v>33</v>
      </c>
      <c r="B5" s="2" t="s">
        <v>1305</v>
      </c>
      <c r="C5" s="2" t="n">
        <f aca="false">COUNTIFS(Funcionales!B:B,A5,Funcionales!C:C,B5,Funcionales!O:O,"SI")</f>
        <v>3</v>
      </c>
    </row>
    <row r="6" customFormat="false" ht="15" hidden="false" customHeight="false" outlineLevel="0" collapsed="false">
      <c r="A6" s="2" t="s">
        <v>33</v>
      </c>
      <c r="B6" s="2" t="s">
        <v>665</v>
      </c>
      <c r="C6" s="2" t="n">
        <f aca="false">COUNTIFS(Funcionales!B:B,A6,Funcionales!C:C,B6,Funcionales!O:O,"SI")</f>
        <v>6</v>
      </c>
    </row>
    <row r="7" customFormat="false" ht="15" hidden="false" customHeight="false" outlineLevel="0" collapsed="false">
      <c r="A7" s="2" t="s">
        <v>33</v>
      </c>
      <c r="B7" s="2" t="s">
        <v>452</v>
      </c>
      <c r="C7" s="2" t="n">
        <f aca="false">COUNTIFS(Funcionales!B:B,A7,Funcionales!C:C,B7,Funcionales!O:O,"SI")</f>
        <v>9</v>
      </c>
    </row>
    <row r="8" customFormat="false" ht="15" hidden="false" customHeight="false" outlineLevel="0" collapsed="false">
      <c r="A8" s="2" t="s">
        <v>33</v>
      </c>
      <c r="B8" s="2" t="s">
        <v>550</v>
      </c>
      <c r="C8" s="2" t="n">
        <f aca="false">COUNTIFS(Funcionales!B:B,A8,Funcionales!C:C,B8,Funcionales!O:O,"SI")</f>
        <v>3</v>
      </c>
    </row>
    <row r="9" customFormat="false" ht="15" hidden="false" customHeight="false" outlineLevel="0" collapsed="false">
      <c r="A9" s="2" t="s">
        <v>33</v>
      </c>
      <c r="B9" s="2" t="s">
        <v>106</v>
      </c>
      <c r="C9" s="2" t="n">
        <f aca="false">COUNTIFS(Funcionales!B:B,A9,Funcionales!C:C,B9,Funcionales!O:O,"SI")</f>
        <v>9</v>
      </c>
    </row>
    <row r="10" customFormat="false" ht="15" hidden="false" customHeight="false" outlineLevel="0" collapsed="false">
      <c r="A10" s="2" t="s">
        <v>33</v>
      </c>
      <c r="B10" s="2" t="s">
        <v>599</v>
      </c>
      <c r="C10" s="2" t="n">
        <f aca="false">COUNTIFS(Funcionales!B:B,A10,Funcionales!C:C,B10,Funcionales!O:O,"SI")</f>
        <v>3</v>
      </c>
    </row>
    <row r="11" customFormat="false" ht="15" hidden="false" customHeight="false" outlineLevel="0" collapsed="false">
      <c r="A11" s="2" t="s">
        <v>33</v>
      </c>
      <c r="B11" s="2" t="s">
        <v>2812</v>
      </c>
      <c r="C11" s="2" t="n">
        <f aca="false">COUNTIFS(Funcionales!B:B,A11,Funcionales!C:C,B11,Funcionales!O:O,"SI")</f>
        <v>24</v>
      </c>
    </row>
    <row r="12" customFormat="false" ht="15" hidden="false" customHeight="false" outlineLevel="0" collapsed="false">
      <c r="A12" s="2" t="s">
        <v>33</v>
      </c>
      <c r="B12" s="2" t="s">
        <v>1151</v>
      </c>
      <c r="C12" s="2" t="n">
        <f aca="false">COUNTIFS(Funcionales!B:B,A12,Funcionales!C:C,B12,Funcionales!O:O,"SI")</f>
        <v>9</v>
      </c>
    </row>
    <row r="13" customFormat="false" ht="15" hidden="false" customHeight="false" outlineLevel="0" collapsed="false">
      <c r="A13" s="2" t="s">
        <v>33</v>
      </c>
      <c r="B13" s="2" t="s">
        <v>574</v>
      </c>
      <c r="C13" s="2" t="n">
        <f aca="false">COUNTIFS(Funcionales!B:B,A13,Funcionales!C:C,B13,Funcionales!O:O,"SI")</f>
        <v>6</v>
      </c>
    </row>
    <row r="14" customFormat="false" ht="15" hidden="false" customHeight="false" outlineLevel="0" collapsed="false">
      <c r="A14" s="2" t="s">
        <v>33</v>
      </c>
      <c r="B14" s="2" t="s">
        <v>525</v>
      </c>
      <c r="C14" s="2" t="n">
        <f aca="false">COUNTIFS(Funcionales!B:B,A14,Funcionales!C:C,B14,Funcionales!O:O,"SI")</f>
        <v>6</v>
      </c>
    </row>
    <row r="15" customFormat="false" ht="15" hidden="false" customHeight="false" outlineLevel="0" collapsed="false">
      <c r="A15" s="2" t="s">
        <v>33</v>
      </c>
      <c r="B15" s="2" t="s">
        <v>1581</v>
      </c>
      <c r="C15" s="2" t="n">
        <f aca="false">COUNTIFS(Funcionales!B:B,A15,Funcionales!C:C,B15,Funcionales!O:O,"SI")</f>
        <v>3</v>
      </c>
    </row>
    <row r="16" customFormat="false" ht="15" hidden="false" customHeight="false" outlineLevel="0" collapsed="false">
      <c r="A16" s="2" t="s">
        <v>33</v>
      </c>
      <c r="B16" s="2" t="s">
        <v>1378</v>
      </c>
      <c r="C16" s="2" t="n">
        <f aca="false">COUNTIFS(Funcionales!B:B,A16,Funcionales!C:C,B16,Funcionales!O:O,"SI")</f>
        <v>6</v>
      </c>
    </row>
    <row r="17" customFormat="false" ht="15" hidden="false" customHeight="false" outlineLevel="0" collapsed="false">
      <c r="A17" s="2" t="s">
        <v>33</v>
      </c>
      <c r="B17" s="2" t="s">
        <v>82</v>
      </c>
      <c r="C17" s="2" t="n">
        <f aca="false">COUNTIFS(Funcionales!B:B,A17,Funcionales!C:C,B17,Funcionales!O:O,"SI")</f>
        <v>9</v>
      </c>
    </row>
    <row r="18" customFormat="false" ht="15" hidden="false" customHeight="false" outlineLevel="0" collapsed="false">
      <c r="A18" s="2" t="s">
        <v>33</v>
      </c>
      <c r="B18" s="2" t="s">
        <v>152</v>
      </c>
      <c r="C18" s="2" t="n">
        <f aca="false">COUNTIFS(Funcionales!B:B,A18,Funcionales!C:C,B18,Funcionales!O:O,"SI")</f>
        <v>6</v>
      </c>
    </row>
    <row r="19" customFormat="false" ht="15" hidden="false" customHeight="false" outlineLevel="0" collapsed="false">
      <c r="A19" s="2" t="s">
        <v>314</v>
      </c>
      <c r="B19" s="2" t="s">
        <v>1015</v>
      </c>
      <c r="C19" s="2" t="n">
        <f aca="false">COUNTIFS(Funcionales!B:B,A19,Funcionales!C:C,B19,Funcionales!O:O,"SI")</f>
        <v>6</v>
      </c>
    </row>
    <row r="20" customFormat="false" ht="15" hidden="false" customHeight="false" outlineLevel="0" collapsed="false">
      <c r="A20" s="2" t="s">
        <v>314</v>
      </c>
      <c r="B20" s="2" t="s">
        <v>406</v>
      </c>
      <c r="C20" s="2" t="n">
        <f aca="false">COUNTIFS(Funcionales!B:B,A20,Funcionales!C:C,B20,Funcionales!O:O,"SI")</f>
        <v>15</v>
      </c>
    </row>
    <row r="21" customFormat="false" ht="15" hidden="false" customHeight="false" outlineLevel="0" collapsed="false">
      <c r="A21" s="2" t="s">
        <v>314</v>
      </c>
      <c r="B21" s="2" t="s">
        <v>383</v>
      </c>
      <c r="C21" s="2" t="n">
        <f aca="false">COUNTIFS(Funcionales!B:B,A21,Funcionales!C:C,B21,Funcionales!O:O,"SI")</f>
        <v>18</v>
      </c>
    </row>
    <row r="22" customFormat="false" ht="15" hidden="false" customHeight="false" outlineLevel="0" collapsed="false">
      <c r="A22" s="2" t="s">
        <v>314</v>
      </c>
      <c r="B22" s="2" t="s">
        <v>338</v>
      </c>
      <c r="C22" s="2" t="n">
        <f aca="false">COUNTIFS(Funcionales!B:B,A22,Funcionales!C:C,B22,Funcionales!O:O,"SI")</f>
        <v>51</v>
      </c>
    </row>
    <row r="23" customFormat="false" ht="15" hidden="false" customHeight="false" outlineLevel="0" collapsed="false">
      <c r="A23" s="2" t="s">
        <v>314</v>
      </c>
      <c r="B23" s="2" t="s">
        <v>429</v>
      </c>
      <c r="C23" s="2" t="n">
        <f aca="false">COUNTIFS(Funcionales!B:B,A23,Funcionales!C:C,B23,Funcionales!O:O,"SI")</f>
        <v>15</v>
      </c>
    </row>
    <row r="24" customFormat="false" ht="15" hidden="false" customHeight="false" outlineLevel="0" collapsed="false">
      <c r="A24" s="2" t="s">
        <v>314</v>
      </c>
      <c r="B24" s="2" t="s">
        <v>315</v>
      </c>
      <c r="C24" s="2" t="n">
        <f aca="false">COUNTIFS(Funcionales!B:B,A24,Funcionales!C:C,B24,Funcionales!O:O,"SI")</f>
        <v>9</v>
      </c>
    </row>
    <row r="25" customFormat="false" ht="15" hidden="false" customHeight="false" outlineLevel="0" collapsed="false">
      <c r="A25" s="2" t="s">
        <v>314</v>
      </c>
      <c r="B25" s="2" t="s">
        <v>2275</v>
      </c>
      <c r="C25" s="2" t="n">
        <f aca="false">COUNTIFS(Funcionales!B:B,A25,Funcionales!C:C,B25,Funcionales!O:O,"SI")</f>
        <v>6</v>
      </c>
    </row>
    <row r="26" customFormat="false" ht="15" hidden="false" customHeight="false" outlineLevel="0" collapsed="false">
      <c r="A26" s="2" t="s">
        <v>314</v>
      </c>
      <c r="B26" s="2" t="s">
        <v>2812</v>
      </c>
      <c r="C26" s="2" t="n">
        <f aca="false">COUNTIFS(Funcionales!B:B,A26,Funcionales!C:C,B26,Funcionales!O:O,"SI")</f>
        <v>6</v>
      </c>
    </row>
    <row r="27" customFormat="false" ht="15" hidden="false" customHeight="false" outlineLevel="0" collapsed="false">
      <c r="A27" s="2" t="s">
        <v>175</v>
      </c>
      <c r="B27" s="2" t="s">
        <v>245</v>
      </c>
      <c r="C27" s="2" t="n">
        <f aca="false">COUNTIFS(Funcionales!B:B,A27,Funcionales!C:C,B27,Funcionales!O:O,"SI")</f>
        <v>18</v>
      </c>
    </row>
    <row r="28" customFormat="false" ht="15" hidden="false" customHeight="false" outlineLevel="0" collapsed="false">
      <c r="A28" s="2" t="s">
        <v>175</v>
      </c>
      <c r="B28" s="2" t="s">
        <v>761</v>
      </c>
      <c r="C28" s="2" t="n">
        <f aca="false">COUNTIFS(Funcionales!B:B,A28,Funcionales!C:C,B28,Funcionales!O:O,"SI")</f>
        <v>9</v>
      </c>
    </row>
    <row r="29" customFormat="false" ht="15" hidden="false" customHeight="false" outlineLevel="0" collapsed="false">
      <c r="A29" s="2" t="s">
        <v>175</v>
      </c>
      <c r="B29" s="2" t="s">
        <v>291</v>
      </c>
      <c r="C29" s="2" t="n">
        <f aca="false">COUNTIFS(Funcionales!B:B,A29,Funcionales!C:C,B29,Funcionales!O:O,"SI")</f>
        <v>9</v>
      </c>
    </row>
    <row r="30" customFormat="false" ht="15" hidden="false" customHeight="false" outlineLevel="0" collapsed="false">
      <c r="A30" s="2" t="s">
        <v>175</v>
      </c>
      <c r="B30" s="2" t="s">
        <v>785</v>
      </c>
      <c r="C30" s="2" t="n">
        <f aca="false">COUNTIFS(Funcionales!B:B,A30,Funcionales!C:C,B30,Funcionales!O:O,"SI")</f>
        <v>6</v>
      </c>
    </row>
    <row r="31" customFormat="false" ht="15" hidden="false" customHeight="false" outlineLevel="0" collapsed="false">
      <c r="A31" s="2" t="s">
        <v>175</v>
      </c>
      <c r="B31" s="2" t="s">
        <v>1689</v>
      </c>
      <c r="C31" s="2" t="n">
        <f aca="false">COUNTIFS(Funcionales!B:B,A31,Funcionales!C:C,B31,Funcionales!O:O,"SI")</f>
        <v>3</v>
      </c>
    </row>
    <row r="32" customFormat="false" ht="15" hidden="false" customHeight="false" outlineLevel="0" collapsed="false">
      <c r="A32" s="2" t="s">
        <v>175</v>
      </c>
      <c r="B32" s="2" t="s">
        <v>712</v>
      </c>
      <c r="C32" s="2" t="n">
        <f aca="false">COUNTIFS(Funcionales!B:B,A32,Funcionales!C:C,B32,Funcionales!O:O,"SI")</f>
        <v>3</v>
      </c>
    </row>
    <row r="33" customFormat="false" ht="15" hidden="false" customHeight="false" outlineLevel="0" collapsed="false">
      <c r="A33" s="2" t="s">
        <v>175</v>
      </c>
      <c r="B33" s="2" t="s">
        <v>688</v>
      </c>
      <c r="C33" s="2" t="n">
        <f aca="false">COUNTIFS(Funcionales!B:B,A33,Funcionales!C:C,B33,Funcionales!O:O,"SI")</f>
        <v>9</v>
      </c>
    </row>
    <row r="34" customFormat="false" ht="15" hidden="false" customHeight="false" outlineLevel="0" collapsed="false">
      <c r="A34" s="2" t="s">
        <v>175</v>
      </c>
      <c r="B34" s="2" t="s">
        <v>809</v>
      </c>
      <c r="C34" s="2" t="n">
        <f aca="false">COUNTIFS(Funcionales!B:B,A34,Funcionales!C:C,B34,Funcionales!O:O,"SI")</f>
        <v>6</v>
      </c>
    </row>
    <row r="35" customFormat="false" ht="15" hidden="false" customHeight="false" outlineLevel="0" collapsed="false">
      <c r="A35" s="2" t="s">
        <v>175</v>
      </c>
      <c r="B35" s="2" t="s">
        <v>176</v>
      </c>
      <c r="C35" s="2" t="n">
        <f aca="false">COUNTIFS(Funcionales!B:B,A35,Funcionales!C:C,B35,Funcionales!O:O,"SI")</f>
        <v>18</v>
      </c>
    </row>
    <row r="36" customFormat="false" ht="15" hidden="false" customHeight="false" outlineLevel="0" collapsed="false">
      <c r="A36" s="2" t="s">
        <v>175</v>
      </c>
      <c r="B36" s="2" t="s">
        <v>222</v>
      </c>
      <c r="C36" s="2" t="n">
        <f aca="false">COUNTIFS(Funcionales!B:B,A36,Funcionales!C:C,B36,Funcionales!O:O,"SI")</f>
        <v>3</v>
      </c>
    </row>
    <row r="37" customFormat="false" ht="15" hidden="false" customHeight="false" outlineLevel="0" collapsed="false">
      <c r="A37" s="2" t="s">
        <v>175</v>
      </c>
      <c r="B37" s="2" t="s">
        <v>878</v>
      </c>
      <c r="C37" s="2" t="n">
        <f aca="false">COUNTIFS(Funcionales!B:B,A37,Funcionales!C:C,B37,Funcionales!O:O,"SI")</f>
        <v>9</v>
      </c>
    </row>
    <row r="38" customFormat="false" ht="15" hidden="false" customHeight="false" outlineLevel="0" collapsed="false">
      <c r="A38" s="2" t="s">
        <v>175</v>
      </c>
      <c r="B38" s="2" t="s">
        <v>1623</v>
      </c>
      <c r="C38" s="2" t="n">
        <f aca="false">COUNTIFS(Funcionales!B:B,A38,Funcionales!C:C,B38,Funcionales!O:O,"SI")</f>
        <v>9</v>
      </c>
    </row>
    <row r="39" customFormat="false" ht="15" hidden="false" customHeight="false" outlineLevel="0" collapsed="false">
      <c r="A39" s="2" t="s">
        <v>175</v>
      </c>
      <c r="B39" s="2" t="s">
        <v>2812</v>
      </c>
      <c r="C39" s="2" t="n">
        <f aca="false">COUNTIFS(Funcionales!B:B,A39,Funcionales!C:C,B39,Funcionales!O:O,"SI")</f>
        <v>15</v>
      </c>
    </row>
    <row r="40" customFormat="false" ht="15" hidden="false" customHeight="false" outlineLevel="0" collapsed="false">
      <c r="A40" s="2" t="s">
        <v>175</v>
      </c>
      <c r="B40" s="2" t="s">
        <v>199</v>
      </c>
      <c r="C40" s="2" t="n">
        <f aca="false">COUNTIFS(Funcionales!B:B,A40,Funcionales!C:C,B40,Funcionales!O:O,"SI")</f>
        <v>24</v>
      </c>
    </row>
    <row r="41" customFormat="false" ht="15" hidden="false" customHeight="false" outlineLevel="0" collapsed="false">
      <c r="A41" s="2" t="s">
        <v>175</v>
      </c>
      <c r="B41" s="2" t="s">
        <v>736</v>
      </c>
      <c r="C41" s="2" t="n">
        <f aca="false">COUNTIFS(Funcionales!B:B,A41,Funcionales!C:C,B41,Funcionales!O:O,"SI")</f>
        <v>6</v>
      </c>
    </row>
    <row r="42" customFormat="false" ht="15" hidden="false" customHeight="false" outlineLevel="0" collapsed="false">
      <c r="A42" s="2" t="s">
        <v>175</v>
      </c>
      <c r="B42" s="2" t="s">
        <v>1943</v>
      </c>
      <c r="C42" s="2" t="n">
        <f aca="false">COUNTIFS(Funcionales!B:B,A42,Funcionales!C:C,B42,Funcionales!O:O,"SI")</f>
        <v>3</v>
      </c>
    </row>
    <row r="43" customFormat="false" ht="15" hidden="false" customHeight="false" outlineLevel="0" collapsed="false">
      <c r="A43" s="2" t="s">
        <v>175</v>
      </c>
      <c r="B43" s="2" t="s">
        <v>268</v>
      </c>
      <c r="C43" s="2" t="n">
        <f aca="false">COUNTIFS(Funcionales!B:B,A43,Funcionales!C:C,B43,Funcionales!O:O,"SI")</f>
        <v>9</v>
      </c>
    </row>
    <row r="44" customFormat="false" ht="15" hidden="false" customHeight="false" outlineLevel="0" collapsed="false">
      <c r="A44" s="3"/>
      <c r="B44" s="3" t="s">
        <v>3594</v>
      </c>
      <c r="C44" s="3" t="n">
        <f aca="false">SUM(C2:C43)</f>
        <v>420</v>
      </c>
    </row>
    <row r="45" customFormat="false" ht="15" hidden="false" customHeight="false" outlineLevel="0" collapsed="false">
      <c r="A45" s="3"/>
      <c r="B45" s="3" t="s">
        <v>3595</v>
      </c>
      <c r="C45" s="3" t="n">
        <f aca="false">COUNTIFS(Funcionales!B:B,"comun",Funcionales!O:O,"SI")+COUNTIFS(Funcionales!B:B,"invima",Funcionales!O:O,"SI")</f>
        <v>294</v>
      </c>
    </row>
    <row r="46" customFormat="false" ht="15" hidden="false" customHeight="false" outlineLevel="0" collapsed="false">
      <c r="A46" s="3"/>
      <c r="B46" s="3" t="s">
        <v>3596</v>
      </c>
      <c r="C46" s="3" t="n">
        <f aca="false">COUNTIFS(Funcionales!B:B,"comun",Funcionales!O:O,"SI")+COUNTIFS(Funcionales!B:B,"fne",Funcionales!O:O,"SI")</f>
        <v>261</v>
      </c>
    </row>
    <row r="47" customFormat="false" ht="15" hidden="false" customHeight="false" outlineLevel="0" collapsed="false">
      <c r="A47" s="3"/>
      <c r="B47" s="3" t="s">
        <v>3597</v>
      </c>
      <c r="C47" s="3" t="n">
        <f aca="false">COUNTIF(Comportamentales!J:J,"SI")</f>
        <v>80</v>
      </c>
    </row>
    <row r="48" customFormat="false" ht="15" hidden="false" customHeight="false" outlineLevel="0" collapsed="false">
      <c r="A48" s="3"/>
      <c r="B48" s="3" t="s">
        <v>3598</v>
      </c>
      <c r="C48" s="3" t="str">
        <f aca="false">COUNTIF(Funcionales!K:K,"A")&amp;" / "&amp;COUNTIF(Funcionales!K:K,"B")&amp;" / "&amp;COUNTIF(Funcionales!K:K,"C")</f>
        <v>150 / 133 / 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2026-09-17T21:03:13Z</dcterms:created>
  <dc:creator>openpyxl</dc:creator>
  <dc:description/>
  <dc:language>en-US</dc:language>
  <cp:lastModifiedBy/>
  <dcterms:modified xsi:type="dcterms:W3CDTF">2026-09-17T21:03:13Z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